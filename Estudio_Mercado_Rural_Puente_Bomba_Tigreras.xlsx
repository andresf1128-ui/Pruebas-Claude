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A34737C-EE0A-4EEB-8F3C-C9A3683C02FB}" xr6:coauthVersionLast="47" xr6:coauthVersionMax="47" xr10:uidLastSave="{00000000-0000-0000-0000-000000000000}"/>
  <bookViews>
    <workbookView xWindow="-108" yWindow="-108" windowWidth="23256" windowHeight="13896" tabRatio="968" activeTab="4" xr2:uid="{00000000-000D-0000-FFFF-FFFF00000000}"/>
  </bookViews>
  <sheets>
    <sheet name="GUÍA" sheetId="7" r:id="rId1"/>
    <sheet name="MERCADO RURAL" sheetId="1" r:id="rId2"/>
    <sheet name="KML_OFERTAS" sheetId="6" state="hidden" r:id="rId3"/>
    <sheet name="COMBINACIONES" sheetId="2" r:id="rId4"/>
    <sheet name="DEPRECIACIÓN" sheetId="3" r:id="rId5"/>
    <sheet name="LIQUIDACIÓN" sheetId="4" r:id="rId6"/>
    <sheet name="AUX_COMBINACIONES" sheetId="5" state="hidden" r:id="rId7"/>
    <sheet name="PROYECCIÓN" sheetId="8" r:id="rId8"/>
    <sheet name="SIM_MERCADO" sheetId="9" state="hidden" r:id="rId9"/>
    <sheet name="SIM_COMBINACIONES" sheetId="11" state="hidden" r:id="rId10"/>
    <sheet name="SIM_DEPRECIACIÓN" sheetId="12" state="hidden" r:id="rId11"/>
    <sheet name="SIM_LIQUIDACIÓN" sheetId="13" state="hidden" r:id="rId12"/>
    <sheet name="SIM_PROYECCIÓN" sheetId="14" state="hidden" r:id="rId13"/>
    <sheet name="SIM_AUX" sheetId="10" state="hidden" r:id="rId14"/>
  </sheets>
  <externalReferences>
    <externalReference r:id="rId15"/>
  </externalReferences>
  <definedNames>
    <definedName name="DEPARTAMENTO">[1]Hoja1!$A$3:$A$35</definedName>
    <definedName name="eee">'[1]MERCADO RURAL'!$C$6</definedName>
    <definedName name="Seleccion">'[1]MERCADO URBANO'!$C$6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0" l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J3" i="10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J3" i="5"/>
  <c r="Q12" i="9"/>
  <c r="I12" i="9"/>
  <c r="F12" i="9"/>
  <c r="Q11" i="9"/>
  <c r="F11" i="9"/>
  <c r="Q10" i="9"/>
  <c r="F10" i="9"/>
  <c r="Q9" i="9"/>
  <c r="I9" i="9"/>
  <c r="F9" i="9"/>
  <c r="H9" i="9" s="1"/>
  <c r="B4" i="14"/>
  <c r="J8" i="14" s="1"/>
  <c r="B5" i="13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P29" i="14"/>
  <c r="F15" i="12"/>
  <c r="Q14" i="12"/>
  <c r="P14" i="12"/>
  <c r="N14" i="12"/>
  <c r="M14" i="12"/>
  <c r="L14" i="12"/>
  <c r="K14" i="12"/>
  <c r="J14" i="12"/>
  <c r="I14" i="12"/>
  <c r="H14" i="12"/>
  <c r="G14" i="12"/>
  <c r="Q13" i="12"/>
  <c r="P13" i="12"/>
  <c r="N13" i="12"/>
  <c r="M13" i="12"/>
  <c r="L13" i="12"/>
  <c r="K13" i="12"/>
  <c r="J13" i="12"/>
  <c r="I13" i="12"/>
  <c r="H13" i="12"/>
  <c r="G13" i="12"/>
  <c r="Q12" i="12"/>
  <c r="P12" i="12"/>
  <c r="N12" i="12"/>
  <c r="M12" i="12"/>
  <c r="L12" i="12"/>
  <c r="K12" i="12"/>
  <c r="J12" i="12"/>
  <c r="I12" i="12"/>
  <c r="H12" i="12"/>
  <c r="G12" i="12"/>
  <c r="Q11" i="12"/>
  <c r="P11" i="12"/>
  <c r="N11" i="12"/>
  <c r="M11" i="12"/>
  <c r="L11" i="12"/>
  <c r="K11" i="12"/>
  <c r="J11" i="12"/>
  <c r="I11" i="12"/>
  <c r="H11" i="12"/>
  <c r="G11" i="12"/>
  <c r="Q10" i="12"/>
  <c r="I10" i="12"/>
  <c r="G10" i="12"/>
  <c r="H10" i="12" s="1"/>
  <c r="Q9" i="12"/>
  <c r="I9" i="12"/>
  <c r="G9" i="12"/>
  <c r="H9" i="12" s="1"/>
  <c r="J9" i="12" s="1"/>
  <c r="K9" i="12" s="1"/>
  <c r="Q8" i="12"/>
  <c r="I8" i="12"/>
  <c r="G8" i="12"/>
  <c r="H8" i="12" s="1"/>
  <c r="J8" i="12" s="1"/>
  <c r="K8" i="12" s="1"/>
  <c r="Q7" i="12"/>
  <c r="I7" i="12"/>
  <c r="G7" i="12"/>
  <c r="H7" i="12" s="1"/>
  <c r="Q6" i="12"/>
  <c r="I6" i="12"/>
  <c r="G6" i="12"/>
  <c r="H6" i="12" s="1"/>
  <c r="Q5" i="12"/>
  <c r="B8" i="13" s="1"/>
  <c r="I5" i="12"/>
  <c r="G5" i="12"/>
  <c r="H5" i="12" s="1"/>
  <c r="J5" i="12" s="1"/>
  <c r="K5" i="12" s="1"/>
  <c r="B4" i="8"/>
  <c r="P29" i="8" s="1"/>
  <c r="F9" i="1"/>
  <c r="B12" i="4"/>
  <c r="C12" i="4" s="1"/>
  <c r="B13" i="4"/>
  <c r="C13" i="4" s="1"/>
  <c r="B14" i="4"/>
  <c r="D14" i="4" s="1"/>
  <c r="B15" i="4"/>
  <c r="D15" i="4" s="1"/>
  <c r="B8" i="4"/>
  <c r="C8" i="4" s="1"/>
  <c r="I9" i="1"/>
  <c r="I10" i="1"/>
  <c r="I11" i="1"/>
  <c r="I12" i="1"/>
  <c r="I13" i="1"/>
  <c r="I14" i="1"/>
  <c r="I15" i="1"/>
  <c r="I16" i="1"/>
  <c r="Q5" i="3"/>
  <c r="B18" i="4" s="1"/>
  <c r="D18" i="4" s="1"/>
  <c r="Q6" i="3"/>
  <c r="Q7" i="3"/>
  <c r="B16" i="4" s="1"/>
  <c r="Q8" i="3"/>
  <c r="Q9" i="3"/>
  <c r="Q10" i="3"/>
  <c r="Q11" i="3"/>
  <c r="Q12" i="3"/>
  <c r="Q13" i="3"/>
  <c r="Q14" i="3"/>
  <c r="P12" i="3"/>
  <c r="P13" i="3"/>
  <c r="P14" i="3"/>
  <c r="D4" i="6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5" i="4"/>
  <c r="F15" i="3"/>
  <c r="G5" i="3"/>
  <c r="H5" i="3" s="1"/>
  <c r="I5" i="3"/>
  <c r="G6" i="3"/>
  <c r="H6" i="3" s="1"/>
  <c r="I6" i="3"/>
  <c r="G7" i="3"/>
  <c r="H7" i="3" s="1"/>
  <c r="I7" i="3"/>
  <c r="L7" i="3" s="1"/>
  <c r="M7" i="3" s="1"/>
  <c r="N7" i="3" s="1"/>
  <c r="P7" i="3" s="1"/>
  <c r="G8" i="3"/>
  <c r="H8" i="3" s="1"/>
  <c r="I8" i="3"/>
  <c r="G9" i="3"/>
  <c r="H9" i="3" s="1"/>
  <c r="I9" i="3"/>
  <c r="G10" i="3"/>
  <c r="H10" i="3" s="1"/>
  <c r="I10" i="3"/>
  <c r="G11" i="3"/>
  <c r="H11" i="3" s="1"/>
  <c r="I11" i="3"/>
  <c r="G12" i="3"/>
  <c r="H12" i="3"/>
  <c r="I12" i="3"/>
  <c r="J12" i="3"/>
  <c r="K12" i="3"/>
  <c r="L12" i="3"/>
  <c r="M12" i="3"/>
  <c r="N12" i="3"/>
  <c r="G13" i="3"/>
  <c r="H13" i="3"/>
  <c r="I13" i="3"/>
  <c r="J13" i="3"/>
  <c r="K13" i="3"/>
  <c r="L13" i="3"/>
  <c r="M13" i="3"/>
  <c r="N13" i="3"/>
  <c r="G14" i="3"/>
  <c r="H14" i="3"/>
  <c r="I14" i="3"/>
  <c r="J14" i="3"/>
  <c r="K14" i="3"/>
  <c r="L14" i="3"/>
  <c r="M14" i="3"/>
  <c r="N14" i="3"/>
  <c r="D16" i="4" l="1"/>
  <c r="L5" i="12"/>
  <c r="M5" i="12" s="1"/>
  <c r="N5" i="12" s="1"/>
  <c r="C8" i="13"/>
  <c r="D8" i="13"/>
  <c r="F8" i="13" s="1"/>
  <c r="F9" i="13" s="1"/>
  <c r="E8" i="13"/>
  <c r="J10" i="12"/>
  <c r="K10" i="12" s="1"/>
  <c r="L10" i="12"/>
  <c r="M10" i="12" s="1"/>
  <c r="N10" i="12" s="1"/>
  <c r="P10" i="12" s="1"/>
  <c r="L5" i="3"/>
  <c r="M5" i="3" s="1"/>
  <c r="N5" i="3" s="1"/>
  <c r="P5" i="3" s="1"/>
  <c r="L10" i="3"/>
  <c r="M10" i="3" s="1"/>
  <c r="N10" i="3" s="1"/>
  <c r="P10" i="3" s="1"/>
  <c r="E13" i="4"/>
  <c r="P28" i="8"/>
  <c r="L8" i="3"/>
  <c r="M8" i="3" s="1"/>
  <c r="N8" i="3" s="1"/>
  <c r="P8" i="3" s="1"/>
  <c r="P27" i="8"/>
  <c r="J7" i="12"/>
  <c r="K7" i="12" s="1"/>
  <c r="H12" i="9"/>
  <c r="H11" i="9"/>
  <c r="J8" i="8"/>
  <c r="C2" i="10"/>
  <c r="C3" i="10" s="1"/>
  <c r="N12" i="14" s="1"/>
  <c r="N20" i="14"/>
  <c r="N19" i="14"/>
  <c r="A28" i="12"/>
  <c r="A26" i="12"/>
  <c r="A24" i="12"/>
  <c r="N15" i="14"/>
  <c r="A37" i="12"/>
  <c r="A27" i="12"/>
  <c r="C14" i="10"/>
  <c r="C13" i="10"/>
  <c r="C12" i="10"/>
  <c r="N17" i="14"/>
  <c r="N13" i="14"/>
  <c r="C24" i="10"/>
  <c r="B16" i="13"/>
  <c r="B18" i="13"/>
  <c r="B13" i="13"/>
  <c r="B20" i="13"/>
  <c r="B19" i="13"/>
  <c r="B12" i="13"/>
  <c r="B17" i="13"/>
  <c r="B15" i="13"/>
  <c r="B14" i="13"/>
  <c r="P5" i="12"/>
  <c r="L7" i="12"/>
  <c r="M7" i="12" s="1"/>
  <c r="N7" i="12" s="1"/>
  <c r="P7" i="12" s="1"/>
  <c r="L8" i="12"/>
  <c r="M8" i="12" s="1"/>
  <c r="N8" i="12" s="1"/>
  <c r="P8" i="12" s="1"/>
  <c r="I11" i="9" s="1"/>
  <c r="L6" i="12"/>
  <c r="M6" i="12" s="1"/>
  <c r="J6" i="12"/>
  <c r="K6" i="12" s="1"/>
  <c r="L9" i="12"/>
  <c r="M9" i="12" s="1"/>
  <c r="N9" i="12" s="1"/>
  <c r="P9" i="12" s="1"/>
  <c r="P27" i="14"/>
  <c r="P28" i="14"/>
  <c r="D13" i="4"/>
  <c r="B19" i="4"/>
  <c r="C19" i="4" s="1"/>
  <c r="J11" i="3"/>
  <c r="K11" i="3" s="1"/>
  <c r="L11" i="3"/>
  <c r="M11" i="3" s="1"/>
  <c r="N11" i="3" s="1"/>
  <c r="P11" i="3" s="1"/>
  <c r="C18" i="4"/>
  <c r="B17" i="4"/>
  <c r="C14" i="4"/>
  <c r="B20" i="4"/>
  <c r="F18" i="4"/>
  <c r="E18" i="4"/>
  <c r="E15" i="4"/>
  <c r="F15" i="4" s="1"/>
  <c r="C16" i="4"/>
  <c r="C15" i="4"/>
  <c r="D12" i="4"/>
  <c r="E14" i="4"/>
  <c r="F14" i="4" s="1"/>
  <c r="D8" i="4"/>
  <c r="E4" i="6"/>
  <c r="F4" i="6"/>
  <c r="J7" i="3"/>
  <c r="K7" i="3" s="1"/>
  <c r="J10" i="3"/>
  <c r="K10" i="3" s="1"/>
  <c r="J5" i="3"/>
  <c r="K5" i="3" s="1"/>
  <c r="J8" i="3"/>
  <c r="K8" i="3" s="1"/>
  <c r="L6" i="3"/>
  <c r="M6" i="3" s="1"/>
  <c r="J6" i="3"/>
  <c r="K6" i="3" s="1"/>
  <c r="L9" i="3"/>
  <c r="M9" i="3" s="1"/>
  <c r="N9" i="3" s="1"/>
  <c r="P9" i="3" s="1"/>
  <c r="J9" i="3"/>
  <c r="K9" i="3" s="1"/>
  <c r="Q9" i="1"/>
  <c r="Q10" i="1"/>
  <c r="Q11" i="1"/>
  <c r="Q12" i="1"/>
  <c r="Q13" i="1"/>
  <c r="Q14" i="1"/>
  <c r="Q15" i="1"/>
  <c r="Q16" i="1"/>
  <c r="C23" i="10" l="1"/>
  <c r="A23" i="12"/>
  <c r="F23" i="12" s="1"/>
  <c r="A30" i="12"/>
  <c r="A32" i="12"/>
  <c r="J32" i="12" s="1"/>
  <c r="C27" i="10"/>
  <c r="C5" i="10"/>
  <c r="D5" i="10" s="1"/>
  <c r="C20" i="10"/>
  <c r="A19" i="12"/>
  <c r="F19" i="12" s="1"/>
  <c r="A34" i="12"/>
  <c r="F34" i="12" s="1"/>
  <c r="E8" i="4"/>
  <c r="F8" i="4" s="1"/>
  <c r="F9" i="4" s="1"/>
  <c r="A29" i="12"/>
  <c r="C30" i="10"/>
  <c r="A38" i="12"/>
  <c r="B38" i="12" s="1"/>
  <c r="C18" i="10"/>
  <c r="C8" i="10"/>
  <c r="A35" i="12"/>
  <c r="J35" i="12" s="1"/>
  <c r="N21" i="14"/>
  <c r="Q21" i="14" s="1"/>
  <c r="F13" i="4"/>
  <c r="C28" i="10"/>
  <c r="C32" i="10"/>
  <c r="C34" i="10"/>
  <c r="D34" i="10" s="1"/>
  <c r="A36" i="12"/>
  <c r="B36" i="12" s="1"/>
  <c r="K15" i="12"/>
  <c r="C7" i="10"/>
  <c r="D19" i="4"/>
  <c r="C33" i="10"/>
  <c r="C9" i="10"/>
  <c r="A21" i="12"/>
  <c r="F21" i="12" s="1"/>
  <c r="N23" i="14"/>
  <c r="N14" i="14"/>
  <c r="C26" i="10"/>
  <c r="C21" i="10"/>
  <c r="D21" i="10" s="1"/>
  <c r="F19" i="4"/>
  <c r="C22" i="10"/>
  <c r="C25" i="10"/>
  <c r="C10" i="10"/>
  <c r="A31" i="12"/>
  <c r="A20" i="12"/>
  <c r="N16" i="14"/>
  <c r="E16" i="4"/>
  <c r="F16" i="4" s="1"/>
  <c r="C15" i="10"/>
  <c r="C17" i="10"/>
  <c r="C31" i="10"/>
  <c r="C29" i="10"/>
  <c r="C19" i="10"/>
  <c r="D19" i="10" s="1"/>
  <c r="A33" i="12"/>
  <c r="J33" i="12" s="1"/>
  <c r="N22" i="14"/>
  <c r="E19" i="4"/>
  <c r="C16" i="10"/>
  <c r="C11" i="10"/>
  <c r="D11" i="10" s="1"/>
  <c r="A25" i="12"/>
  <c r="J25" i="12" s="1"/>
  <c r="A22" i="12"/>
  <c r="N18" i="14"/>
  <c r="R18" i="14" s="1"/>
  <c r="C16" i="13"/>
  <c r="D16" i="13"/>
  <c r="E16" i="13"/>
  <c r="F16" i="13"/>
  <c r="J34" i="12"/>
  <c r="M34" i="12"/>
  <c r="D29" i="10"/>
  <c r="G38" i="12"/>
  <c r="M38" i="12"/>
  <c r="B20" i="12"/>
  <c r="F20" i="12"/>
  <c r="G20" i="12"/>
  <c r="Q16" i="14"/>
  <c r="R16" i="14"/>
  <c r="D27" i="10"/>
  <c r="Q22" i="14"/>
  <c r="R22" i="14"/>
  <c r="D8" i="10"/>
  <c r="D33" i="10"/>
  <c r="Q23" i="14"/>
  <c r="R23" i="14"/>
  <c r="F17" i="13"/>
  <c r="D17" i="13"/>
  <c r="C17" i="13"/>
  <c r="E17" i="13"/>
  <c r="D16" i="10"/>
  <c r="G25" i="12"/>
  <c r="B22" i="12"/>
  <c r="F22" i="12"/>
  <c r="G22" i="12"/>
  <c r="M22" i="12"/>
  <c r="J22" i="12" s="1"/>
  <c r="Q18" i="14"/>
  <c r="E12" i="13"/>
  <c r="C12" i="13"/>
  <c r="D12" i="13"/>
  <c r="F12" i="13" s="1"/>
  <c r="D24" i="10"/>
  <c r="D12" i="10"/>
  <c r="J27" i="12"/>
  <c r="M27" i="12"/>
  <c r="F27" i="12"/>
  <c r="B27" i="12"/>
  <c r="G27" i="12"/>
  <c r="B24" i="12"/>
  <c r="F24" i="12"/>
  <c r="G24" i="12"/>
  <c r="J24" i="12"/>
  <c r="M24" i="12"/>
  <c r="Q19" i="14"/>
  <c r="R19" i="14"/>
  <c r="D18" i="10"/>
  <c r="C14" i="13"/>
  <c r="D14" i="13"/>
  <c r="E14" i="13"/>
  <c r="F14" i="13"/>
  <c r="M21" i="12"/>
  <c r="D25" i="10"/>
  <c r="D19" i="13"/>
  <c r="E19" i="13"/>
  <c r="F19" i="13"/>
  <c r="C19" i="13"/>
  <c r="D13" i="10"/>
  <c r="J37" i="12"/>
  <c r="M37" i="12"/>
  <c r="F37" i="12"/>
  <c r="B37" i="12"/>
  <c r="G37" i="12"/>
  <c r="B26" i="12"/>
  <c r="F26" i="12"/>
  <c r="G26" i="12"/>
  <c r="J26" i="12"/>
  <c r="M26" i="12"/>
  <c r="Q20" i="14"/>
  <c r="R20" i="14"/>
  <c r="C18" i="13"/>
  <c r="D18" i="13"/>
  <c r="E18" i="13"/>
  <c r="F18" i="13"/>
  <c r="D7" i="10"/>
  <c r="M35" i="12"/>
  <c r="B35" i="12"/>
  <c r="G35" i="12"/>
  <c r="B32" i="12"/>
  <c r="F32" i="12"/>
  <c r="G32" i="12"/>
  <c r="J29" i="12"/>
  <c r="M29" i="12"/>
  <c r="F29" i="12"/>
  <c r="B29" i="12"/>
  <c r="G29" i="12"/>
  <c r="D30" i="10"/>
  <c r="D9" i="10"/>
  <c r="F15" i="13"/>
  <c r="C15" i="13"/>
  <c r="D15" i="13"/>
  <c r="E15" i="13"/>
  <c r="D10" i="10"/>
  <c r="J31" i="12"/>
  <c r="M31" i="12"/>
  <c r="F31" i="12"/>
  <c r="B31" i="12"/>
  <c r="G31" i="12"/>
  <c r="F20" i="13"/>
  <c r="C20" i="13"/>
  <c r="D20" i="13"/>
  <c r="E20" i="13"/>
  <c r="R17" i="14"/>
  <c r="Q17" i="14"/>
  <c r="D14" i="10"/>
  <c r="B28" i="12"/>
  <c r="F28" i="12"/>
  <c r="G28" i="12"/>
  <c r="J28" i="12"/>
  <c r="M28" i="12"/>
  <c r="D15" i="10"/>
  <c r="C13" i="13"/>
  <c r="D13" i="13"/>
  <c r="E13" i="13"/>
  <c r="D23" i="10"/>
  <c r="D17" i="10"/>
  <c r="B30" i="12"/>
  <c r="F30" i="12"/>
  <c r="G30" i="12"/>
  <c r="J30" i="12"/>
  <c r="M30" i="12"/>
  <c r="N6" i="12"/>
  <c r="M15" i="12"/>
  <c r="E17" i="4"/>
  <c r="F17" i="4"/>
  <c r="C17" i="4"/>
  <c r="D17" i="4"/>
  <c r="C20" i="4"/>
  <c r="F20" i="4"/>
  <c r="D20" i="4"/>
  <c r="E20" i="4"/>
  <c r="A4" i="6"/>
  <c r="N6" i="3"/>
  <c r="M15" i="3"/>
  <c r="K15" i="3"/>
  <c r="D32" i="10" l="1"/>
  <c r="M36" i="12"/>
  <c r="G36" i="12"/>
  <c r="B34" i="12"/>
  <c r="F35" i="12"/>
  <c r="B25" i="12"/>
  <c r="F36" i="12"/>
  <c r="G19" i="12"/>
  <c r="G39" i="12" s="1"/>
  <c r="J23" i="12"/>
  <c r="D28" i="10"/>
  <c r="B19" i="12"/>
  <c r="F25" i="12"/>
  <c r="G33" i="12"/>
  <c r="D26" i="10"/>
  <c r="M25" i="12"/>
  <c r="J38" i="12"/>
  <c r="B33" i="12"/>
  <c r="M19" i="12"/>
  <c r="G21" i="12"/>
  <c r="F33" i="12"/>
  <c r="B23" i="12"/>
  <c r="M32" i="12"/>
  <c r="B21" i="12"/>
  <c r="D22" i="10"/>
  <c r="G11" i="10"/>
  <c r="R21" i="14"/>
  <c r="D31" i="10"/>
  <c r="F38" i="12"/>
  <c r="M33" i="12"/>
  <c r="D20" i="10"/>
  <c r="M23" i="12"/>
  <c r="J21" i="12"/>
  <c r="J36" i="12"/>
  <c r="G34" i="12"/>
  <c r="F13" i="13"/>
  <c r="P6" i="3"/>
  <c r="E12" i="4"/>
  <c r="F12" i="4" s="1"/>
  <c r="F21" i="4" s="1"/>
  <c r="G23" i="12"/>
  <c r="F22" i="10"/>
  <c r="G22" i="10"/>
  <c r="F21" i="13"/>
  <c r="F14" i="10"/>
  <c r="G14" i="10"/>
  <c r="F30" i="10"/>
  <c r="G30" i="10"/>
  <c r="F13" i="10"/>
  <c r="G13" i="10"/>
  <c r="F33" i="10"/>
  <c r="G33" i="10"/>
  <c r="F27" i="10"/>
  <c r="G27" i="10"/>
  <c r="F39" i="12"/>
  <c r="F15" i="10"/>
  <c r="G15" i="10"/>
  <c r="F29" i="10"/>
  <c r="G29" i="10"/>
  <c r="G12" i="10"/>
  <c r="F12" i="10"/>
  <c r="F10" i="10"/>
  <c r="G10" i="10"/>
  <c r="G19" i="10"/>
  <c r="F19" i="10"/>
  <c r="F17" i="10"/>
  <c r="G17" i="10"/>
  <c r="F26" i="10"/>
  <c r="G26" i="10"/>
  <c r="F21" i="10"/>
  <c r="G21" i="10"/>
  <c r="G9" i="10"/>
  <c r="F9" i="10"/>
  <c r="F18" i="10"/>
  <c r="G18" i="10"/>
  <c r="F24" i="10"/>
  <c r="G24" i="10"/>
  <c r="G16" i="10"/>
  <c r="F16" i="10"/>
  <c r="F25" i="10"/>
  <c r="G25" i="10"/>
  <c r="F31" i="10"/>
  <c r="G31" i="10"/>
  <c r="F20" i="10"/>
  <c r="G20" i="10"/>
  <c r="F23" i="10"/>
  <c r="G23" i="10"/>
  <c r="F34" i="10"/>
  <c r="G34" i="10"/>
  <c r="P6" i="12"/>
  <c r="N15" i="12"/>
  <c r="N15" i="3"/>
  <c r="M40" i="3" l="1"/>
  <c r="P15" i="3"/>
  <c r="F11" i="10"/>
  <c r="F28" i="10"/>
  <c r="G28" i="10"/>
  <c r="J19" i="12"/>
  <c r="I10" i="9"/>
  <c r="H10" i="9" s="1"/>
  <c r="M20" i="12"/>
  <c r="J20" i="12" s="1"/>
  <c r="F32" i="10"/>
  <c r="G32" i="10"/>
  <c r="M40" i="12"/>
  <c r="P15" i="12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H9" i="1"/>
  <c r="H19" i="9" l="1"/>
  <c r="H14" i="9"/>
  <c r="H15" i="9"/>
  <c r="H16" i="9" s="1"/>
  <c r="B7" i="14" s="1"/>
  <c r="C6" i="10"/>
  <c r="J39" i="12"/>
  <c r="M39" i="12"/>
  <c r="M41" i="12" s="1"/>
  <c r="C2" i="5"/>
  <c r="C3" i="5" s="1"/>
  <c r="H18" i="1"/>
  <c r="H23" i="1"/>
  <c r="H19" i="1"/>
  <c r="D6" i="10" l="1"/>
  <c r="B8" i="11" s="1"/>
  <c r="B5" i="14" s="1"/>
  <c r="B6" i="14"/>
  <c r="H18" i="9"/>
  <c r="B4" i="11" s="1"/>
  <c r="H17" i="9"/>
  <c r="B3" i="11" s="1"/>
  <c r="H20" i="9"/>
  <c r="H24" i="1"/>
  <c r="B6" i="8"/>
  <c r="N15" i="8"/>
  <c r="N16" i="8"/>
  <c r="N17" i="8"/>
  <c r="N18" i="8"/>
  <c r="N19" i="8"/>
  <c r="N20" i="8"/>
  <c r="N12" i="8"/>
  <c r="N13" i="8"/>
  <c r="N22" i="8"/>
  <c r="N23" i="8"/>
  <c r="N21" i="8"/>
  <c r="N14" i="8"/>
  <c r="A33" i="3"/>
  <c r="A21" i="3"/>
  <c r="D16" i="6"/>
  <c r="D28" i="6"/>
  <c r="A32" i="3"/>
  <c r="A20" i="3"/>
  <c r="D17" i="6"/>
  <c r="D29" i="6"/>
  <c r="A31" i="3"/>
  <c r="A19" i="3"/>
  <c r="D18" i="6"/>
  <c r="D30" i="6"/>
  <c r="A30" i="3"/>
  <c r="D19" i="6"/>
  <c r="D31" i="6"/>
  <c r="A37" i="3"/>
  <c r="A36" i="3"/>
  <c r="D25" i="6"/>
  <c r="A23" i="3"/>
  <c r="D26" i="6"/>
  <c r="A22" i="3"/>
  <c r="D27" i="6"/>
  <c r="A29" i="3"/>
  <c r="D20" i="6"/>
  <c r="D32" i="6"/>
  <c r="A38" i="3"/>
  <c r="D23" i="6"/>
  <c r="A28" i="3"/>
  <c r="D21" i="6"/>
  <c r="D33" i="6"/>
  <c r="A27" i="3"/>
  <c r="D22" i="6"/>
  <c r="D34" i="6"/>
  <c r="A26" i="3"/>
  <c r="A25" i="3"/>
  <c r="D5" i="6"/>
  <c r="D24" i="6"/>
  <c r="A24" i="3"/>
  <c r="D13" i="6"/>
  <c r="A35" i="3"/>
  <c r="D14" i="6"/>
  <c r="A34" i="3"/>
  <c r="D15" i="6"/>
  <c r="C5" i="6"/>
  <c r="C19" i="6"/>
  <c r="C25" i="6"/>
  <c r="C34" i="6"/>
  <c r="C6" i="6"/>
  <c r="C10" i="6"/>
  <c r="C15" i="6"/>
  <c r="C29" i="6"/>
  <c r="C20" i="6"/>
  <c r="C30" i="6"/>
  <c r="C16" i="6"/>
  <c r="C21" i="6"/>
  <c r="C26" i="6"/>
  <c r="C7" i="6"/>
  <c r="C12" i="6"/>
  <c r="C22" i="6"/>
  <c r="C31" i="6"/>
  <c r="C14" i="6"/>
  <c r="C23" i="6"/>
  <c r="C32" i="6"/>
  <c r="C8" i="6"/>
  <c r="C24" i="6"/>
  <c r="C33" i="6"/>
  <c r="C18" i="6"/>
  <c r="C27" i="6"/>
  <c r="C9" i="6"/>
  <c r="C11" i="6"/>
  <c r="C13" i="6"/>
  <c r="C28" i="6"/>
  <c r="C17" i="6"/>
  <c r="C5" i="5"/>
  <c r="C29" i="5"/>
  <c r="C34" i="5"/>
  <c r="C7" i="5"/>
  <c r="C9" i="5"/>
  <c r="D9" i="5" s="1"/>
  <c r="C10" i="5"/>
  <c r="C18" i="5"/>
  <c r="C6" i="5"/>
  <c r="C14" i="5"/>
  <c r="C26" i="5"/>
  <c r="C30" i="5"/>
  <c r="C21" i="5"/>
  <c r="C33" i="5"/>
  <c r="C17" i="5"/>
  <c r="C22" i="5"/>
  <c r="C19" i="5"/>
  <c r="C31" i="5"/>
  <c r="C16" i="5"/>
  <c r="C28" i="5"/>
  <c r="C23" i="5"/>
  <c r="C11" i="5"/>
  <c r="D11" i="5" s="1"/>
  <c r="C13" i="5"/>
  <c r="C12" i="5"/>
  <c r="D12" i="5" s="1"/>
  <c r="C27" i="5"/>
  <c r="C20" i="5"/>
  <c r="C8" i="5"/>
  <c r="C25" i="5"/>
  <c r="C15" i="5"/>
  <c r="C32" i="5"/>
  <c r="C24" i="5"/>
  <c r="H20" i="1"/>
  <c r="B7" i="8" s="1"/>
  <c r="H21" i="1"/>
  <c r="B3" i="2" s="1"/>
  <c r="H22" i="1"/>
  <c r="B4" i="2" s="1"/>
  <c r="S19" i="14" l="1"/>
  <c r="S15" i="14"/>
  <c r="S13" i="14"/>
  <c r="S22" i="14"/>
  <c r="S21" i="14"/>
  <c r="S12" i="14"/>
  <c r="S17" i="14"/>
  <c r="S18" i="14"/>
  <c r="S14" i="14"/>
  <c r="E5" i="13"/>
  <c r="F5" i="13" s="1"/>
  <c r="F22" i="13" s="1"/>
  <c r="I5" i="13" s="1"/>
  <c r="S23" i="14"/>
  <c r="S20" i="14"/>
  <c r="S16" i="14"/>
  <c r="G6" i="10"/>
  <c r="R23" i="8"/>
  <c r="Q23" i="8"/>
  <c r="R22" i="8"/>
  <c r="Q22" i="8"/>
  <c r="R20" i="8"/>
  <c r="Q20" i="8"/>
  <c r="R21" i="8"/>
  <c r="Q21" i="8"/>
  <c r="E5" i="4"/>
  <c r="F5" i="4" s="1"/>
  <c r="F22" i="4" s="1"/>
  <c r="I5" i="4" s="1"/>
  <c r="S23" i="8"/>
  <c r="S19" i="8"/>
  <c r="S15" i="8"/>
  <c r="S22" i="8"/>
  <c r="S18" i="8"/>
  <c r="S14" i="8"/>
  <c r="S21" i="8"/>
  <c r="S17" i="8"/>
  <c r="S13" i="8"/>
  <c r="S20" i="8"/>
  <c r="S16" i="8"/>
  <c r="S12" i="8"/>
  <c r="J29" i="3"/>
  <c r="B29" i="3"/>
  <c r="M29" i="3"/>
  <c r="G29" i="3"/>
  <c r="F29" i="3"/>
  <c r="B19" i="3"/>
  <c r="G19" i="3"/>
  <c r="F19" i="3"/>
  <c r="M19" i="3"/>
  <c r="B27" i="3"/>
  <c r="M27" i="3"/>
  <c r="F27" i="3"/>
  <c r="G27" i="3"/>
  <c r="F23" i="3"/>
  <c r="G23" i="3"/>
  <c r="B23" i="3"/>
  <c r="M23" i="3"/>
  <c r="G34" i="3"/>
  <c r="J34" i="3"/>
  <c r="M34" i="3"/>
  <c r="B34" i="3"/>
  <c r="F34" i="3"/>
  <c r="B20" i="3"/>
  <c r="G20" i="3"/>
  <c r="M20" i="3"/>
  <c r="F20" i="3"/>
  <c r="B26" i="3"/>
  <c r="G26" i="3"/>
  <c r="F26" i="3"/>
  <c r="M26" i="3"/>
  <c r="M36" i="3"/>
  <c r="B36" i="3"/>
  <c r="J36" i="3"/>
  <c r="F36" i="3"/>
  <c r="G36" i="3"/>
  <c r="J32" i="3"/>
  <c r="B32" i="3"/>
  <c r="F32" i="3"/>
  <c r="G32" i="3"/>
  <c r="M32" i="3"/>
  <c r="F25" i="3"/>
  <c r="B25" i="3"/>
  <c r="M25" i="3"/>
  <c r="G25" i="3"/>
  <c r="G35" i="3"/>
  <c r="J35" i="3"/>
  <c r="F35" i="3"/>
  <c r="B35" i="3"/>
  <c r="M35" i="3"/>
  <c r="G22" i="3"/>
  <c r="M22" i="3"/>
  <c r="B22" i="3"/>
  <c r="F22" i="3"/>
  <c r="G28" i="3"/>
  <c r="J28" i="3"/>
  <c r="B28" i="3"/>
  <c r="M28" i="3"/>
  <c r="F28" i="3"/>
  <c r="M24" i="3"/>
  <c r="F24" i="3"/>
  <c r="G24" i="3"/>
  <c r="B24" i="3"/>
  <c r="B38" i="3"/>
  <c r="F38" i="3"/>
  <c r="M38" i="3"/>
  <c r="G38" i="3"/>
  <c r="J38" i="3"/>
  <c r="F21" i="3"/>
  <c r="G21" i="3"/>
  <c r="M21" i="3"/>
  <c r="B21" i="3"/>
  <c r="F31" i="3"/>
  <c r="B31" i="3"/>
  <c r="M31" i="3"/>
  <c r="J31" i="3"/>
  <c r="G31" i="3"/>
  <c r="F37" i="3"/>
  <c r="J37" i="3"/>
  <c r="M37" i="3"/>
  <c r="B37" i="3"/>
  <c r="G37" i="3"/>
  <c r="M30" i="3"/>
  <c r="G30" i="3"/>
  <c r="B30" i="3"/>
  <c r="J30" i="3"/>
  <c r="F30" i="3"/>
  <c r="J33" i="3"/>
  <c r="B33" i="3"/>
  <c r="G33" i="3"/>
  <c r="M33" i="3"/>
  <c r="F33" i="3"/>
  <c r="G8" i="6"/>
  <c r="G28" i="6"/>
  <c r="A28" i="6"/>
  <c r="G31" i="6"/>
  <c r="A31" i="6"/>
  <c r="G6" i="6"/>
  <c r="G16" i="6"/>
  <c r="G30" i="6"/>
  <c r="G29" i="6"/>
  <c r="G23" i="6"/>
  <c r="A23" i="6"/>
  <c r="G10" i="6"/>
  <c r="G13" i="6"/>
  <c r="G22" i="6"/>
  <c r="G34" i="6"/>
  <c r="G18" i="6"/>
  <c r="A18" i="6"/>
  <c r="G21" i="6"/>
  <c r="G33" i="6"/>
  <c r="A33" i="6"/>
  <c r="G32" i="6"/>
  <c r="G14" i="6"/>
  <c r="A14" i="6"/>
  <c r="G11" i="6"/>
  <c r="G12" i="6"/>
  <c r="G25" i="6"/>
  <c r="G9" i="6"/>
  <c r="G7" i="6"/>
  <c r="G19" i="6"/>
  <c r="A19" i="6"/>
  <c r="G24" i="6"/>
  <c r="G20" i="6"/>
  <c r="A15" i="6"/>
  <c r="G15" i="6"/>
  <c r="G17" i="6"/>
  <c r="G27" i="6"/>
  <c r="A27" i="6"/>
  <c r="G26" i="6"/>
  <c r="G5" i="6"/>
  <c r="D27" i="5"/>
  <c r="D6" i="5"/>
  <c r="D18" i="5"/>
  <c r="D24" i="5"/>
  <c r="D32" i="5"/>
  <c r="G9" i="5"/>
  <c r="D34" i="5"/>
  <c r="D13" i="5"/>
  <c r="G13" i="5" s="1"/>
  <c r="D16" i="5"/>
  <c r="D15" i="5"/>
  <c r="D25" i="5"/>
  <c r="D8" i="5"/>
  <c r="G8" i="5" s="1"/>
  <c r="D17" i="5"/>
  <c r="D29" i="5"/>
  <c r="D21" i="5"/>
  <c r="D30" i="5"/>
  <c r="D26" i="5"/>
  <c r="G11" i="5"/>
  <c r="D14" i="5"/>
  <c r="D23" i="5"/>
  <c r="D28" i="5"/>
  <c r="D10" i="5"/>
  <c r="G10" i="5" s="1"/>
  <c r="D31" i="5"/>
  <c r="D19" i="5"/>
  <c r="D7" i="5"/>
  <c r="D22" i="5"/>
  <c r="D20" i="5"/>
  <c r="D33" i="5"/>
  <c r="D5" i="5"/>
  <c r="F6" i="10" l="1"/>
  <c r="G5" i="10"/>
  <c r="F5" i="10"/>
  <c r="G8" i="10"/>
  <c r="F8" i="10"/>
  <c r="I6" i="13"/>
  <c r="I10" i="13"/>
  <c r="J10" i="13" s="1"/>
  <c r="I9" i="13"/>
  <c r="J9" i="13" s="1"/>
  <c r="K9" i="13" s="1"/>
  <c r="G7" i="10"/>
  <c r="F7" i="10"/>
  <c r="J26" i="3"/>
  <c r="J19" i="3"/>
  <c r="J20" i="3"/>
  <c r="I6" i="4"/>
  <c r="I10" i="4"/>
  <c r="J10" i="4" s="1"/>
  <c r="I9" i="4"/>
  <c r="J9" i="4" s="1"/>
  <c r="K9" i="4" s="1"/>
  <c r="J23" i="3"/>
  <c r="J22" i="3"/>
  <c r="J21" i="3"/>
  <c r="J24" i="3"/>
  <c r="F12" i="5"/>
  <c r="J27" i="3"/>
  <c r="J25" i="3"/>
  <c r="F39" i="3"/>
  <c r="M39" i="3"/>
  <c r="M41" i="3" s="1"/>
  <c r="C19" i="7" s="1"/>
  <c r="G39" i="3"/>
  <c r="G12" i="5"/>
  <c r="F7" i="5"/>
  <c r="G7" i="5"/>
  <c r="F32" i="5"/>
  <c r="G32" i="5"/>
  <c r="F26" i="6"/>
  <c r="E26" i="6"/>
  <c r="F19" i="5"/>
  <c r="G19" i="5"/>
  <c r="F25" i="5"/>
  <c r="G25" i="5"/>
  <c r="A24" i="6"/>
  <c r="E24" i="6"/>
  <c r="F24" i="6"/>
  <c r="A21" i="6"/>
  <c r="E21" i="6"/>
  <c r="F21" i="6"/>
  <c r="F5" i="5"/>
  <c r="G5" i="5"/>
  <c r="F14" i="6"/>
  <c r="E14" i="6"/>
  <c r="A29" i="6"/>
  <c r="E29" i="6"/>
  <c r="F29" i="6"/>
  <c r="E28" i="6"/>
  <c r="F28" i="6"/>
  <c r="E19" i="6"/>
  <c r="F19" i="6"/>
  <c r="E27" i="6"/>
  <c r="F27" i="6"/>
  <c r="F16" i="5"/>
  <c r="G16" i="5"/>
  <c r="F33" i="5"/>
  <c r="G33" i="5"/>
  <c r="F28" i="5"/>
  <c r="G28" i="5"/>
  <c r="A17" i="6"/>
  <c r="E17" i="6"/>
  <c r="F17" i="6"/>
  <c r="F20" i="5"/>
  <c r="G20" i="5"/>
  <c r="F27" i="5"/>
  <c r="G27" i="5"/>
  <c r="A34" i="6"/>
  <c r="E34" i="6"/>
  <c r="F34" i="6"/>
  <c r="A30" i="6"/>
  <c r="E30" i="6"/>
  <c r="F30" i="6"/>
  <c r="F23" i="6"/>
  <c r="E23" i="6"/>
  <c r="F34" i="5"/>
  <c r="G34" i="5"/>
  <c r="F22" i="5"/>
  <c r="G22" i="5"/>
  <c r="F23" i="5"/>
  <c r="G23" i="5"/>
  <c r="E15" i="6"/>
  <c r="F15" i="6"/>
  <c r="A32" i="6"/>
  <c r="E32" i="6"/>
  <c r="F32" i="6"/>
  <c r="A22" i="6"/>
  <c r="F22" i="6"/>
  <c r="E22" i="6"/>
  <c r="F26" i="5"/>
  <c r="G26" i="5"/>
  <c r="F24" i="5"/>
  <c r="G24" i="5"/>
  <c r="F31" i="5"/>
  <c r="G31" i="5"/>
  <c r="F18" i="5"/>
  <c r="G18" i="5"/>
  <c r="F21" i="5"/>
  <c r="G21" i="5"/>
  <c r="E18" i="6"/>
  <c r="F18" i="6"/>
  <c r="F17" i="5"/>
  <c r="G17" i="5"/>
  <c r="E5" i="6"/>
  <c r="F5" i="6"/>
  <c r="A16" i="6"/>
  <c r="E16" i="6"/>
  <c r="F16" i="6"/>
  <c r="F15" i="5"/>
  <c r="G15" i="5"/>
  <c r="F30" i="5"/>
  <c r="G30" i="5"/>
  <c r="E31" i="6"/>
  <c r="F31" i="6"/>
  <c r="F6" i="5"/>
  <c r="G6" i="5"/>
  <c r="F29" i="5"/>
  <c r="G29" i="5"/>
  <c r="F14" i="5"/>
  <c r="G14" i="5"/>
  <c r="A26" i="6"/>
  <c r="A20" i="6"/>
  <c r="F20" i="6"/>
  <c r="E20" i="6"/>
  <c r="A25" i="6"/>
  <c r="F25" i="6"/>
  <c r="E25" i="6"/>
  <c r="E33" i="6"/>
  <c r="F33" i="6"/>
  <c r="E13" i="6"/>
  <c r="F13" i="6"/>
  <c r="A13" i="6" s="1"/>
  <c r="F13" i="5"/>
  <c r="F8" i="5"/>
  <c r="F11" i="5"/>
  <c r="B8" i="2"/>
  <c r="F9" i="5"/>
  <c r="F10" i="5"/>
  <c r="I7" i="13" l="1"/>
  <c r="J7" i="13" s="1"/>
  <c r="K7" i="13" s="1"/>
  <c r="I8" i="13"/>
  <c r="J8" i="13" s="1"/>
  <c r="K8" i="13" s="1"/>
  <c r="C23" i="13" s="1"/>
  <c r="I29" i="10"/>
  <c r="I26" i="10"/>
  <c r="I15" i="10"/>
  <c r="J12" i="10"/>
  <c r="J8" i="10"/>
  <c r="I28" i="10"/>
  <c r="I20" i="10"/>
  <c r="I13" i="10"/>
  <c r="J19" i="10"/>
  <c r="I12" i="10"/>
  <c r="J16" i="10"/>
  <c r="J6" i="10"/>
  <c r="J33" i="10"/>
  <c r="I25" i="10"/>
  <c r="J24" i="10"/>
  <c r="J14" i="10"/>
  <c r="J25" i="10"/>
  <c r="J20" i="10"/>
  <c r="I33" i="10"/>
  <c r="I10" i="10"/>
  <c r="I31" i="10"/>
  <c r="I14" i="10"/>
  <c r="I21" i="10"/>
  <c r="J18" i="10"/>
  <c r="I27" i="10"/>
  <c r="J26" i="10"/>
  <c r="I11" i="10"/>
  <c r="J13" i="10"/>
  <c r="I16" i="10"/>
  <c r="J32" i="10"/>
  <c r="J11" i="10"/>
  <c r="J30" i="10"/>
  <c r="I18" i="10"/>
  <c r="J28" i="10"/>
  <c r="J27" i="10"/>
  <c r="I6" i="10"/>
  <c r="I30" i="10"/>
  <c r="I17" i="10"/>
  <c r="I8" i="10"/>
  <c r="J34" i="10"/>
  <c r="I22" i="10"/>
  <c r="I7" i="10"/>
  <c r="J5" i="10"/>
  <c r="I23" i="10"/>
  <c r="J15" i="10"/>
  <c r="I9" i="10"/>
  <c r="J29" i="10"/>
  <c r="J10" i="10"/>
  <c r="J17" i="10"/>
  <c r="J31" i="10"/>
  <c r="I24" i="10"/>
  <c r="J9" i="10"/>
  <c r="J21" i="10"/>
  <c r="J22" i="10"/>
  <c r="I34" i="10"/>
  <c r="J7" i="10"/>
  <c r="I5" i="10"/>
  <c r="I32" i="10"/>
  <c r="J23" i="10"/>
  <c r="I19" i="10"/>
  <c r="A5" i="6"/>
  <c r="C17" i="7"/>
  <c r="B5" i="8"/>
  <c r="C18" i="7"/>
  <c r="I7" i="4"/>
  <c r="J7" i="4" s="1"/>
  <c r="K7" i="4" s="1"/>
  <c r="I8" i="4"/>
  <c r="J8" i="4" s="1"/>
  <c r="K8" i="4" s="1"/>
  <c r="J39" i="3"/>
  <c r="J8" i="5"/>
  <c r="J14" i="5"/>
  <c r="J20" i="5"/>
  <c r="J26" i="5"/>
  <c r="J32" i="5"/>
  <c r="I17" i="5"/>
  <c r="J11" i="5"/>
  <c r="J17" i="5"/>
  <c r="I9" i="5"/>
  <c r="I15" i="5"/>
  <c r="I21" i="5"/>
  <c r="I27" i="5"/>
  <c r="I33" i="5"/>
  <c r="I5" i="5"/>
  <c r="J9" i="5"/>
  <c r="J15" i="5"/>
  <c r="J21" i="5"/>
  <c r="J27" i="5"/>
  <c r="J33" i="5"/>
  <c r="I11" i="5"/>
  <c r="J5" i="5"/>
  <c r="J29" i="5"/>
  <c r="I10" i="5"/>
  <c r="I16" i="5"/>
  <c r="I22" i="5"/>
  <c r="I28" i="5"/>
  <c r="I34" i="5"/>
  <c r="I23" i="5"/>
  <c r="J23" i="5"/>
  <c r="J10" i="5"/>
  <c r="J16" i="5"/>
  <c r="J22" i="5"/>
  <c r="J28" i="5"/>
  <c r="J34" i="5"/>
  <c r="I29" i="5"/>
  <c r="I18" i="5"/>
  <c r="I31" i="5"/>
  <c r="I19" i="5"/>
  <c r="J18" i="5"/>
  <c r="J31" i="5"/>
  <c r="I6" i="5"/>
  <c r="I32" i="5"/>
  <c r="J6" i="5"/>
  <c r="J19" i="5"/>
  <c r="I24" i="5"/>
  <c r="I12" i="5"/>
  <c r="J25" i="5"/>
  <c r="I26" i="5"/>
  <c r="J13" i="5"/>
  <c r="I14" i="5"/>
  <c r="I7" i="5"/>
  <c r="I20" i="5"/>
  <c r="J7" i="5"/>
  <c r="I25" i="5"/>
  <c r="I8" i="5"/>
  <c r="J24" i="5"/>
  <c r="J12" i="5"/>
  <c r="I13" i="5"/>
  <c r="I30" i="5"/>
  <c r="J30" i="5"/>
  <c r="J2" i="10" l="1"/>
  <c r="C23" i="4"/>
  <c r="J2" i="5"/>
  <c r="N387" i="10" l="1"/>
  <c r="N351" i="10"/>
  <c r="N315" i="10"/>
  <c r="N279" i="10"/>
  <c r="N407" i="10"/>
  <c r="N371" i="10"/>
  <c r="N334" i="10"/>
  <c r="N292" i="10"/>
  <c r="N326" i="10"/>
  <c r="N239" i="10"/>
  <c r="N203" i="10"/>
  <c r="N167" i="10"/>
  <c r="N364" i="10"/>
  <c r="N228" i="10"/>
  <c r="N111" i="10"/>
  <c r="N75" i="10"/>
  <c r="N39" i="10"/>
  <c r="N171" i="10"/>
  <c r="N186" i="10"/>
  <c r="N341" i="10"/>
  <c r="N130" i="10"/>
  <c r="N89" i="10"/>
  <c r="N53" i="10"/>
  <c r="N214" i="10"/>
  <c r="N25" i="10"/>
  <c r="N58" i="10"/>
  <c r="N246" i="10"/>
  <c r="N397" i="10"/>
  <c r="N29" i="10"/>
  <c r="N204" i="10"/>
  <c r="N15" i="10"/>
  <c r="N251" i="10"/>
  <c r="N67" i="10"/>
  <c r="N76" i="10"/>
  <c r="N373" i="10"/>
  <c r="N241" i="10"/>
  <c r="N406" i="10"/>
  <c r="N23" i="10"/>
  <c r="N163" i="10"/>
  <c r="N300" i="10"/>
  <c r="N392" i="10"/>
  <c r="N296" i="10"/>
  <c r="N238" i="10"/>
  <c r="N60" i="10"/>
  <c r="N110" i="10"/>
  <c r="N376" i="10"/>
  <c r="N22" i="10"/>
  <c r="N369" i="10"/>
  <c r="N298" i="10"/>
  <c r="N185" i="10"/>
  <c r="N57" i="10"/>
  <c r="N237" i="10"/>
  <c r="N349" i="10"/>
  <c r="N100" i="10"/>
  <c r="N9" i="10"/>
  <c r="N330" i="10"/>
  <c r="N386" i="10"/>
  <c r="N287" i="10"/>
  <c r="N218" i="10"/>
  <c r="N90" i="10"/>
  <c r="N180" i="10"/>
  <c r="N162" i="10"/>
  <c r="N20" i="10"/>
  <c r="N112" i="10"/>
  <c r="N363" i="10"/>
  <c r="N383" i="10"/>
  <c r="N215" i="10"/>
  <c r="N132" i="10"/>
  <c r="N262" i="10"/>
  <c r="N65" i="10"/>
  <c r="N137" i="10"/>
  <c r="N7" i="10"/>
  <c r="N396" i="10"/>
  <c r="N252" i="10"/>
  <c r="N253" i="10"/>
  <c r="N176" i="10"/>
  <c r="N84" i="10"/>
  <c r="N144" i="10"/>
  <c r="N109" i="10"/>
  <c r="N124" i="10"/>
  <c r="N321" i="10"/>
  <c r="N388" i="10"/>
  <c r="N265" i="10"/>
  <c r="N207" i="10"/>
  <c r="N384" i="10"/>
  <c r="N348" i="10"/>
  <c r="N312" i="10"/>
  <c r="N276" i="10"/>
  <c r="N404" i="10"/>
  <c r="N368" i="10"/>
  <c r="N328" i="10"/>
  <c r="N266" i="10"/>
  <c r="N320" i="10"/>
  <c r="N236" i="10"/>
  <c r="N200" i="10"/>
  <c r="N164" i="10"/>
  <c r="N361" i="10"/>
  <c r="N217" i="10"/>
  <c r="N108" i="10"/>
  <c r="N72" i="10"/>
  <c r="N36" i="10"/>
  <c r="N160" i="10"/>
  <c r="N175" i="10"/>
  <c r="N329" i="10"/>
  <c r="N126" i="10"/>
  <c r="N86" i="10"/>
  <c r="N50" i="10"/>
  <c r="N189" i="10"/>
  <c r="N193" i="10"/>
  <c r="N219" i="10"/>
  <c r="N220" i="10"/>
  <c r="N335" i="10"/>
  <c r="N143" i="10"/>
  <c r="N142" i="10"/>
  <c r="N14" i="10"/>
  <c r="N240" i="10"/>
  <c r="N382" i="10"/>
  <c r="N229" i="10"/>
  <c r="N359" i="10"/>
  <c r="N122" i="10"/>
  <c r="N41" i="10"/>
  <c r="N234" i="10"/>
  <c r="N46" i="10"/>
  <c r="N408" i="10"/>
  <c r="N356" i="10"/>
  <c r="N224" i="10"/>
  <c r="N96" i="10"/>
  <c r="N278" i="10"/>
  <c r="N199" i="10"/>
  <c r="N231" i="10"/>
  <c r="N187" i="10"/>
  <c r="N256" i="10"/>
  <c r="N325" i="10"/>
  <c r="N106" i="10"/>
  <c r="N324" i="10"/>
  <c r="N275" i="10"/>
  <c r="N48" i="10"/>
  <c r="N62" i="10"/>
  <c r="N33" i="10"/>
  <c r="N168" i="10"/>
  <c r="N357" i="10"/>
  <c r="N377" i="10"/>
  <c r="N209" i="10"/>
  <c r="N45" i="10"/>
  <c r="N381" i="10"/>
  <c r="N345" i="10"/>
  <c r="N309" i="10"/>
  <c r="N273" i="10"/>
  <c r="N401" i="10"/>
  <c r="N365" i="10"/>
  <c r="N322" i="10"/>
  <c r="N249" i="10"/>
  <c r="N314" i="10"/>
  <c r="N233" i="10"/>
  <c r="N197" i="10"/>
  <c r="N161" i="10"/>
  <c r="N299" i="10"/>
  <c r="N192" i="10"/>
  <c r="N105" i="10"/>
  <c r="N69" i="10"/>
  <c r="N385" i="10"/>
  <c r="N140" i="10"/>
  <c r="N150" i="10"/>
  <c r="N317" i="10"/>
  <c r="N121" i="10"/>
  <c r="N83" i="10"/>
  <c r="N47" i="10"/>
  <c r="N178" i="10"/>
  <c r="N133" i="10"/>
  <c r="N311" i="10"/>
  <c r="N198" i="10"/>
  <c r="N283" i="10"/>
  <c r="N55" i="10"/>
  <c r="N97" i="10"/>
  <c r="N13" i="10"/>
  <c r="N120" i="10"/>
  <c r="N119" i="10"/>
  <c r="N40" i="10"/>
  <c r="N339" i="10"/>
  <c r="N263" i="10"/>
  <c r="N331" i="10"/>
  <c r="N77" i="10"/>
  <c r="N244" i="10"/>
  <c r="N336" i="10"/>
  <c r="N281" i="10"/>
  <c r="N188" i="10"/>
  <c r="N145" i="10"/>
  <c r="N114" i="10"/>
  <c r="N38" i="10"/>
  <c r="N115" i="10"/>
  <c r="N10" i="10"/>
  <c r="N297" i="10"/>
  <c r="N271" i="10"/>
  <c r="N149" i="10"/>
  <c r="N93" i="10"/>
  <c r="N370" i="10"/>
  <c r="N71" i="10"/>
  <c r="N235" i="10"/>
  <c r="N183" i="10"/>
  <c r="N257" i="10"/>
  <c r="N366" i="10"/>
  <c r="N394" i="10"/>
  <c r="N146" i="10"/>
  <c r="N54" i="10"/>
  <c r="N226" i="10"/>
  <c r="N337" i="10"/>
  <c r="N147" i="10"/>
  <c r="N28" i="10"/>
  <c r="N399" i="10"/>
  <c r="N255" i="10"/>
  <c r="N277" i="10"/>
  <c r="N179" i="10"/>
  <c r="N51" i="10"/>
  <c r="N101" i="10"/>
  <c r="N35" i="10"/>
  <c r="N391" i="10"/>
  <c r="N367" i="10"/>
  <c r="N248" i="10"/>
  <c r="N166" i="10"/>
  <c r="N247" i="10"/>
  <c r="N313" i="10"/>
  <c r="N70" i="10"/>
  <c r="N285" i="10"/>
  <c r="N245" i="10"/>
  <c r="N123" i="10"/>
  <c r="N165" i="10"/>
  <c r="N378" i="10"/>
  <c r="N342" i="10"/>
  <c r="N306" i="10"/>
  <c r="N270" i="10"/>
  <c r="N398" i="10"/>
  <c r="N362" i="10"/>
  <c r="N316" i="10"/>
  <c r="N409" i="10"/>
  <c r="N308" i="10"/>
  <c r="N230" i="10"/>
  <c r="N194" i="10"/>
  <c r="N158" i="10"/>
  <c r="N280" i="10"/>
  <c r="N181" i="10"/>
  <c r="N102" i="10"/>
  <c r="N66" i="10"/>
  <c r="N343" i="10"/>
  <c r="N131" i="10"/>
  <c r="N355" i="10"/>
  <c r="N305" i="10"/>
  <c r="N117" i="10"/>
  <c r="N80" i="10"/>
  <c r="N44" i="10"/>
  <c r="N153" i="10"/>
  <c r="N27" i="10"/>
  <c r="N284" i="10"/>
  <c r="N172" i="10"/>
  <c r="N259" i="10"/>
  <c r="N301" i="10"/>
  <c r="N61" i="10"/>
  <c r="N12" i="10"/>
  <c r="N82" i="10"/>
  <c r="N268" i="10"/>
  <c r="N32" i="10"/>
  <c r="N375" i="10"/>
  <c r="N302" i="10"/>
  <c r="N191" i="10"/>
  <c r="N155" i="10"/>
  <c r="N99" i="10"/>
  <c r="N63" i="10"/>
  <c r="N113" i="10"/>
  <c r="N250" i="10"/>
  <c r="N159" i="10"/>
  <c r="N11" i="10"/>
  <c r="N372" i="10"/>
  <c r="N304" i="10"/>
  <c r="N152" i="10"/>
  <c r="N319" i="10"/>
  <c r="N74" i="10"/>
  <c r="N208" i="10"/>
  <c r="N88" i="10"/>
  <c r="N405" i="10"/>
  <c r="N389" i="10"/>
  <c r="N286" i="10"/>
  <c r="N141" i="10"/>
  <c r="N107" i="10"/>
  <c r="N184" i="10"/>
  <c r="N21" i="10"/>
  <c r="N294" i="10"/>
  <c r="N202" i="10"/>
  <c r="N254" i="10"/>
  <c r="N104" i="10"/>
  <c r="N128" i="10"/>
  <c r="N157" i="10"/>
  <c r="N291" i="10"/>
  <c r="N358" i="10"/>
  <c r="N177" i="10"/>
  <c r="N87" i="10"/>
  <c r="N201" i="10"/>
  <c r="N116" i="10"/>
  <c r="N134" i="10"/>
  <c r="N34" i="10"/>
  <c r="N288" i="10"/>
  <c r="N190" i="10"/>
  <c r="N148" i="10"/>
  <c r="N18" i="10"/>
  <c r="N30" i="10"/>
  <c r="N393" i="10"/>
  <c r="N346" i="10"/>
  <c r="N173" i="10"/>
  <c r="N81" i="10"/>
  <c r="N139" i="10"/>
  <c r="N303" i="10"/>
  <c r="N267" i="10"/>
  <c r="N395" i="10"/>
  <c r="N310" i="10"/>
  <c r="N227" i="10"/>
  <c r="N156" i="10"/>
  <c r="N295" i="10"/>
  <c r="N223" i="10"/>
  <c r="N264" i="10"/>
  <c r="N216" i="10"/>
  <c r="N210" i="10"/>
  <c r="N290" i="10"/>
  <c r="N333" i="10"/>
  <c r="N261" i="10"/>
  <c r="N353" i="10"/>
  <c r="N221" i="10"/>
  <c r="N213" i="10"/>
  <c r="N307" i="10"/>
  <c r="N205" i="10"/>
  <c r="N151" i="10"/>
  <c r="N195" i="10"/>
  <c r="N129" i="10"/>
  <c r="N402" i="10"/>
  <c r="N258" i="10"/>
  <c r="N350" i="10"/>
  <c r="N260" i="10"/>
  <c r="N182" i="10"/>
  <c r="N136" i="10"/>
  <c r="N269" i="10"/>
  <c r="N68" i="10"/>
  <c r="N64" i="10"/>
  <c r="N8" i="10"/>
  <c r="N327" i="10"/>
  <c r="N403" i="10"/>
  <c r="N379" i="10"/>
  <c r="N243" i="10"/>
  <c r="N169" i="10"/>
  <c r="N174" i="10"/>
  <c r="N19" i="10"/>
  <c r="N360" i="10"/>
  <c r="N380" i="10"/>
  <c r="N344" i="10"/>
  <c r="N212" i="10"/>
  <c r="N127" i="10"/>
  <c r="N232" i="10"/>
  <c r="N98" i="10"/>
  <c r="N125" i="10"/>
  <c r="N6" i="10"/>
  <c r="B7" i="11"/>
  <c r="N338" i="10"/>
  <c r="N289" i="10"/>
  <c r="N222" i="10"/>
  <c r="N352" i="10"/>
  <c r="N154" i="10"/>
  <c r="N79" i="10"/>
  <c r="N24" i="10"/>
  <c r="N31" i="10"/>
  <c r="N26" i="10"/>
  <c r="N52" i="10"/>
  <c r="N170" i="10"/>
  <c r="N400" i="10"/>
  <c r="N354" i="10"/>
  <c r="N318" i="10"/>
  <c r="N374" i="10"/>
  <c r="N211" i="10"/>
  <c r="N332" i="10"/>
  <c r="N135" i="10"/>
  <c r="N43" i="10"/>
  <c r="N103" i="10"/>
  <c r="N95" i="10"/>
  <c r="N347" i="10"/>
  <c r="N92" i="10"/>
  <c r="N85" i="10"/>
  <c r="N390" i="10"/>
  <c r="N272" i="10"/>
  <c r="N118" i="10"/>
  <c r="N196" i="10"/>
  <c r="N323" i="10"/>
  <c r="N242" i="10"/>
  <c r="N59" i="10"/>
  <c r="N56" i="10"/>
  <c r="N293" i="10"/>
  <c r="N274" i="10"/>
  <c r="N340" i="10"/>
  <c r="N206" i="10"/>
  <c r="N49" i="10"/>
  <c r="N91" i="10"/>
  <c r="N225" i="10"/>
  <c r="N138" i="10"/>
  <c r="N94" i="10"/>
  <c r="N282" i="10"/>
  <c r="N78" i="10"/>
  <c r="N73" i="10"/>
  <c r="N17" i="10"/>
  <c r="N410" i="10"/>
  <c r="N42" i="10"/>
  <c r="N37" i="10"/>
  <c r="N16" i="10"/>
  <c r="N5" i="10"/>
  <c r="B7" i="2"/>
  <c r="N6" i="5"/>
  <c r="N34" i="5"/>
  <c r="N10" i="5"/>
  <c r="N13" i="5"/>
  <c r="N16" i="5"/>
  <c r="N19" i="5"/>
  <c r="N22" i="5"/>
  <c r="N25" i="5"/>
  <c r="N28" i="5"/>
  <c r="N31" i="5"/>
  <c r="N62" i="5"/>
  <c r="N65" i="5"/>
  <c r="N68" i="5"/>
  <c r="N71" i="5"/>
  <c r="N74" i="5"/>
  <c r="N77" i="5"/>
  <c r="N80" i="5"/>
  <c r="N83" i="5"/>
  <c r="N256" i="5"/>
  <c r="N259" i="5"/>
  <c r="N262" i="5"/>
  <c r="N265" i="5"/>
  <c r="N268" i="5"/>
  <c r="N271" i="5"/>
  <c r="N274" i="5"/>
  <c r="N277" i="5"/>
  <c r="N280" i="5"/>
  <c r="N283" i="5"/>
  <c r="N286" i="5"/>
  <c r="N289" i="5"/>
  <c r="N292" i="5"/>
  <c r="N295" i="5"/>
  <c r="N298" i="5"/>
  <c r="N301" i="5"/>
  <c r="N304" i="5"/>
  <c r="N307" i="5"/>
  <c r="N310" i="5"/>
  <c r="N313" i="5"/>
  <c r="N316" i="5"/>
  <c r="N319" i="5"/>
  <c r="N322" i="5"/>
  <c r="N325" i="5"/>
  <c r="N328" i="5"/>
  <c r="N331" i="5"/>
  <c r="N334" i="5"/>
  <c r="N337" i="5"/>
  <c r="N340" i="5"/>
  <c r="N343" i="5"/>
  <c r="N346" i="5"/>
  <c r="N349" i="5"/>
  <c r="N352" i="5"/>
  <c r="N355" i="5"/>
  <c r="N358" i="5"/>
  <c r="N361" i="5"/>
  <c r="N364" i="5"/>
  <c r="N367" i="5"/>
  <c r="N370" i="5"/>
  <c r="N373" i="5"/>
  <c r="N376" i="5"/>
  <c r="N379" i="5"/>
  <c r="N382" i="5"/>
  <c r="N385" i="5"/>
  <c r="N388" i="5"/>
  <c r="N391" i="5"/>
  <c r="N394" i="5"/>
  <c r="N397" i="5"/>
  <c r="N400" i="5"/>
  <c r="N403" i="5"/>
  <c r="N406" i="5"/>
  <c r="N409" i="5"/>
  <c r="N257" i="5"/>
  <c r="N260" i="5"/>
  <c r="N263" i="5"/>
  <c r="N266" i="5"/>
  <c r="N269" i="5"/>
  <c r="N272" i="5"/>
  <c r="N275" i="5"/>
  <c r="N278" i="5"/>
  <c r="N281" i="5"/>
  <c r="N284" i="5"/>
  <c r="N287" i="5"/>
  <c r="N290" i="5"/>
  <c r="N293" i="5"/>
  <c r="N296" i="5"/>
  <c r="N299" i="5"/>
  <c r="N302" i="5"/>
  <c r="N305" i="5"/>
  <c r="N308" i="5"/>
  <c r="N311" i="5"/>
  <c r="N314" i="5"/>
  <c r="N317" i="5"/>
  <c r="N320" i="5"/>
  <c r="N323" i="5"/>
  <c r="N326" i="5"/>
  <c r="N329" i="5"/>
  <c r="N332" i="5"/>
  <c r="N335" i="5"/>
  <c r="N338" i="5"/>
  <c r="N341" i="5"/>
  <c r="N344" i="5"/>
  <c r="N347" i="5"/>
  <c r="N350" i="5"/>
  <c r="N276" i="5"/>
  <c r="N312" i="5"/>
  <c r="N327" i="5"/>
  <c r="N336" i="5"/>
  <c r="N345" i="5"/>
  <c r="N362" i="5"/>
  <c r="N374" i="5"/>
  <c r="N386" i="5"/>
  <c r="N398" i="5"/>
  <c r="N410" i="5"/>
  <c r="N9" i="5"/>
  <c r="N35" i="5"/>
  <c r="O35" i="5" s="1"/>
  <c r="P35" i="5" s="1"/>
  <c r="Q35" i="5" s="1"/>
  <c r="N39" i="5"/>
  <c r="N46" i="5"/>
  <c r="N50" i="5"/>
  <c r="N57" i="5"/>
  <c r="N261" i="5"/>
  <c r="N297" i="5"/>
  <c r="N354" i="5"/>
  <c r="N366" i="5"/>
  <c r="N378" i="5"/>
  <c r="N390" i="5"/>
  <c r="N402" i="5"/>
  <c r="N17" i="5"/>
  <c r="N24" i="5"/>
  <c r="N61" i="5"/>
  <c r="N72" i="5"/>
  <c r="N79" i="5"/>
  <c r="N86" i="5"/>
  <c r="O86" i="5" s="1"/>
  <c r="P86" i="5" s="1"/>
  <c r="Q86" i="5" s="1"/>
  <c r="N282" i="5"/>
  <c r="N318" i="5"/>
  <c r="N36" i="5"/>
  <c r="N43" i="5"/>
  <c r="N47" i="5"/>
  <c r="N54" i="5"/>
  <c r="N267" i="5"/>
  <c r="N303" i="5"/>
  <c r="N359" i="5"/>
  <c r="N371" i="5"/>
  <c r="N383" i="5"/>
  <c r="N395" i="5"/>
  <c r="N407" i="5"/>
  <c r="N14" i="5"/>
  <c r="N21" i="5"/>
  <c r="N32" i="5"/>
  <c r="N69" i="5"/>
  <c r="N76" i="5"/>
  <c r="N288" i="5"/>
  <c r="N324" i="5"/>
  <c r="N333" i="5"/>
  <c r="N342" i="5"/>
  <c r="N351" i="5"/>
  <c r="N363" i="5"/>
  <c r="N375" i="5"/>
  <c r="N387" i="5"/>
  <c r="N399" i="5"/>
  <c r="N258" i="5"/>
  <c r="N294" i="5"/>
  <c r="N356" i="5"/>
  <c r="N368" i="5"/>
  <c r="N380" i="5"/>
  <c r="N392" i="5"/>
  <c r="N404" i="5"/>
  <c r="N255" i="5"/>
  <c r="N38" i="5"/>
  <c r="N44" i="5"/>
  <c r="N92" i="5"/>
  <c r="N96" i="5"/>
  <c r="N103" i="5"/>
  <c r="N110" i="5"/>
  <c r="N114" i="5"/>
  <c r="N127" i="5"/>
  <c r="N140" i="5"/>
  <c r="N150" i="5"/>
  <c r="N309" i="5"/>
  <c r="N11" i="5"/>
  <c r="N66" i="5"/>
  <c r="N124" i="5"/>
  <c r="N137" i="5"/>
  <c r="N147" i="5"/>
  <c r="N160" i="5"/>
  <c r="N163" i="5"/>
  <c r="N166" i="5"/>
  <c r="N169" i="5"/>
  <c r="N172" i="5"/>
  <c r="N175" i="5"/>
  <c r="N178" i="5"/>
  <c r="N181" i="5"/>
  <c r="N184" i="5"/>
  <c r="N187" i="5"/>
  <c r="N190" i="5"/>
  <c r="N193" i="5"/>
  <c r="N196" i="5"/>
  <c r="N199" i="5"/>
  <c r="N202" i="5"/>
  <c r="N205" i="5"/>
  <c r="N208" i="5"/>
  <c r="N211" i="5"/>
  <c r="N214" i="5"/>
  <c r="N217" i="5"/>
  <c r="N220" i="5"/>
  <c r="N279" i="5"/>
  <c r="N372" i="5"/>
  <c r="N396" i="5"/>
  <c r="N49" i="5"/>
  <c r="N55" i="5"/>
  <c r="N60" i="5"/>
  <c r="N81" i="5"/>
  <c r="N85" i="5"/>
  <c r="N89" i="5"/>
  <c r="N93" i="5"/>
  <c r="N100" i="5"/>
  <c r="N107" i="5"/>
  <c r="N111" i="5"/>
  <c r="N121" i="5"/>
  <c r="N134" i="5"/>
  <c r="N144" i="5"/>
  <c r="N157" i="5"/>
  <c r="N300" i="5"/>
  <c r="N330" i="5"/>
  <c r="N339" i="5"/>
  <c r="N348" i="5"/>
  <c r="N27" i="5"/>
  <c r="N33" i="5"/>
  <c r="N118" i="5"/>
  <c r="N131" i="5"/>
  <c r="N141" i="5"/>
  <c r="N154" i="5"/>
  <c r="N321" i="5"/>
  <c r="N365" i="5"/>
  <c r="N389" i="5"/>
  <c r="N5" i="5"/>
  <c r="N40" i="5"/>
  <c r="N45" i="5"/>
  <c r="N51" i="5"/>
  <c r="N56" i="5"/>
  <c r="N90" i="5"/>
  <c r="N97" i="5"/>
  <c r="N104" i="5"/>
  <c r="N108" i="5"/>
  <c r="N115" i="5"/>
  <c r="N128" i="5"/>
  <c r="N138" i="5"/>
  <c r="N151" i="5"/>
  <c r="N291" i="5"/>
  <c r="N405" i="5"/>
  <c r="N7" i="5"/>
  <c r="N41" i="5"/>
  <c r="N78" i="5"/>
  <c r="N82" i="5"/>
  <c r="N87" i="5"/>
  <c r="N94" i="5"/>
  <c r="N101" i="5"/>
  <c r="N105" i="5"/>
  <c r="N112" i="5"/>
  <c r="N122" i="5"/>
  <c r="N132" i="5"/>
  <c r="N145" i="5"/>
  <c r="N158" i="5"/>
  <c r="N357" i="5"/>
  <c r="N12" i="5"/>
  <c r="N23" i="5"/>
  <c r="N67" i="5"/>
  <c r="N135" i="5"/>
  <c r="N148" i="5"/>
  <c r="N161" i="5"/>
  <c r="N167" i="5"/>
  <c r="N173" i="5"/>
  <c r="N183" i="5"/>
  <c r="N209" i="5"/>
  <c r="N219" i="5"/>
  <c r="N227" i="5"/>
  <c r="N238" i="5"/>
  <c r="N143" i="5"/>
  <c r="N225" i="5"/>
  <c r="N246" i="5"/>
  <c r="N381" i="5"/>
  <c r="N29" i="5"/>
  <c r="N170" i="5"/>
  <c r="N201" i="5"/>
  <c r="N229" i="5"/>
  <c r="N176" i="5"/>
  <c r="N222" i="5"/>
  <c r="N129" i="5"/>
  <c r="N142" i="5"/>
  <c r="N155" i="5"/>
  <c r="N194" i="5"/>
  <c r="N204" i="5"/>
  <c r="N231" i="5"/>
  <c r="N248" i="5"/>
  <c r="N251" i="5"/>
  <c r="N254" i="5"/>
  <c r="N306" i="5"/>
  <c r="N408" i="5"/>
  <c r="N15" i="5"/>
  <c r="N70" i="5"/>
  <c r="N130" i="5"/>
  <c r="N180" i="5"/>
  <c r="N206" i="5"/>
  <c r="N249" i="5"/>
  <c r="N270" i="5"/>
  <c r="N18" i="5"/>
  <c r="N73" i="5"/>
  <c r="N125" i="5"/>
  <c r="N186" i="5"/>
  <c r="N360" i="5"/>
  <c r="N58" i="5"/>
  <c r="N102" i="5"/>
  <c r="N109" i="5"/>
  <c r="N116" i="5"/>
  <c r="N179" i="5"/>
  <c r="N189" i="5"/>
  <c r="N215" i="5"/>
  <c r="N224" i="5"/>
  <c r="N235" i="5"/>
  <c r="N245" i="5"/>
  <c r="N117" i="5"/>
  <c r="N264" i="5"/>
  <c r="N123" i="5"/>
  <c r="N136" i="5"/>
  <c r="N149" i="5"/>
  <c r="N162" i="5"/>
  <c r="N168" i="5"/>
  <c r="N174" i="5"/>
  <c r="N200" i="5"/>
  <c r="N210" i="5"/>
  <c r="N228" i="5"/>
  <c r="N242" i="5"/>
  <c r="N216" i="5"/>
  <c r="N191" i="5"/>
  <c r="N236" i="5"/>
  <c r="N285" i="5"/>
  <c r="N377" i="5"/>
  <c r="N37" i="5"/>
  <c r="N48" i="5"/>
  <c r="N59" i="5"/>
  <c r="N88" i="5"/>
  <c r="N95" i="5"/>
  <c r="N156" i="5"/>
  <c r="N185" i="5"/>
  <c r="N195" i="5"/>
  <c r="N221" i="5"/>
  <c r="N232" i="5"/>
  <c r="N239" i="5"/>
  <c r="N393" i="5"/>
  <c r="N26" i="5"/>
  <c r="N252" i="5"/>
  <c r="N164" i="5"/>
  <c r="N243" i="5"/>
  <c r="N273" i="5"/>
  <c r="N63" i="5"/>
  <c r="N119" i="5"/>
  <c r="N315" i="5"/>
  <c r="N98" i="5"/>
  <c r="N139" i="5"/>
  <c r="N207" i="5"/>
  <c r="N120" i="5"/>
  <c r="N159" i="5"/>
  <c r="N192" i="5"/>
  <c r="N230" i="5"/>
  <c r="N240" i="5"/>
  <c r="N247" i="5"/>
  <c r="N8" i="5"/>
  <c r="O8" i="5" s="1"/>
  <c r="P8" i="5" s="1"/>
  <c r="Q8" i="5" s="1"/>
  <c r="N42" i="5"/>
  <c r="N99" i="5"/>
  <c r="N177" i="5"/>
  <c r="N369" i="5"/>
  <c r="N75" i="5"/>
  <c r="N223" i="5"/>
  <c r="N241" i="5"/>
  <c r="N91" i="5"/>
  <c r="N152" i="5"/>
  <c r="N401" i="5"/>
  <c r="N133" i="5"/>
  <c r="N218" i="5"/>
  <c r="N64" i="5"/>
  <c r="N153" i="5"/>
  <c r="N384" i="5"/>
  <c r="N52" i="5"/>
  <c r="N126" i="5"/>
  <c r="N197" i="5"/>
  <c r="N212" i="5"/>
  <c r="N233" i="5"/>
  <c r="N165" i="5"/>
  <c r="N182" i="5"/>
  <c r="N213" i="5"/>
  <c r="N353" i="5"/>
  <c r="N203" i="5"/>
  <c r="N53" i="5"/>
  <c r="N84" i="5"/>
  <c r="N106" i="5"/>
  <c r="N146" i="5"/>
  <c r="N226" i="5"/>
  <c r="N250" i="5"/>
  <c r="N20" i="5"/>
  <c r="N198" i="5"/>
  <c r="N234" i="5"/>
  <c r="N30" i="5"/>
  <c r="N171" i="5"/>
  <c r="N244" i="5"/>
  <c r="N113" i="5"/>
  <c r="N237" i="5"/>
  <c r="N188" i="5"/>
  <c r="N253" i="5"/>
  <c r="O225" i="10" l="1"/>
  <c r="P225" i="10"/>
  <c r="Q225" i="10"/>
  <c r="P310" i="10"/>
  <c r="O310" i="10"/>
  <c r="Q310" i="10"/>
  <c r="Q181" i="10"/>
  <c r="O181" i="10"/>
  <c r="P181" i="10"/>
  <c r="Q297" i="10"/>
  <c r="O297" i="10"/>
  <c r="P297" i="10"/>
  <c r="P256" i="10"/>
  <c r="O256" i="10"/>
  <c r="Q256" i="10"/>
  <c r="P214" i="10"/>
  <c r="Q214" i="10"/>
  <c r="O214" i="10"/>
  <c r="P182" i="10"/>
  <c r="O182" i="10"/>
  <c r="Q182" i="10"/>
  <c r="P280" i="10"/>
  <c r="Q280" i="10"/>
  <c r="O280" i="10"/>
  <c r="Q209" i="10"/>
  <c r="O209" i="10"/>
  <c r="P209" i="10"/>
  <c r="P22" i="10"/>
  <c r="Q22" i="10"/>
  <c r="O22" i="10"/>
  <c r="Q390" i="10"/>
  <c r="O390" i="10"/>
  <c r="P390" i="10"/>
  <c r="Q267" i="10"/>
  <c r="O267" i="10"/>
  <c r="P267" i="10"/>
  <c r="Q302" i="10"/>
  <c r="P302" i="10"/>
  <c r="O302" i="10"/>
  <c r="P394" i="10"/>
  <c r="O394" i="10"/>
  <c r="Q394" i="10"/>
  <c r="P231" i="10"/>
  <c r="O231" i="10"/>
  <c r="Q231" i="10"/>
  <c r="O376" i="10"/>
  <c r="P376" i="10"/>
  <c r="Q376" i="10"/>
  <c r="Q85" i="10"/>
  <c r="P85" i="10"/>
  <c r="O85" i="10"/>
  <c r="O333" i="10"/>
  <c r="P333" i="10"/>
  <c r="Q333" i="10"/>
  <c r="Q44" i="10"/>
  <c r="O44" i="10"/>
  <c r="P44" i="10"/>
  <c r="Q366" i="10"/>
  <c r="O366" i="10"/>
  <c r="P366" i="10"/>
  <c r="O121" i="10"/>
  <c r="Q121" i="10"/>
  <c r="P121" i="10"/>
  <c r="Q382" i="10"/>
  <c r="O382" i="10"/>
  <c r="P382" i="10"/>
  <c r="Q386" i="10"/>
  <c r="P386" i="10"/>
  <c r="O386" i="10"/>
  <c r="Q42" i="10"/>
  <c r="O42" i="10"/>
  <c r="P42" i="10"/>
  <c r="Q92" i="10"/>
  <c r="O92" i="10"/>
  <c r="P92" i="10"/>
  <c r="Q243" i="10"/>
  <c r="P243" i="10"/>
  <c r="O243" i="10"/>
  <c r="P139" i="10"/>
  <c r="O139" i="10"/>
  <c r="Q139" i="10"/>
  <c r="P21" i="10"/>
  <c r="O21" i="10"/>
  <c r="Q21" i="10"/>
  <c r="Q230" i="10"/>
  <c r="O230" i="10"/>
  <c r="P230" i="10"/>
  <c r="O257" i="10"/>
  <c r="P257" i="10"/>
  <c r="Q257" i="10"/>
  <c r="O168" i="10"/>
  <c r="P168" i="10"/>
  <c r="Q168" i="10"/>
  <c r="P266" i="10"/>
  <c r="Q266" i="10"/>
  <c r="O266" i="10"/>
  <c r="Q341" i="10"/>
  <c r="O341" i="10"/>
  <c r="P341" i="10"/>
  <c r="O274" i="10"/>
  <c r="P274" i="10"/>
  <c r="Q274" i="10"/>
  <c r="P379" i="10"/>
  <c r="O379" i="10"/>
  <c r="Q379" i="10"/>
  <c r="O81" i="10"/>
  <c r="P81" i="10"/>
  <c r="Q81" i="10"/>
  <c r="P268" i="10"/>
  <c r="Q268" i="10"/>
  <c r="O268" i="10"/>
  <c r="Q285" i="10"/>
  <c r="O285" i="10"/>
  <c r="P285" i="10"/>
  <c r="O145" i="10"/>
  <c r="P145" i="10"/>
  <c r="Q145" i="10"/>
  <c r="P96" i="10"/>
  <c r="Q96" i="10"/>
  <c r="O96" i="10"/>
  <c r="P238" i="10"/>
  <c r="O238" i="10"/>
  <c r="Q238" i="10"/>
  <c r="P17" i="10"/>
  <c r="Q17" i="10"/>
  <c r="O17" i="10"/>
  <c r="P293" i="10"/>
  <c r="Q293" i="10"/>
  <c r="O293" i="10"/>
  <c r="O26" i="10"/>
  <c r="P26" i="10"/>
  <c r="Q26" i="10"/>
  <c r="P98" i="10"/>
  <c r="Q98" i="10"/>
  <c r="O98" i="10"/>
  <c r="O403" i="10"/>
  <c r="Q403" i="10"/>
  <c r="P403" i="10"/>
  <c r="O129" i="10"/>
  <c r="P129" i="10"/>
  <c r="Q129" i="10"/>
  <c r="Q216" i="10"/>
  <c r="O216" i="10"/>
  <c r="P216" i="10"/>
  <c r="Q173" i="10"/>
  <c r="O173" i="10"/>
  <c r="P173" i="10"/>
  <c r="Q87" i="10"/>
  <c r="P87" i="10"/>
  <c r="O87" i="10"/>
  <c r="P107" i="10"/>
  <c r="O107" i="10"/>
  <c r="Q107" i="10"/>
  <c r="Q11" i="10"/>
  <c r="O11" i="10"/>
  <c r="P11" i="10"/>
  <c r="P82" i="10"/>
  <c r="O82" i="10"/>
  <c r="Q82" i="10"/>
  <c r="Q305" i="10"/>
  <c r="O305" i="10"/>
  <c r="P305" i="10"/>
  <c r="Q409" i="10"/>
  <c r="P409" i="10"/>
  <c r="O409" i="10"/>
  <c r="P70" i="10"/>
  <c r="Q70" i="10"/>
  <c r="O70" i="10"/>
  <c r="P255" i="10"/>
  <c r="Q255" i="10"/>
  <c r="O255" i="10"/>
  <c r="Q235" i="10"/>
  <c r="O235" i="10"/>
  <c r="P235" i="10"/>
  <c r="Q188" i="10"/>
  <c r="P188" i="10"/>
  <c r="O188" i="10"/>
  <c r="P97" i="10"/>
  <c r="Q97" i="10"/>
  <c r="O97" i="10"/>
  <c r="O140" i="10"/>
  <c r="P140" i="10"/>
  <c r="Q140" i="10"/>
  <c r="P365" i="10"/>
  <c r="Q365" i="10"/>
  <c r="O365" i="10"/>
  <c r="Q62" i="10"/>
  <c r="P62" i="10"/>
  <c r="O62" i="10"/>
  <c r="O224" i="10"/>
  <c r="P224" i="10"/>
  <c r="Q224" i="10"/>
  <c r="P142" i="10"/>
  <c r="Q142" i="10"/>
  <c r="O142" i="10"/>
  <c r="O160" i="10"/>
  <c r="P160" i="10"/>
  <c r="Q160" i="10"/>
  <c r="O368" i="10"/>
  <c r="P368" i="10"/>
  <c r="Q368" i="10"/>
  <c r="O144" i="10"/>
  <c r="P144" i="10"/>
  <c r="Q144" i="10"/>
  <c r="Q383" i="10"/>
  <c r="P383" i="10"/>
  <c r="O383" i="10"/>
  <c r="P100" i="10"/>
  <c r="Q100" i="10"/>
  <c r="O100" i="10"/>
  <c r="P296" i="10"/>
  <c r="Q296" i="10"/>
  <c r="O296" i="10"/>
  <c r="O204" i="10"/>
  <c r="P204" i="10"/>
  <c r="Q204" i="10"/>
  <c r="O171" i="10"/>
  <c r="P171" i="10"/>
  <c r="Q171" i="10"/>
  <c r="O371" i="10"/>
  <c r="P371" i="10"/>
  <c r="Q371" i="10"/>
  <c r="Q360" i="10"/>
  <c r="O360" i="10"/>
  <c r="P360" i="10"/>
  <c r="Q284" i="10"/>
  <c r="O284" i="10"/>
  <c r="P284" i="10"/>
  <c r="Q263" i="10"/>
  <c r="O263" i="10"/>
  <c r="P263" i="10"/>
  <c r="P189" i="10"/>
  <c r="O189" i="10"/>
  <c r="Q189" i="10"/>
  <c r="Q241" i="10"/>
  <c r="P241" i="10"/>
  <c r="O241" i="10"/>
  <c r="O272" i="10"/>
  <c r="Q272" i="10"/>
  <c r="P272" i="10"/>
  <c r="O353" i="10"/>
  <c r="Q353" i="10"/>
  <c r="P353" i="10"/>
  <c r="Q191" i="10"/>
  <c r="P191" i="10"/>
  <c r="O191" i="10"/>
  <c r="O10" i="10"/>
  <c r="P10" i="10"/>
  <c r="Q10" i="10"/>
  <c r="O359" i="10"/>
  <c r="P359" i="10"/>
  <c r="Q359" i="10"/>
  <c r="Q373" i="10"/>
  <c r="P373" i="10"/>
  <c r="O373" i="10"/>
  <c r="O354" i="10"/>
  <c r="Q354" i="10"/>
  <c r="P354" i="10"/>
  <c r="O261" i="10"/>
  <c r="P261" i="10"/>
  <c r="Q261" i="10"/>
  <c r="O319" i="10"/>
  <c r="Q319" i="10"/>
  <c r="P319" i="10"/>
  <c r="O158" i="10"/>
  <c r="Q158" i="10"/>
  <c r="P158" i="10"/>
  <c r="P101" i="10"/>
  <c r="Q101" i="10"/>
  <c r="O101" i="10"/>
  <c r="Q233" i="10"/>
  <c r="P233" i="10"/>
  <c r="O233" i="10"/>
  <c r="P86" i="10"/>
  <c r="Q86" i="10"/>
  <c r="O86" i="10"/>
  <c r="P388" i="10"/>
  <c r="O388" i="10"/>
  <c r="Q388" i="10"/>
  <c r="P76" i="10"/>
  <c r="O76" i="10"/>
  <c r="Q76" i="10"/>
  <c r="Q206" i="10"/>
  <c r="O206" i="10"/>
  <c r="P206" i="10"/>
  <c r="Q169" i="10"/>
  <c r="P169" i="10"/>
  <c r="O169" i="10"/>
  <c r="O134" i="10"/>
  <c r="Q134" i="10"/>
  <c r="P134" i="10"/>
  <c r="O194" i="10"/>
  <c r="Q194" i="10"/>
  <c r="P194" i="10"/>
  <c r="O38" i="10"/>
  <c r="P38" i="10"/>
  <c r="Q38" i="10"/>
  <c r="O199" i="10"/>
  <c r="P199" i="10"/>
  <c r="Q199" i="10"/>
  <c r="O320" i="10"/>
  <c r="P320" i="10"/>
  <c r="Q320" i="10"/>
  <c r="P262" i="10"/>
  <c r="Q262" i="10"/>
  <c r="O262" i="10"/>
  <c r="Q326" i="10"/>
  <c r="O326" i="10"/>
  <c r="P326" i="10"/>
  <c r="O170" i="10"/>
  <c r="P170" i="10"/>
  <c r="Q170" i="10"/>
  <c r="O258" i="10"/>
  <c r="P258" i="10"/>
  <c r="Q258" i="10"/>
  <c r="P116" i="10"/>
  <c r="O116" i="10"/>
  <c r="Q116" i="10"/>
  <c r="Q32" i="10"/>
  <c r="P32" i="10"/>
  <c r="O32" i="10"/>
  <c r="O245" i="10"/>
  <c r="P245" i="10"/>
  <c r="Q245" i="10"/>
  <c r="O114" i="10"/>
  <c r="P114" i="10"/>
  <c r="Q114" i="10"/>
  <c r="P317" i="10"/>
  <c r="O317" i="10"/>
  <c r="Q317" i="10"/>
  <c r="P278" i="10"/>
  <c r="Q278" i="10"/>
  <c r="O278" i="10"/>
  <c r="Q329" i="10"/>
  <c r="P329" i="10"/>
  <c r="O329" i="10"/>
  <c r="P132" i="10"/>
  <c r="Q132" i="10"/>
  <c r="O132" i="10"/>
  <c r="O60" i="10"/>
  <c r="P60" i="10"/>
  <c r="Q60" i="10"/>
  <c r="P292" i="10"/>
  <c r="Q292" i="10"/>
  <c r="O292" i="10"/>
  <c r="Q347" i="10"/>
  <c r="P347" i="10"/>
  <c r="O347" i="10"/>
  <c r="O402" i="10"/>
  <c r="P402" i="10"/>
  <c r="Q402" i="10"/>
  <c r="Q201" i="10"/>
  <c r="O201" i="10"/>
  <c r="P201" i="10"/>
  <c r="O117" i="10"/>
  <c r="Q117" i="10"/>
  <c r="P117" i="10"/>
  <c r="Q277" i="10"/>
  <c r="P277" i="10"/>
  <c r="O277" i="10"/>
  <c r="P13" i="10"/>
  <c r="O13" i="10"/>
  <c r="Q13" i="10"/>
  <c r="O33" i="10"/>
  <c r="P33" i="10" s="1"/>
  <c r="Q33" i="10" s="1"/>
  <c r="O175" i="10"/>
  <c r="P175" i="10"/>
  <c r="Q175" i="10"/>
  <c r="Q109" i="10"/>
  <c r="O109" i="10"/>
  <c r="P109" i="10"/>
  <c r="P9" i="10"/>
  <c r="Q9" i="10"/>
  <c r="O9" i="10"/>
  <c r="Q186" i="10"/>
  <c r="O186" i="10"/>
  <c r="P186" i="10"/>
  <c r="Q95" i="10"/>
  <c r="P95" i="10"/>
  <c r="O95" i="10"/>
  <c r="Q73" i="10"/>
  <c r="O73" i="10"/>
  <c r="P73" i="10"/>
  <c r="P56" i="10"/>
  <c r="Q56" i="10"/>
  <c r="O56" i="10"/>
  <c r="O103" i="10"/>
  <c r="Q103" i="10"/>
  <c r="P103" i="10"/>
  <c r="P31" i="10"/>
  <c r="Q31" i="10"/>
  <c r="O31" i="10"/>
  <c r="Q232" i="10"/>
  <c r="O232" i="10"/>
  <c r="P232" i="10"/>
  <c r="P327" i="10"/>
  <c r="Q327" i="10"/>
  <c r="O327" i="10"/>
  <c r="O195" i="10"/>
  <c r="P195" i="10"/>
  <c r="Q195" i="10"/>
  <c r="O264" i="10"/>
  <c r="P264" i="10"/>
  <c r="Q264" i="10"/>
  <c r="Q346" i="10"/>
  <c r="P346" i="10"/>
  <c r="O346" i="10"/>
  <c r="Q177" i="10"/>
  <c r="P177" i="10"/>
  <c r="O177" i="10"/>
  <c r="P141" i="10"/>
  <c r="Q141" i="10"/>
  <c r="O141" i="10"/>
  <c r="Q159" i="10"/>
  <c r="P159" i="10"/>
  <c r="O159" i="10"/>
  <c r="P12" i="10"/>
  <c r="O12" i="10"/>
  <c r="Q12" i="10"/>
  <c r="Q355" i="10"/>
  <c r="P355" i="10"/>
  <c r="O355" i="10"/>
  <c r="Q316" i="10"/>
  <c r="O316" i="10"/>
  <c r="P316" i="10"/>
  <c r="Q313" i="10"/>
  <c r="O313" i="10"/>
  <c r="P313" i="10"/>
  <c r="O399" i="10"/>
  <c r="P399" i="10"/>
  <c r="Q399" i="10"/>
  <c r="Q71" i="10"/>
  <c r="P71" i="10"/>
  <c r="O71" i="10"/>
  <c r="Q281" i="10"/>
  <c r="O281" i="10"/>
  <c r="P281" i="10"/>
  <c r="O55" i="10"/>
  <c r="Q55" i="10"/>
  <c r="P55" i="10"/>
  <c r="P385" i="10"/>
  <c r="O385" i="10"/>
  <c r="Q385" i="10"/>
  <c r="Q401" i="10"/>
  <c r="O401" i="10"/>
  <c r="P401" i="10"/>
  <c r="O48" i="10"/>
  <c r="P48" i="10"/>
  <c r="Q48" i="10"/>
  <c r="O356" i="10"/>
  <c r="P356" i="10"/>
  <c r="Q356" i="10"/>
  <c r="Q143" i="10"/>
  <c r="P143" i="10"/>
  <c r="O143" i="10"/>
  <c r="O36" i="10"/>
  <c r="P36" i="10"/>
  <c r="Q36" i="10"/>
  <c r="Q404" i="10"/>
  <c r="O404" i="10"/>
  <c r="P404" i="10"/>
  <c r="Q84" i="10"/>
  <c r="O84" i="10"/>
  <c r="P84" i="10"/>
  <c r="Q363" i="10"/>
  <c r="P363" i="10"/>
  <c r="O363" i="10"/>
  <c r="Q349" i="10"/>
  <c r="O349" i="10"/>
  <c r="P349" i="10"/>
  <c r="P392" i="10"/>
  <c r="O392" i="10"/>
  <c r="Q392" i="10"/>
  <c r="Q29" i="10"/>
  <c r="P29" i="10"/>
  <c r="O29" i="10"/>
  <c r="O39" i="10"/>
  <c r="P39" i="10"/>
  <c r="Q39" i="10"/>
  <c r="Q407" i="10"/>
  <c r="P407" i="10"/>
  <c r="O407" i="10"/>
  <c r="Q190" i="10"/>
  <c r="O190" i="10"/>
  <c r="P190" i="10"/>
  <c r="P303" i="10"/>
  <c r="Q303" i="10"/>
  <c r="O303" i="10"/>
  <c r="Q375" i="10"/>
  <c r="P375" i="10"/>
  <c r="O375" i="10"/>
  <c r="O51" i="10"/>
  <c r="P51" i="10"/>
  <c r="Q51" i="10"/>
  <c r="Q314" i="10"/>
  <c r="O314" i="10"/>
  <c r="P314" i="10"/>
  <c r="Q126" i="10"/>
  <c r="P126" i="10"/>
  <c r="O126" i="10"/>
  <c r="O67" i="10"/>
  <c r="P67" i="10"/>
  <c r="Q67" i="10"/>
  <c r="P80" i="10"/>
  <c r="Q80" i="10"/>
  <c r="O80" i="10"/>
  <c r="Q52" i="10"/>
  <c r="O52" i="10"/>
  <c r="P52" i="10"/>
  <c r="P372" i="10"/>
  <c r="O372" i="10"/>
  <c r="Q372" i="10"/>
  <c r="O15" i="10"/>
  <c r="Q15" i="10"/>
  <c r="P15" i="10"/>
  <c r="O78" i="10"/>
  <c r="P78" i="10"/>
  <c r="Q78" i="10"/>
  <c r="O59" i="10"/>
  <c r="Q59" i="10"/>
  <c r="P59" i="10"/>
  <c r="P43" i="10"/>
  <c r="O43" i="10"/>
  <c r="Q43" i="10"/>
  <c r="Q24" i="10"/>
  <c r="O24" i="10"/>
  <c r="P24" i="10"/>
  <c r="P127" i="10"/>
  <c r="Q127" i="10"/>
  <c r="O127" i="10"/>
  <c r="P8" i="10"/>
  <c r="Q8" i="10"/>
  <c r="O8" i="10"/>
  <c r="O151" i="10"/>
  <c r="P151" i="10"/>
  <c r="Q151" i="10"/>
  <c r="Q223" i="10"/>
  <c r="O223" i="10"/>
  <c r="P223" i="10"/>
  <c r="O393" i="10"/>
  <c r="Q393" i="10"/>
  <c r="P393" i="10"/>
  <c r="P358" i="10"/>
  <c r="O358" i="10"/>
  <c r="Q358" i="10"/>
  <c r="Q286" i="10"/>
  <c r="P286" i="10"/>
  <c r="O286" i="10"/>
  <c r="O250" i="10"/>
  <c r="Q250" i="10"/>
  <c r="P250" i="10"/>
  <c r="Q61" i="10"/>
  <c r="O61" i="10"/>
  <c r="P61" i="10"/>
  <c r="Q131" i="10"/>
  <c r="P131" i="10"/>
  <c r="O131" i="10"/>
  <c r="O362" i="10"/>
  <c r="Q362" i="10"/>
  <c r="P362" i="10"/>
  <c r="O247" i="10"/>
  <c r="P247" i="10"/>
  <c r="Q247" i="10"/>
  <c r="O28" i="10"/>
  <c r="P28" i="10"/>
  <c r="Q28" i="10"/>
  <c r="P370" i="10"/>
  <c r="Q370" i="10"/>
  <c r="O370" i="10"/>
  <c r="O336" i="10"/>
  <c r="Q336" i="10"/>
  <c r="P336" i="10"/>
  <c r="O283" i="10"/>
  <c r="Q283" i="10"/>
  <c r="P283" i="10"/>
  <c r="Q69" i="10"/>
  <c r="O69" i="10"/>
  <c r="P69" i="10"/>
  <c r="Q273" i="10"/>
  <c r="O273" i="10"/>
  <c r="P273" i="10"/>
  <c r="O275" i="10"/>
  <c r="Q275" i="10"/>
  <c r="P275" i="10"/>
  <c r="O408" i="10"/>
  <c r="P408" i="10"/>
  <c r="Q408" i="10"/>
  <c r="Q335" i="10"/>
  <c r="P335" i="10"/>
  <c r="O335" i="10"/>
  <c r="O72" i="10"/>
  <c r="P72" i="10"/>
  <c r="Q72" i="10"/>
  <c r="Q276" i="10"/>
  <c r="O276" i="10"/>
  <c r="P276" i="10"/>
  <c r="Q176" i="10"/>
  <c r="P176" i="10"/>
  <c r="O176" i="10"/>
  <c r="P112" i="10"/>
  <c r="Q112" i="10"/>
  <c r="O112" i="10"/>
  <c r="Q237" i="10"/>
  <c r="O237" i="10"/>
  <c r="P237" i="10"/>
  <c r="P300" i="10"/>
  <c r="Q300" i="10"/>
  <c r="O300" i="10"/>
  <c r="O397" i="10"/>
  <c r="P397" i="10"/>
  <c r="Q397" i="10"/>
  <c r="Q75" i="10"/>
  <c r="O75" i="10"/>
  <c r="P75" i="10"/>
  <c r="Q279" i="10"/>
  <c r="O279" i="10"/>
  <c r="P279" i="10"/>
  <c r="Q118" i="10"/>
  <c r="P118" i="10"/>
  <c r="O118" i="10"/>
  <c r="Q221" i="10"/>
  <c r="O221" i="10"/>
  <c r="P221" i="10"/>
  <c r="O155" i="10"/>
  <c r="P155" i="10"/>
  <c r="Q155" i="10"/>
  <c r="O54" i="10"/>
  <c r="P54" i="10"/>
  <c r="Q54" i="10"/>
  <c r="O45" i="10"/>
  <c r="P45" i="10"/>
  <c r="Q45" i="10"/>
  <c r="O167" i="10"/>
  <c r="Q167" i="10"/>
  <c r="P167" i="10"/>
  <c r="B10" i="11"/>
  <c r="O5" i="10"/>
  <c r="P5" i="10" s="1"/>
  <c r="Q5" i="10" s="1"/>
  <c r="O289" i="10"/>
  <c r="P289" i="10"/>
  <c r="Q289" i="10"/>
  <c r="O395" i="10"/>
  <c r="P395" i="10"/>
  <c r="Q395" i="10"/>
  <c r="Q74" i="10"/>
  <c r="O74" i="10"/>
  <c r="P74" i="10"/>
  <c r="P35" i="10"/>
  <c r="O35" i="10"/>
  <c r="Q35" i="10"/>
  <c r="O339" i="10"/>
  <c r="P339" i="10"/>
  <c r="Q339" i="10"/>
  <c r="Q187" i="10"/>
  <c r="P187" i="10"/>
  <c r="O187" i="10"/>
  <c r="P265" i="10"/>
  <c r="Q265" i="10"/>
  <c r="O265" i="10"/>
  <c r="Q53" i="10"/>
  <c r="P53" i="10"/>
  <c r="O53" i="10"/>
  <c r="P16" i="10"/>
  <c r="O16" i="10"/>
  <c r="Q16" i="10"/>
  <c r="Q338" i="10"/>
  <c r="O338" i="10"/>
  <c r="P338" i="10"/>
  <c r="P34" i="10"/>
  <c r="Q34" i="10"/>
  <c r="O34" i="10"/>
  <c r="Q153" i="10"/>
  <c r="P153" i="10"/>
  <c r="O153" i="10"/>
  <c r="Q115" i="10"/>
  <c r="O115" i="10"/>
  <c r="P115" i="10"/>
  <c r="O83" i="10"/>
  <c r="P83" i="10"/>
  <c r="Q83" i="10"/>
  <c r="P229" i="10"/>
  <c r="Q229" i="10"/>
  <c r="O229" i="10"/>
  <c r="Q65" i="10"/>
  <c r="O65" i="10"/>
  <c r="P65" i="10"/>
  <c r="P89" i="10"/>
  <c r="Q89" i="10"/>
  <c r="O89" i="10"/>
  <c r="P37" i="10"/>
  <c r="Q37" i="10"/>
  <c r="O37" i="10"/>
  <c r="P350" i="10"/>
  <c r="Q350" i="10"/>
  <c r="O350" i="10"/>
  <c r="Q294" i="10"/>
  <c r="P294" i="10"/>
  <c r="O294" i="10"/>
  <c r="Q123" i="10"/>
  <c r="P123" i="10"/>
  <c r="O123" i="10"/>
  <c r="O119" i="10"/>
  <c r="Q119" i="10"/>
  <c r="P119" i="10"/>
  <c r="Q357" i="10"/>
  <c r="P357" i="10"/>
  <c r="O357" i="10"/>
  <c r="O321" i="10"/>
  <c r="P321" i="10"/>
  <c r="Q321" i="10"/>
  <c r="O130" i="10"/>
  <c r="P130" i="10"/>
  <c r="Q130" i="10"/>
  <c r="Q340" i="10"/>
  <c r="P340" i="10"/>
  <c r="O340" i="10"/>
  <c r="O6" i="10"/>
  <c r="P6" i="10" s="1"/>
  <c r="Q6" i="10" s="1"/>
  <c r="P290" i="10"/>
  <c r="O290" i="10"/>
  <c r="Q290" i="10"/>
  <c r="O304" i="10"/>
  <c r="Q304" i="10"/>
  <c r="P304" i="10"/>
  <c r="P179" i="10"/>
  <c r="O179" i="10"/>
  <c r="Q179" i="10"/>
  <c r="Q120" i="10"/>
  <c r="O120" i="10"/>
  <c r="P120" i="10"/>
  <c r="O249" i="10"/>
  <c r="P249" i="10"/>
  <c r="Q249" i="10"/>
  <c r="O240" i="10"/>
  <c r="P240" i="10"/>
  <c r="Q240" i="10"/>
  <c r="Q124" i="10"/>
  <c r="P124" i="10"/>
  <c r="O124" i="10"/>
  <c r="P330" i="10"/>
  <c r="Q330" i="10"/>
  <c r="O330" i="10"/>
  <c r="P251" i="10"/>
  <c r="O251" i="10"/>
  <c r="Q251" i="10"/>
  <c r="Q410" i="10"/>
  <c r="O410" i="10"/>
  <c r="P410" i="10"/>
  <c r="Q125" i="10"/>
  <c r="P125" i="10"/>
  <c r="O125" i="10"/>
  <c r="O210" i="10"/>
  <c r="P210" i="10"/>
  <c r="Q210" i="10"/>
  <c r="O184" i="10"/>
  <c r="Q184" i="10"/>
  <c r="P184" i="10"/>
  <c r="Q308" i="10"/>
  <c r="O308" i="10"/>
  <c r="P308" i="10"/>
  <c r="Q183" i="10"/>
  <c r="O183" i="10"/>
  <c r="P183" i="10"/>
  <c r="P150" i="10"/>
  <c r="Q150" i="10"/>
  <c r="O150" i="10"/>
  <c r="P322" i="10"/>
  <c r="O322" i="10"/>
  <c r="Q322" i="10"/>
  <c r="Q14" i="10"/>
  <c r="P14" i="10"/>
  <c r="O14" i="10"/>
  <c r="Q328" i="10"/>
  <c r="O328" i="10"/>
  <c r="P328" i="10"/>
  <c r="O215" i="10"/>
  <c r="P215" i="10"/>
  <c r="Q215" i="10"/>
  <c r="Q334" i="10"/>
  <c r="P334" i="10"/>
  <c r="O334" i="10"/>
  <c r="O282" i="10"/>
  <c r="P282" i="10"/>
  <c r="Q282" i="10"/>
  <c r="O242" i="10"/>
  <c r="P242" i="10"/>
  <c r="Q242" i="10"/>
  <c r="Q135" i="10"/>
  <c r="O135" i="10"/>
  <c r="P135" i="10"/>
  <c r="Q79" i="10"/>
  <c r="P79" i="10"/>
  <c r="O79" i="10"/>
  <c r="O212" i="10"/>
  <c r="Q212" i="10"/>
  <c r="P212" i="10"/>
  <c r="P64" i="10"/>
  <c r="O64" i="10"/>
  <c r="Q64" i="10"/>
  <c r="Q205" i="10"/>
  <c r="O205" i="10"/>
  <c r="P205" i="10"/>
  <c r="O295" i="10"/>
  <c r="P295" i="10"/>
  <c r="Q295" i="10"/>
  <c r="Q30" i="10"/>
  <c r="P30" i="10"/>
  <c r="O30" i="10"/>
  <c r="Q291" i="10"/>
  <c r="P291" i="10"/>
  <c r="O291" i="10"/>
  <c r="P389" i="10"/>
  <c r="O389" i="10"/>
  <c r="Q389" i="10"/>
  <c r="O113" i="10"/>
  <c r="Q113" i="10"/>
  <c r="P113" i="10"/>
  <c r="P301" i="10"/>
  <c r="Q301" i="10"/>
  <c r="O301" i="10"/>
  <c r="P343" i="10"/>
  <c r="O343" i="10"/>
  <c r="Q343" i="10"/>
  <c r="O398" i="10"/>
  <c r="P398" i="10"/>
  <c r="Q398" i="10"/>
  <c r="Q166" i="10"/>
  <c r="O166" i="10"/>
  <c r="P166" i="10"/>
  <c r="O147" i="10"/>
  <c r="P147" i="10"/>
  <c r="Q147" i="10"/>
  <c r="Q93" i="10"/>
  <c r="O93" i="10"/>
  <c r="P93" i="10"/>
  <c r="P244" i="10"/>
  <c r="Q244" i="10"/>
  <c r="O244" i="10"/>
  <c r="O198" i="10"/>
  <c r="P198" i="10"/>
  <c r="Q198" i="10"/>
  <c r="Q105" i="10"/>
  <c r="O105" i="10"/>
  <c r="P105" i="10"/>
  <c r="O309" i="10"/>
  <c r="P309" i="10"/>
  <c r="Q309" i="10"/>
  <c r="P324" i="10"/>
  <c r="Q324" i="10"/>
  <c r="O324" i="10"/>
  <c r="Q46" i="10"/>
  <c r="P46" i="10"/>
  <c r="O46" i="10"/>
  <c r="P220" i="10"/>
  <c r="O220" i="10"/>
  <c r="Q220" i="10"/>
  <c r="Q108" i="10"/>
  <c r="O108" i="10"/>
  <c r="P108" i="10"/>
  <c r="Q312" i="10"/>
  <c r="O312" i="10"/>
  <c r="P312" i="10"/>
  <c r="Q253" i="10"/>
  <c r="O253" i="10"/>
  <c r="P253" i="10"/>
  <c r="Q20" i="10"/>
  <c r="P20" i="10"/>
  <c r="O20" i="10"/>
  <c r="O57" i="10"/>
  <c r="P57" i="10"/>
  <c r="Q57" i="10"/>
  <c r="Q163" i="10"/>
  <c r="O163" i="10"/>
  <c r="P163" i="10"/>
  <c r="Q246" i="10"/>
  <c r="P246" i="10"/>
  <c r="O246" i="10"/>
  <c r="Q111" i="10"/>
  <c r="O111" i="10"/>
  <c r="P111" i="10"/>
  <c r="Q315" i="10"/>
  <c r="O315" i="10"/>
  <c r="P315" i="10"/>
  <c r="P374" i="10"/>
  <c r="Q374" i="10"/>
  <c r="O374" i="10"/>
  <c r="O136" i="10"/>
  <c r="P136" i="10"/>
  <c r="Q136" i="10"/>
  <c r="Q208" i="10"/>
  <c r="P208" i="10"/>
  <c r="O208" i="10"/>
  <c r="P391" i="10"/>
  <c r="Q391" i="10"/>
  <c r="O391" i="10"/>
  <c r="Q178" i="10"/>
  <c r="P178" i="10"/>
  <c r="O178" i="10"/>
  <c r="Q122" i="10"/>
  <c r="P122" i="10"/>
  <c r="O122" i="10"/>
  <c r="Q207" i="10"/>
  <c r="P207" i="10"/>
  <c r="O207" i="10"/>
  <c r="Q7" i="10"/>
  <c r="O7" i="10"/>
  <c r="P7" i="10"/>
  <c r="Q369" i="10"/>
  <c r="O369" i="10"/>
  <c r="P369" i="10"/>
  <c r="O91" i="10"/>
  <c r="P91" i="10"/>
  <c r="Q91" i="10"/>
  <c r="O19" i="10"/>
  <c r="P19" i="10"/>
  <c r="Q19" i="10"/>
  <c r="Q254" i="10"/>
  <c r="P254" i="10"/>
  <c r="O254" i="10"/>
  <c r="P378" i="10"/>
  <c r="Q378" i="10"/>
  <c r="O378" i="10"/>
  <c r="O47" i="10"/>
  <c r="P47" i="10"/>
  <c r="Q47" i="10"/>
  <c r="Q200" i="10"/>
  <c r="O200" i="10"/>
  <c r="P200" i="10"/>
  <c r="O218" i="10"/>
  <c r="Q218" i="10"/>
  <c r="P218" i="10"/>
  <c r="Q260" i="10"/>
  <c r="O260" i="10"/>
  <c r="P260" i="10"/>
  <c r="O222" i="10"/>
  <c r="P222" i="10"/>
  <c r="Q222" i="10"/>
  <c r="P104" i="10"/>
  <c r="Q104" i="10"/>
  <c r="O104" i="10"/>
  <c r="P342" i="10"/>
  <c r="Q342" i="10"/>
  <c r="O342" i="10"/>
  <c r="O161" i="10"/>
  <c r="P161" i="10"/>
  <c r="Q161" i="10"/>
  <c r="Q164" i="10"/>
  <c r="O164" i="10"/>
  <c r="P164" i="10"/>
  <c r="Q90" i="10"/>
  <c r="P90" i="10"/>
  <c r="O90" i="10"/>
  <c r="Q318" i="10"/>
  <c r="P318" i="10"/>
  <c r="O318" i="10"/>
  <c r="Q288" i="10"/>
  <c r="O288" i="10"/>
  <c r="P288" i="10"/>
  <c r="Q27" i="10"/>
  <c r="P27" i="10"/>
  <c r="O27" i="10"/>
  <c r="O146" i="10"/>
  <c r="Q146" i="10"/>
  <c r="P146" i="10"/>
  <c r="Q197" i="10"/>
  <c r="O197" i="10"/>
  <c r="P197" i="10"/>
  <c r="P50" i="10"/>
  <c r="Q50" i="10"/>
  <c r="O50" i="10"/>
  <c r="Q137" i="10"/>
  <c r="P137" i="10"/>
  <c r="O137" i="10"/>
  <c r="Q203" i="10"/>
  <c r="O203" i="10"/>
  <c r="P203" i="10"/>
  <c r="O49" i="10"/>
  <c r="Q49" i="10"/>
  <c r="P49" i="10"/>
  <c r="Q174" i="10"/>
  <c r="P174" i="10"/>
  <c r="O174" i="10"/>
  <c r="Q202" i="10"/>
  <c r="O202" i="10"/>
  <c r="P202" i="10"/>
  <c r="P165" i="10"/>
  <c r="O165" i="10"/>
  <c r="Q165" i="10"/>
  <c r="P40" i="10"/>
  <c r="O40" i="10"/>
  <c r="Q40" i="10"/>
  <c r="Q377" i="10"/>
  <c r="P377" i="10"/>
  <c r="O377" i="10"/>
  <c r="Q236" i="10"/>
  <c r="P236" i="10"/>
  <c r="O236" i="10"/>
  <c r="Q287" i="10"/>
  <c r="O287" i="10"/>
  <c r="P287" i="10"/>
  <c r="O239" i="10"/>
  <c r="P239" i="10"/>
  <c r="Q239" i="10"/>
  <c r="Q400" i="10"/>
  <c r="P400" i="10"/>
  <c r="O400" i="10"/>
  <c r="O152" i="10"/>
  <c r="P152" i="10"/>
  <c r="Q152" i="10"/>
  <c r="O110" i="10"/>
  <c r="P110" i="10"/>
  <c r="Q110" i="10"/>
  <c r="Q94" i="10"/>
  <c r="P94" i="10"/>
  <c r="O94" i="10"/>
  <c r="O323" i="10"/>
  <c r="P323" i="10"/>
  <c r="Q323" i="10"/>
  <c r="Q332" i="10"/>
  <c r="O332" i="10"/>
  <c r="P332" i="10"/>
  <c r="O154" i="10"/>
  <c r="P154" i="10"/>
  <c r="Q154" i="10"/>
  <c r="O344" i="10"/>
  <c r="P344" i="10"/>
  <c r="Q344" i="10"/>
  <c r="Q68" i="10"/>
  <c r="O68" i="10"/>
  <c r="P68" i="10"/>
  <c r="Q307" i="10"/>
  <c r="P307" i="10"/>
  <c r="O307" i="10"/>
  <c r="P156" i="10"/>
  <c r="Q156" i="10"/>
  <c r="O156" i="10"/>
  <c r="O18" i="10"/>
  <c r="Q18" i="10"/>
  <c r="P18" i="10"/>
  <c r="P157" i="10"/>
  <c r="Q157" i="10"/>
  <c r="O157" i="10"/>
  <c r="O405" i="10"/>
  <c r="Q405" i="10"/>
  <c r="P405" i="10"/>
  <c r="O63" i="10"/>
  <c r="P63" i="10"/>
  <c r="Q63" i="10"/>
  <c r="O259" i="10"/>
  <c r="Q259" i="10"/>
  <c r="P259" i="10"/>
  <c r="Q66" i="10"/>
  <c r="O66" i="10"/>
  <c r="P66" i="10"/>
  <c r="O270" i="10"/>
  <c r="P270" i="10"/>
  <c r="Q270" i="10"/>
  <c r="Q248" i="10"/>
  <c r="O248" i="10"/>
  <c r="P248" i="10"/>
  <c r="Q337" i="10"/>
  <c r="P337" i="10"/>
  <c r="O337" i="10"/>
  <c r="O149" i="10"/>
  <c r="P149" i="10"/>
  <c r="Q149" i="10"/>
  <c r="Q77" i="10"/>
  <c r="P77" i="10"/>
  <c r="O77" i="10"/>
  <c r="Q311" i="10"/>
  <c r="P311" i="10"/>
  <c r="O311" i="10"/>
  <c r="Q192" i="10"/>
  <c r="P192" i="10"/>
  <c r="O192" i="10"/>
  <c r="O345" i="10"/>
  <c r="P345" i="10"/>
  <c r="Q345" i="10"/>
  <c r="P106" i="10"/>
  <c r="Q106" i="10"/>
  <c r="O106" i="10"/>
  <c r="O234" i="10"/>
  <c r="P234" i="10"/>
  <c r="Q234" i="10"/>
  <c r="Q219" i="10"/>
  <c r="O219" i="10"/>
  <c r="P219" i="10"/>
  <c r="Q217" i="10"/>
  <c r="P217" i="10"/>
  <c r="O217" i="10"/>
  <c r="Q348" i="10"/>
  <c r="O348" i="10"/>
  <c r="P348" i="10"/>
  <c r="P252" i="10"/>
  <c r="Q252" i="10"/>
  <c r="O252" i="10"/>
  <c r="Q162" i="10"/>
  <c r="P162" i="10"/>
  <c r="O162" i="10"/>
  <c r="Q185" i="10"/>
  <c r="P185" i="10"/>
  <c r="O185" i="10"/>
  <c r="P23" i="10"/>
  <c r="O23" i="10"/>
  <c r="Q23" i="10"/>
  <c r="P58" i="10"/>
  <c r="Q58" i="10"/>
  <c r="O58" i="10"/>
  <c r="O228" i="10"/>
  <c r="P228" i="10"/>
  <c r="Q228" i="10"/>
  <c r="O351" i="10"/>
  <c r="P351" i="10"/>
  <c r="Q351" i="10"/>
  <c r="P138" i="10"/>
  <c r="Q138" i="10"/>
  <c r="O138" i="10"/>
  <c r="P196" i="10"/>
  <c r="Q196" i="10"/>
  <c r="O196" i="10"/>
  <c r="Q211" i="10"/>
  <c r="O211" i="10"/>
  <c r="P211" i="10"/>
  <c r="P352" i="10"/>
  <c r="O352" i="10"/>
  <c r="Q352" i="10"/>
  <c r="Q380" i="10"/>
  <c r="O380" i="10"/>
  <c r="P380" i="10"/>
  <c r="P269" i="10"/>
  <c r="Q269" i="10"/>
  <c r="O269" i="10"/>
  <c r="Q213" i="10"/>
  <c r="P213" i="10"/>
  <c r="O213" i="10"/>
  <c r="O227" i="10"/>
  <c r="P227" i="10"/>
  <c r="Q227" i="10"/>
  <c r="Q148" i="10"/>
  <c r="P148" i="10"/>
  <c r="O148" i="10"/>
  <c r="O128" i="10"/>
  <c r="Q128" i="10"/>
  <c r="P128" i="10"/>
  <c r="O88" i="10"/>
  <c r="P88" i="10"/>
  <c r="Q88" i="10"/>
  <c r="P99" i="10"/>
  <c r="O99" i="10"/>
  <c r="Q99" i="10"/>
  <c r="P172" i="10"/>
  <c r="Q172" i="10"/>
  <c r="O172" i="10"/>
  <c r="O102" i="10"/>
  <c r="P102" i="10"/>
  <c r="Q102" i="10"/>
  <c r="Q306" i="10"/>
  <c r="O306" i="10"/>
  <c r="P306" i="10"/>
  <c r="P367" i="10"/>
  <c r="O367" i="10"/>
  <c r="Q367" i="10"/>
  <c r="P226" i="10"/>
  <c r="Q226" i="10"/>
  <c r="O226" i="10"/>
  <c r="O271" i="10"/>
  <c r="P271" i="10"/>
  <c r="Q271" i="10"/>
  <c r="Q331" i="10"/>
  <c r="P331" i="10"/>
  <c r="O331" i="10"/>
  <c r="O133" i="10"/>
  <c r="Q133" i="10"/>
  <c r="P133" i="10"/>
  <c r="Q299" i="10"/>
  <c r="O299" i="10"/>
  <c r="P299" i="10"/>
  <c r="Q381" i="10"/>
  <c r="P381" i="10"/>
  <c r="O381" i="10"/>
  <c r="O325" i="10"/>
  <c r="P325" i="10"/>
  <c r="Q325" i="10"/>
  <c r="O41" i="10"/>
  <c r="Q41" i="10"/>
  <c r="P41" i="10"/>
  <c r="O193" i="10"/>
  <c r="Q193" i="10"/>
  <c r="P193" i="10"/>
  <c r="O361" i="10"/>
  <c r="P361" i="10"/>
  <c r="Q361" i="10"/>
  <c r="Q384" i="10"/>
  <c r="P384" i="10"/>
  <c r="O384" i="10"/>
  <c r="O396" i="10"/>
  <c r="P396" i="10"/>
  <c r="Q396" i="10"/>
  <c r="O180" i="10"/>
  <c r="P180" i="10"/>
  <c r="Q180" i="10"/>
  <c r="Q298" i="10"/>
  <c r="P298" i="10"/>
  <c r="O298" i="10"/>
  <c r="P406" i="10"/>
  <c r="O406" i="10"/>
  <c r="Q406" i="10"/>
  <c r="O25" i="10"/>
  <c r="P25" i="10"/>
  <c r="Q25" i="10"/>
  <c r="P364" i="10"/>
  <c r="O364" i="10"/>
  <c r="Q364" i="10"/>
  <c r="Q387" i="10"/>
  <c r="O387" i="10"/>
  <c r="P387" i="10"/>
  <c r="P329" i="5"/>
  <c r="O329" i="5"/>
  <c r="Q329" i="5"/>
  <c r="Q340" i="5"/>
  <c r="P340" i="5"/>
  <c r="O340" i="5"/>
  <c r="P146" i="5"/>
  <c r="Q146" i="5"/>
  <c r="O146" i="5"/>
  <c r="Q136" i="5"/>
  <c r="P136" i="5"/>
  <c r="O136" i="5"/>
  <c r="P357" i="5"/>
  <c r="Q357" i="5"/>
  <c r="O357" i="5"/>
  <c r="P217" i="5"/>
  <c r="Q217" i="5"/>
  <c r="O217" i="5"/>
  <c r="O383" i="5"/>
  <c r="Q383" i="5"/>
  <c r="P383" i="5"/>
  <c r="Q326" i="5"/>
  <c r="P326" i="5"/>
  <c r="O326" i="5"/>
  <c r="O337" i="5"/>
  <c r="P337" i="5"/>
  <c r="Q337" i="5"/>
  <c r="P106" i="5"/>
  <c r="Q106" i="5"/>
  <c r="O106" i="5"/>
  <c r="O236" i="5"/>
  <c r="Q236" i="5"/>
  <c r="P236" i="5"/>
  <c r="Q15" i="5"/>
  <c r="O15" i="5"/>
  <c r="P15" i="5"/>
  <c r="P158" i="5"/>
  <c r="O158" i="5"/>
  <c r="Q158" i="5"/>
  <c r="P214" i="5"/>
  <c r="Q214" i="5"/>
  <c r="O214" i="5"/>
  <c r="O371" i="5"/>
  <c r="Q371" i="5"/>
  <c r="P371" i="5"/>
  <c r="O323" i="5"/>
  <c r="P323" i="5"/>
  <c r="Q323" i="5"/>
  <c r="O334" i="5"/>
  <c r="P334" i="5"/>
  <c r="Q334" i="5"/>
  <c r="Q177" i="5"/>
  <c r="P177" i="5"/>
  <c r="O177" i="5"/>
  <c r="O191" i="5"/>
  <c r="P191" i="5"/>
  <c r="Q191" i="5"/>
  <c r="O209" i="5"/>
  <c r="P209" i="5"/>
  <c r="Q209" i="5"/>
  <c r="P175" i="5"/>
  <c r="Q175" i="5"/>
  <c r="O175" i="5"/>
  <c r="P46" i="5"/>
  <c r="Q46" i="5"/>
  <c r="O46" i="5"/>
  <c r="O367" i="5"/>
  <c r="P367" i="5"/>
  <c r="Q367" i="5"/>
  <c r="O113" i="5"/>
  <c r="P113" i="5"/>
  <c r="Q113" i="5"/>
  <c r="Q195" i="5"/>
  <c r="O195" i="5"/>
  <c r="P195" i="5"/>
  <c r="Q183" i="5"/>
  <c r="O183" i="5"/>
  <c r="P183" i="5"/>
  <c r="P208" i="5"/>
  <c r="Q208" i="5"/>
  <c r="O208" i="5"/>
  <c r="P303" i="5"/>
  <c r="Q303" i="5"/>
  <c r="O303" i="5"/>
  <c r="P276" i="5"/>
  <c r="Q276" i="5"/>
  <c r="O276" i="5"/>
  <c r="P281" i="5"/>
  <c r="Q281" i="5"/>
  <c r="O281" i="5"/>
  <c r="P256" i="5"/>
  <c r="O256" i="5"/>
  <c r="Q256" i="5"/>
  <c r="O203" i="5"/>
  <c r="Q203" i="5"/>
  <c r="P203" i="5"/>
  <c r="P119" i="5"/>
  <c r="O119" i="5"/>
  <c r="Q119" i="5"/>
  <c r="O185" i="5"/>
  <c r="Q185" i="5"/>
  <c r="P185" i="5"/>
  <c r="P125" i="5"/>
  <c r="O125" i="5"/>
  <c r="Q125" i="5"/>
  <c r="P151" i="5"/>
  <c r="Q151" i="5"/>
  <c r="O151" i="5"/>
  <c r="P223" i="5"/>
  <c r="Q223" i="5"/>
  <c r="O223" i="5"/>
  <c r="O109" i="5"/>
  <c r="P109" i="5"/>
  <c r="Q109" i="5"/>
  <c r="Q12" i="5"/>
  <c r="O12" i="5"/>
  <c r="P12" i="5"/>
  <c r="O107" i="5"/>
  <c r="P107" i="5"/>
  <c r="Q107" i="5"/>
  <c r="O38" i="5"/>
  <c r="P38" i="5"/>
  <c r="Q38" i="5"/>
  <c r="P345" i="5"/>
  <c r="Q345" i="5"/>
  <c r="O345" i="5"/>
  <c r="P304" i="5"/>
  <c r="Q304" i="5"/>
  <c r="O304" i="5"/>
  <c r="O126" i="5"/>
  <c r="P126" i="5"/>
  <c r="Q126" i="5"/>
  <c r="P285" i="5"/>
  <c r="Q285" i="5"/>
  <c r="O285" i="5"/>
  <c r="O227" i="5"/>
  <c r="P227" i="5"/>
  <c r="Q227" i="5"/>
  <c r="O100" i="5"/>
  <c r="P100" i="5"/>
  <c r="Q100" i="5"/>
  <c r="P351" i="5"/>
  <c r="Q351" i="5"/>
  <c r="O351" i="5"/>
  <c r="O290" i="5"/>
  <c r="P290" i="5"/>
  <c r="Q290" i="5"/>
  <c r="O31" i="5"/>
  <c r="P31" i="5"/>
  <c r="Q31" i="5"/>
  <c r="P369" i="5"/>
  <c r="Q369" i="5"/>
  <c r="O369" i="5"/>
  <c r="Q123" i="5"/>
  <c r="P123" i="5"/>
  <c r="O123" i="5"/>
  <c r="O7" i="5"/>
  <c r="P7" i="5" s="1"/>
  <c r="Q7" i="5" s="1"/>
  <c r="P178" i="5"/>
  <c r="Q178" i="5"/>
  <c r="O178" i="5"/>
  <c r="O50" i="5"/>
  <c r="P50" i="5"/>
  <c r="Q50" i="5"/>
  <c r="O370" i="5"/>
  <c r="P370" i="5"/>
  <c r="Q370" i="5"/>
  <c r="Q237" i="5"/>
  <c r="P237" i="5"/>
  <c r="O237" i="5"/>
  <c r="O98" i="5"/>
  <c r="P98" i="5"/>
  <c r="Q98" i="5"/>
  <c r="O176" i="5"/>
  <c r="P176" i="5"/>
  <c r="Q176" i="5"/>
  <c r="P348" i="5"/>
  <c r="Q348" i="5"/>
  <c r="O348" i="5"/>
  <c r="O150" i="5"/>
  <c r="P150" i="5"/>
  <c r="Q150" i="5"/>
  <c r="P312" i="5"/>
  <c r="Q312" i="5"/>
  <c r="O312" i="5"/>
  <c r="Q331" i="5"/>
  <c r="P331" i="5"/>
  <c r="O331" i="5"/>
  <c r="P53" i="5"/>
  <c r="Q53" i="5"/>
  <c r="O53" i="5"/>
  <c r="Q186" i="5"/>
  <c r="P186" i="5"/>
  <c r="O186" i="5"/>
  <c r="Q229" i="5"/>
  <c r="P229" i="5"/>
  <c r="O229" i="5"/>
  <c r="P339" i="5"/>
  <c r="Q339" i="5"/>
  <c r="O339" i="5"/>
  <c r="O380" i="5"/>
  <c r="P380" i="5"/>
  <c r="Q380" i="5"/>
  <c r="O39" i="5"/>
  <c r="P39" i="5"/>
  <c r="Q39" i="5"/>
  <c r="O400" i="5"/>
  <c r="Q400" i="5"/>
  <c r="P400" i="5"/>
  <c r="P292" i="5"/>
  <c r="O292" i="5"/>
  <c r="Q292" i="5"/>
  <c r="P244" i="5"/>
  <c r="Q244" i="5"/>
  <c r="O244" i="5"/>
  <c r="P42" i="5"/>
  <c r="Q42" i="5"/>
  <c r="O42" i="5"/>
  <c r="O245" i="5"/>
  <c r="P245" i="5"/>
  <c r="Q245" i="5"/>
  <c r="Q201" i="5"/>
  <c r="O201" i="5"/>
  <c r="P201" i="5"/>
  <c r="P122" i="5"/>
  <c r="O122" i="5"/>
  <c r="Q122" i="5"/>
  <c r="P330" i="5"/>
  <c r="Q330" i="5"/>
  <c r="O330" i="5"/>
  <c r="P205" i="5"/>
  <c r="Q205" i="5"/>
  <c r="O205" i="5"/>
  <c r="O127" i="5"/>
  <c r="P127" i="5"/>
  <c r="Q127" i="5"/>
  <c r="P288" i="5"/>
  <c r="Q288" i="5"/>
  <c r="O288" i="5"/>
  <c r="O17" i="5"/>
  <c r="P17" i="5"/>
  <c r="Q17" i="5"/>
  <c r="O314" i="5"/>
  <c r="Q314" i="5"/>
  <c r="P314" i="5"/>
  <c r="P289" i="5"/>
  <c r="O289" i="5"/>
  <c r="Q289" i="5"/>
  <c r="Q353" i="5"/>
  <c r="P353" i="5"/>
  <c r="O353" i="5"/>
  <c r="Q228" i="5"/>
  <c r="O228" i="5"/>
  <c r="P228" i="5"/>
  <c r="O167" i="5"/>
  <c r="P167" i="5"/>
  <c r="Q167" i="5"/>
  <c r="Q389" i="5"/>
  <c r="P389" i="5"/>
  <c r="O389" i="5"/>
  <c r="O114" i="5"/>
  <c r="P114" i="5"/>
  <c r="Q114" i="5"/>
  <c r="O9" i="5"/>
  <c r="P9" i="5" s="1"/>
  <c r="Q9" i="5" s="1"/>
  <c r="P322" i="5"/>
  <c r="Q322" i="5"/>
  <c r="O322" i="5"/>
  <c r="Q213" i="5"/>
  <c r="P213" i="5"/>
  <c r="O213" i="5"/>
  <c r="P133" i="5"/>
  <c r="Q133" i="5"/>
  <c r="O133" i="5"/>
  <c r="Q247" i="5"/>
  <c r="O247" i="5"/>
  <c r="P247" i="5"/>
  <c r="P273" i="5"/>
  <c r="Q273" i="5"/>
  <c r="O273" i="5"/>
  <c r="O95" i="5"/>
  <c r="P95" i="5"/>
  <c r="Q95" i="5"/>
  <c r="Q210" i="5"/>
  <c r="O210" i="5"/>
  <c r="P210" i="5"/>
  <c r="O224" i="5"/>
  <c r="P224" i="5"/>
  <c r="Q224" i="5"/>
  <c r="Q18" i="5"/>
  <c r="O18" i="5"/>
  <c r="P18" i="5"/>
  <c r="O248" i="5"/>
  <c r="P248" i="5"/>
  <c r="Q248" i="5"/>
  <c r="O29" i="5"/>
  <c r="P29" i="5"/>
  <c r="Q29" i="5"/>
  <c r="O161" i="5"/>
  <c r="P161" i="5"/>
  <c r="Q161" i="5"/>
  <c r="O105" i="5"/>
  <c r="P105" i="5"/>
  <c r="Q105" i="5"/>
  <c r="P128" i="5"/>
  <c r="Q128" i="5"/>
  <c r="O128" i="5"/>
  <c r="Q365" i="5"/>
  <c r="P365" i="5"/>
  <c r="O365" i="5"/>
  <c r="O157" i="5"/>
  <c r="P157" i="5"/>
  <c r="Q157" i="5"/>
  <c r="P55" i="5"/>
  <c r="Q55" i="5"/>
  <c r="O55" i="5"/>
  <c r="P199" i="5"/>
  <c r="Q199" i="5"/>
  <c r="O199" i="5"/>
  <c r="O163" i="5"/>
  <c r="P163" i="5"/>
  <c r="Q163" i="5"/>
  <c r="O110" i="5"/>
  <c r="P110" i="5"/>
  <c r="Q110" i="5"/>
  <c r="P294" i="5"/>
  <c r="Q294" i="5"/>
  <c r="O294" i="5"/>
  <c r="O69" i="5"/>
  <c r="P69" i="5"/>
  <c r="Q69" i="5"/>
  <c r="O47" i="5"/>
  <c r="P47" i="5"/>
  <c r="Q47" i="5"/>
  <c r="P390" i="5"/>
  <c r="Q390" i="5"/>
  <c r="O390" i="5"/>
  <c r="O410" i="5"/>
  <c r="P410" i="5"/>
  <c r="Q410" i="5"/>
  <c r="Q344" i="5"/>
  <c r="P344" i="5"/>
  <c r="O344" i="5"/>
  <c r="O308" i="5"/>
  <c r="P308" i="5"/>
  <c r="Q308" i="5"/>
  <c r="O272" i="5"/>
  <c r="P272" i="5"/>
  <c r="Q272" i="5"/>
  <c r="O391" i="5"/>
  <c r="P391" i="5"/>
  <c r="Q391" i="5"/>
  <c r="O355" i="5"/>
  <c r="P355" i="5"/>
  <c r="Q355" i="5"/>
  <c r="P319" i="5"/>
  <c r="O319" i="5"/>
  <c r="Q319" i="5"/>
  <c r="P283" i="5"/>
  <c r="O283" i="5"/>
  <c r="Q283" i="5"/>
  <c r="O77" i="5"/>
  <c r="P77" i="5"/>
  <c r="Q77" i="5"/>
  <c r="O13" i="5"/>
  <c r="P13" i="5"/>
  <c r="Q13" i="5"/>
  <c r="Q361" i="5"/>
  <c r="P361" i="5"/>
  <c r="O361" i="5"/>
  <c r="O19" i="5"/>
  <c r="P19" i="5"/>
  <c r="Q19" i="5"/>
  <c r="O63" i="5"/>
  <c r="P63" i="5" s="1"/>
  <c r="Q63" i="5" s="1"/>
  <c r="O170" i="5"/>
  <c r="P170" i="5"/>
  <c r="Q170" i="5"/>
  <c r="O60" i="5"/>
  <c r="P60" i="5" s="1"/>
  <c r="Q60" i="5" s="1"/>
  <c r="P402" i="5"/>
  <c r="Q402" i="5"/>
  <c r="O402" i="5"/>
  <c r="O358" i="5"/>
  <c r="P358" i="5"/>
  <c r="Q358" i="5"/>
  <c r="Q231" i="5"/>
  <c r="O231" i="5"/>
  <c r="P231" i="5"/>
  <c r="P49" i="5"/>
  <c r="Q49" i="5"/>
  <c r="O49" i="5"/>
  <c r="O103" i="5"/>
  <c r="P103" i="5"/>
  <c r="Q103" i="5"/>
  <c r="O32" i="5"/>
  <c r="P32" i="5"/>
  <c r="Q32" i="5"/>
  <c r="O398" i="5"/>
  <c r="P398" i="5"/>
  <c r="Q398" i="5"/>
  <c r="O341" i="5"/>
  <c r="P341" i="5"/>
  <c r="Q341" i="5"/>
  <c r="O305" i="5"/>
  <c r="P305" i="5"/>
  <c r="Q305" i="5"/>
  <c r="O269" i="5"/>
  <c r="P269" i="5"/>
  <c r="Q269" i="5"/>
  <c r="O388" i="5"/>
  <c r="P388" i="5"/>
  <c r="Q388" i="5"/>
  <c r="O352" i="5"/>
  <c r="P352" i="5"/>
  <c r="Q352" i="5"/>
  <c r="P316" i="5"/>
  <c r="O316" i="5"/>
  <c r="Q316" i="5"/>
  <c r="P280" i="5"/>
  <c r="O280" i="5"/>
  <c r="Q280" i="5"/>
  <c r="O74" i="5"/>
  <c r="P74" i="5"/>
  <c r="Q74" i="5"/>
  <c r="O10" i="5"/>
  <c r="P10" i="5" s="1"/>
  <c r="Q10" i="5" s="1"/>
  <c r="O197" i="5"/>
  <c r="P197" i="5"/>
  <c r="Q197" i="5"/>
  <c r="P120" i="5"/>
  <c r="Q120" i="5"/>
  <c r="O120" i="5"/>
  <c r="P149" i="5"/>
  <c r="Q149" i="5"/>
  <c r="O149" i="5"/>
  <c r="O238" i="5"/>
  <c r="P238" i="5"/>
  <c r="Q238" i="5"/>
  <c r="O118" i="5"/>
  <c r="Q118" i="5"/>
  <c r="P118" i="5"/>
  <c r="O66" i="5"/>
  <c r="P66" i="5"/>
  <c r="Q66" i="5"/>
  <c r="P261" i="5"/>
  <c r="Q261" i="5"/>
  <c r="O261" i="5"/>
  <c r="O376" i="5"/>
  <c r="P376" i="5"/>
  <c r="Q376" i="5"/>
  <c r="Q253" i="5"/>
  <c r="O253" i="5"/>
  <c r="P253" i="5"/>
  <c r="O239" i="5"/>
  <c r="P239" i="5"/>
  <c r="Q239" i="5"/>
  <c r="O129" i="5"/>
  <c r="P129" i="5"/>
  <c r="Q129" i="5"/>
  <c r="O33" i="5"/>
  <c r="P33" i="5" s="1"/>
  <c r="Q33" i="5" s="1"/>
  <c r="O11" i="5"/>
  <c r="P11" i="5"/>
  <c r="Q11" i="5"/>
  <c r="O57" i="5"/>
  <c r="P57" i="5"/>
  <c r="Q57" i="5"/>
  <c r="O373" i="5"/>
  <c r="Q373" i="5"/>
  <c r="P373" i="5"/>
  <c r="P52" i="5"/>
  <c r="Q52" i="5"/>
  <c r="O52" i="5"/>
  <c r="P58" i="5"/>
  <c r="Q58" i="5"/>
  <c r="O58" i="5"/>
  <c r="P51" i="5"/>
  <c r="O51" i="5"/>
  <c r="Q51" i="5"/>
  <c r="P342" i="5"/>
  <c r="Q342" i="5"/>
  <c r="O342" i="5"/>
  <c r="O406" i="5"/>
  <c r="P406" i="5"/>
  <c r="Q406" i="5"/>
  <c r="O28" i="5"/>
  <c r="P28" i="5"/>
  <c r="Q28" i="5"/>
  <c r="O221" i="5"/>
  <c r="P221" i="5"/>
  <c r="Q221" i="5"/>
  <c r="P408" i="5"/>
  <c r="Q408" i="5"/>
  <c r="O408" i="5"/>
  <c r="P45" i="5"/>
  <c r="O45" i="5"/>
  <c r="Q45" i="5"/>
  <c r="O392" i="5"/>
  <c r="P392" i="5"/>
  <c r="Q392" i="5"/>
  <c r="O61" i="5"/>
  <c r="P61" i="5" s="1"/>
  <c r="Q61" i="5" s="1"/>
  <c r="O403" i="5"/>
  <c r="P403" i="5"/>
  <c r="Q403" i="5"/>
  <c r="O25" i="5"/>
  <c r="P25" i="5"/>
  <c r="Q25" i="5"/>
  <c r="O153" i="5"/>
  <c r="P153" i="5"/>
  <c r="Q153" i="5"/>
  <c r="Q216" i="5"/>
  <c r="O216" i="5"/>
  <c r="P216" i="5"/>
  <c r="P291" i="5"/>
  <c r="Q291" i="5"/>
  <c r="O291" i="5"/>
  <c r="P140" i="5"/>
  <c r="O140" i="5"/>
  <c r="Q140" i="5"/>
  <c r="O397" i="5"/>
  <c r="Q397" i="5"/>
  <c r="P397" i="5"/>
  <c r="O83" i="5"/>
  <c r="P83" i="5"/>
  <c r="Q83" i="5"/>
  <c r="O218" i="5"/>
  <c r="Q218" i="5"/>
  <c r="P218" i="5"/>
  <c r="O235" i="5"/>
  <c r="P235" i="5"/>
  <c r="Q235" i="5"/>
  <c r="O112" i="5"/>
  <c r="P112" i="5"/>
  <c r="Q112" i="5" s="1"/>
  <c r="P202" i="5"/>
  <c r="Q202" i="5"/>
  <c r="O202" i="5"/>
  <c r="Q76" i="5"/>
  <c r="O76" i="5"/>
  <c r="P76" i="5"/>
  <c r="O311" i="5"/>
  <c r="Q311" i="5"/>
  <c r="P311" i="5"/>
  <c r="P286" i="5"/>
  <c r="Q286" i="5"/>
  <c r="O286" i="5"/>
  <c r="Q30" i="5"/>
  <c r="P30" i="5"/>
  <c r="O30" i="5"/>
  <c r="Q234" i="5"/>
  <c r="O234" i="5"/>
  <c r="P234" i="5"/>
  <c r="O240" i="5"/>
  <c r="P240" i="5"/>
  <c r="Q240" i="5"/>
  <c r="O200" i="5"/>
  <c r="Q200" i="5"/>
  <c r="P200" i="5"/>
  <c r="P381" i="5"/>
  <c r="Q381" i="5"/>
  <c r="O381" i="5"/>
  <c r="P115" i="5"/>
  <c r="O115" i="5"/>
  <c r="Q115" i="5"/>
  <c r="P258" i="5"/>
  <c r="Q258" i="5"/>
  <c r="O258" i="5"/>
  <c r="Q198" i="5"/>
  <c r="O198" i="5"/>
  <c r="P198" i="5"/>
  <c r="O164" i="5"/>
  <c r="P164" i="5"/>
  <c r="Q164" i="5"/>
  <c r="Q189" i="5"/>
  <c r="O189" i="5"/>
  <c r="P189" i="5"/>
  <c r="O249" i="5"/>
  <c r="P249" i="5"/>
  <c r="Q249" i="5"/>
  <c r="Q204" i="5"/>
  <c r="O204" i="5"/>
  <c r="P204" i="5"/>
  <c r="O246" i="5"/>
  <c r="Q246" i="5"/>
  <c r="P246" i="5"/>
  <c r="O135" i="5"/>
  <c r="P135" i="5" s="1"/>
  <c r="Q135" i="5" s="1"/>
  <c r="O94" i="5"/>
  <c r="P94" i="5"/>
  <c r="Q94" i="5"/>
  <c r="P108" i="5"/>
  <c r="O108" i="5"/>
  <c r="Q108" i="5"/>
  <c r="O154" i="5"/>
  <c r="Q154" i="5"/>
  <c r="P154" i="5"/>
  <c r="P134" i="5"/>
  <c r="O134" i="5"/>
  <c r="Q134" i="5"/>
  <c r="P396" i="5"/>
  <c r="Q396" i="5"/>
  <c r="O396" i="5"/>
  <c r="P193" i="5"/>
  <c r="Q193" i="5"/>
  <c r="O193" i="5"/>
  <c r="O147" i="5"/>
  <c r="P147" i="5"/>
  <c r="Q147" i="5"/>
  <c r="O96" i="5"/>
  <c r="P96" i="5"/>
  <c r="Q96" i="5"/>
  <c r="P399" i="5"/>
  <c r="Q399" i="5"/>
  <c r="O399" i="5"/>
  <c r="Q21" i="5"/>
  <c r="O21" i="5"/>
  <c r="P21" i="5"/>
  <c r="O36" i="5"/>
  <c r="P36" i="5" s="1"/>
  <c r="Q36" i="5" s="1"/>
  <c r="P366" i="5"/>
  <c r="Q366" i="5"/>
  <c r="O366" i="5"/>
  <c r="O386" i="5"/>
  <c r="P386" i="5"/>
  <c r="Q386" i="5"/>
  <c r="P338" i="5"/>
  <c r="O338" i="5"/>
  <c r="Q338" i="5"/>
  <c r="O302" i="5"/>
  <c r="P302" i="5"/>
  <c r="Q302" i="5"/>
  <c r="O266" i="5"/>
  <c r="P266" i="5"/>
  <c r="Q266" i="5"/>
  <c r="Q385" i="5"/>
  <c r="P385" i="5"/>
  <c r="O385" i="5"/>
  <c r="Q349" i="5"/>
  <c r="P349" i="5"/>
  <c r="O349" i="5"/>
  <c r="P313" i="5"/>
  <c r="O313" i="5"/>
  <c r="Q313" i="5"/>
  <c r="P277" i="5"/>
  <c r="O277" i="5"/>
  <c r="Q277" i="5"/>
  <c r="Q71" i="5"/>
  <c r="O71" i="5"/>
  <c r="P71" i="5"/>
  <c r="O34" i="5"/>
  <c r="P34" i="5" s="1"/>
  <c r="Q34" i="5" s="1"/>
  <c r="P393" i="5"/>
  <c r="Q393" i="5"/>
  <c r="O393" i="5"/>
  <c r="O130" i="5"/>
  <c r="P130" i="5"/>
  <c r="Q130" i="5"/>
  <c r="P90" i="5"/>
  <c r="O90" i="5"/>
  <c r="Q90" i="5"/>
  <c r="P184" i="5"/>
  <c r="Q184" i="5"/>
  <c r="O184" i="5"/>
  <c r="O395" i="5"/>
  <c r="Q395" i="5"/>
  <c r="P395" i="5"/>
  <c r="O257" i="5"/>
  <c r="P257" i="5"/>
  <c r="Q257" i="5"/>
  <c r="P268" i="5"/>
  <c r="Q268" i="5"/>
  <c r="O268" i="5"/>
  <c r="O75" i="5"/>
  <c r="P75" i="5"/>
  <c r="Q75" i="5"/>
  <c r="Q70" i="5"/>
  <c r="O70" i="5"/>
  <c r="P70" i="5"/>
  <c r="P56" i="5"/>
  <c r="O56" i="5"/>
  <c r="Q56" i="5"/>
  <c r="P255" i="5"/>
  <c r="Q255" i="5"/>
  <c r="O255" i="5"/>
  <c r="P336" i="5"/>
  <c r="Q336" i="5"/>
  <c r="O336" i="5"/>
  <c r="P301" i="5"/>
  <c r="Q301" i="5"/>
  <c r="O301" i="5"/>
  <c r="O188" i="5"/>
  <c r="P188" i="5"/>
  <c r="Q188" i="5"/>
  <c r="O139" i="5"/>
  <c r="P139" i="5"/>
  <c r="Q139" i="5"/>
  <c r="Q219" i="5"/>
  <c r="O219" i="5"/>
  <c r="P219" i="5"/>
  <c r="Q27" i="5"/>
  <c r="O27" i="5"/>
  <c r="P27" i="5"/>
  <c r="P309" i="5"/>
  <c r="Q309" i="5"/>
  <c r="O309" i="5"/>
  <c r="O72" i="5"/>
  <c r="P72" i="5"/>
  <c r="Q72" i="5"/>
  <c r="O287" i="5"/>
  <c r="P287" i="5"/>
  <c r="Q287" i="5"/>
  <c r="P262" i="5"/>
  <c r="O262" i="5"/>
  <c r="Q262" i="5"/>
  <c r="P84" i="5"/>
  <c r="Q84" i="5"/>
  <c r="O84" i="5"/>
  <c r="P264" i="5"/>
  <c r="Q264" i="5"/>
  <c r="O264" i="5"/>
  <c r="P405" i="5"/>
  <c r="Q405" i="5"/>
  <c r="O405" i="5"/>
  <c r="O89" i="5"/>
  <c r="P89" i="5"/>
  <c r="Q89" i="5"/>
  <c r="P333" i="5"/>
  <c r="Q333" i="5"/>
  <c r="O333" i="5"/>
  <c r="O320" i="5"/>
  <c r="P320" i="5"/>
  <c r="Q320" i="5"/>
  <c r="P259" i="5"/>
  <c r="O259" i="5"/>
  <c r="Q259" i="5"/>
  <c r="P99" i="5"/>
  <c r="Q99" i="5"/>
  <c r="O99" i="5"/>
  <c r="P306" i="5"/>
  <c r="Q306" i="5"/>
  <c r="O306" i="5"/>
  <c r="P40" i="5"/>
  <c r="Q40" i="5"/>
  <c r="O40" i="5"/>
  <c r="O172" i="5"/>
  <c r="P172" i="5"/>
  <c r="Q172" i="5"/>
  <c r="Q24" i="5"/>
  <c r="O24" i="5"/>
  <c r="P24" i="5"/>
  <c r="P317" i="5"/>
  <c r="Q317" i="5"/>
  <c r="O317" i="5"/>
  <c r="O328" i="5"/>
  <c r="P328" i="5"/>
  <c r="Q328" i="5"/>
  <c r="O22" i="5"/>
  <c r="P22" i="5"/>
  <c r="Q22" i="5"/>
  <c r="Q64" i="5"/>
  <c r="O64" i="5"/>
  <c r="P64" i="5"/>
  <c r="O242" i="5"/>
  <c r="Q242" i="5"/>
  <c r="P242" i="5"/>
  <c r="O254" i="5"/>
  <c r="P254" i="5"/>
  <c r="Q254" i="5"/>
  <c r="O173" i="5"/>
  <c r="P173" i="5"/>
  <c r="Q173" i="5"/>
  <c r="O5" i="5"/>
  <c r="P5" i="5" s="1"/>
  <c r="Q5" i="5" s="1"/>
  <c r="B10" i="2"/>
  <c r="O81" i="5"/>
  <c r="P81" i="5"/>
  <c r="Q81" i="5"/>
  <c r="O169" i="5"/>
  <c r="P169" i="5"/>
  <c r="Q169" i="5"/>
  <c r="O368" i="5"/>
  <c r="P368" i="5"/>
  <c r="Q368" i="5"/>
  <c r="P267" i="5"/>
  <c r="Q267" i="5"/>
  <c r="O267" i="5"/>
  <c r="O350" i="5"/>
  <c r="P350" i="5"/>
  <c r="Q350" i="5"/>
  <c r="O278" i="5"/>
  <c r="Q278" i="5"/>
  <c r="P278" i="5"/>
  <c r="O325" i="5"/>
  <c r="P325" i="5"/>
  <c r="Q325" i="5"/>
  <c r="Q171" i="5"/>
  <c r="O171" i="5"/>
  <c r="P171" i="5"/>
  <c r="P156" i="5"/>
  <c r="Q156" i="5"/>
  <c r="O156" i="5"/>
  <c r="O251" i="5"/>
  <c r="P251" i="5"/>
  <c r="Q251" i="5"/>
  <c r="P138" i="5"/>
  <c r="O138" i="5"/>
  <c r="Q138" i="5"/>
  <c r="O166" i="5"/>
  <c r="P166" i="5"/>
  <c r="Q166" i="5"/>
  <c r="O54" i="5"/>
  <c r="P54" i="5"/>
  <c r="Q54" i="5"/>
  <c r="Q275" i="5"/>
  <c r="O275" i="5"/>
  <c r="P275" i="5"/>
  <c r="P80" i="5"/>
  <c r="Q80" i="5"/>
  <c r="O80" i="5"/>
  <c r="O182" i="5"/>
  <c r="Q182" i="5"/>
  <c r="P182" i="5"/>
  <c r="O88" i="5"/>
  <c r="P88" i="5" s="1"/>
  <c r="Q88" i="5" s="1"/>
  <c r="P270" i="5"/>
  <c r="Q270" i="5"/>
  <c r="O270" i="5"/>
  <c r="O101" i="5"/>
  <c r="P101" i="5"/>
  <c r="Q101" i="5"/>
  <c r="O144" i="5"/>
  <c r="P144" i="5"/>
  <c r="Q144" i="5"/>
  <c r="O160" i="5"/>
  <c r="P160" i="5"/>
  <c r="Q160" i="5"/>
  <c r="P378" i="5"/>
  <c r="Q378" i="5"/>
  <c r="O378" i="5"/>
  <c r="O230" i="5"/>
  <c r="Q230" i="5"/>
  <c r="P230" i="5"/>
  <c r="Q174" i="5"/>
  <c r="P174" i="5"/>
  <c r="O174" i="5"/>
  <c r="O20" i="5"/>
  <c r="P20" i="5"/>
  <c r="Q20" i="5"/>
  <c r="O233" i="5"/>
  <c r="P233" i="5"/>
  <c r="Q233" i="5"/>
  <c r="O91" i="5"/>
  <c r="P91" i="5"/>
  <c r="Q91" i="5"/>
  <c r="Q192" i="5"/>
  <c r="O192" i="5"/>
  <c r="P192" i="5"/>
  <c r="O252" i="5"/>
  <c r="P252" i="5"/>
  <c r="Q252" i="5"/>
  <c r="P48" i="5"/>
  <c r="Q48" i="5"/>
  <c r="O48" i="5"/>
  <c r="Q168" i="5"/>
  <c r="P168" i="5"/>
  <c r="O168" i="5"/>
  <c r="O179" i="5"/>
  <c r="P179" i="5"/>
  <c r="Q179" i="5"/>
  <c r="O206" i="5"/>
  <c r="Q206" i="5"/>
  <c r="P206" i="5"/>
  <c r="O194" i="5"/>
  <c r="P194" i="5"/>
  <c r="Q194" i="5"/>
  <c r="Q225" i="5"/>
  <c r="O225" i="5"/>
  <c r="P225" i="5"/>
  <c r="Q67" i="5"/>
  <c r="O67" i="5"/>
  <c r="P67" i="5"/>
  <c r="O87" i="5"/>
  <c r="P87" i="5" s="1"/>
  <c r="Q87" i="5" s="1"/>
  <c r="O104" i="5"/>
  <c r="P104" i="5"/>
  <c r="Q104" i="5"/>
  <c r="O141" i="5"/>
  <c r="Q141" i="5"/>
  <c r="P141" i="5"/>
  <c r="O121" i="5"/>
  <c r="P121" i="5"/>
  <c r="Q121" i="5"/>
  <c r="P372" i="5"/>
  <c r="Q372" i="5"/>
  <c r="O372" i="5"/>
  <c r="P190" i="5"/>
  <c r="Q190" i="5"/>
  <c r="O190" i="5"/>
  <c r="P137" i="5"/>
  <c r="O137" i="5"/>
  <c r="Q137" i="5"/>
  <c r="O92" i="5"/>
  <c r="P92" i="5"/>
  <c r="Q92" i="5"/>
  <c r="P387" i="5"/>
  <c r="Q387" i="5"/>
  <c r="O387" i="5"/>
  <c r="O14" i="5"/>
  <c r="P14" i="5"/>
  <c r="Q14" i="5"/>
  <c r="P318" i="5"/>
  <c r="Q318" i="5"/>
  <c r="O318" i="5"/>
  <c r="P354" i="5"/>
  <c r="Q354" i="5"/>
  <c r="O354" i="5"/>
  <c r="O374" i="5"/>
  <c r="P374" i="5"/>
  <c r="Q374" i="5"/>
  <c r="Q335" i="5"/>
  <c r="O335" i="5"/>
  <c r="P335" i="5"/>
  <c r="P299" i="5"/>
  <c r="O299" i="5"/>
  <c r="Q299" i="5"/>
  <c r="P263" i="5"/>
  <c r="O263" i="5"/>
  <c r="Q263" i="5"/>
  <c r="O382" i="5"/>
  <c r="P382" i="5"/>
  <c r="Q382" i="5"/>
  <c r="O346" i="5"/>
  <c r="P346" i="5"/>
  <c r="Q346" i="5"/>
  <c r="P310" i="5"/>
  <c r="O310" i="5"/>
  <c r="Q310" i="5"/>
  <c r="P274" i="5"/>
  <c r="O274" i="5"/>
  <c r="Q274" i="5"/>
  <c r="O68" i="5"/>
  <c r="P68" i="5"/>
  <c r="Q68" i="5"/>
  <c r="O6" i="5"/>
  <c r="P6" i="5" s="1"/>
  <c r="Q6" i="5" s="1"/>
  <c r="O226" i="5"/>
  <c r="P226" i="5"/>
  <c r="Q226" i="5"/>
  <c r="Q377" i="5"/>
  <c r="P377" i="5"/>
  <c r="O377" i="5"/>
  <c r="O142" i="5"/>
  <c r="P142" i="5"/>
  <c r="Q142" i="5"/>
  <c r="Q78" i="5"/>
  <c r="O78" i="5"/>
  <c r="P78" i="5"/>
  <c r="P220" i="5"/>
  <c r="Q220" i="5"/>
  <c r="O220" i="5"/>
  <c r="P363" i="5"/>
  <c r="Q363" i="5"/>
  <c r="O363" i="5"/>
  <c r="O293" i="5"/>
  <c r="P293" i="5"/>
  <c r="Q293" i="5"/>
  <c r="O62" i="5"/>
  <c r="P62" i="5" s="1"/>
  <c r="Q62" i="5" s="1"/>
  <c r="Q207" i="5"/>
  <c r="O207" i="5"/>
  <c r="P207" i="5"/>
  <c r="O102" i="5"/>
  <c r="P102" i="5"/>
  <c r="Q102" i="5"/>
  <c r="O41" i="5"/>
  <c r="P41" i="5"/>
  <c r="Q41" i="5"/>
  <c r="P181" i="5"/>
  <c r="Q181" i="5"/>
  <c r="O181" i="5"/>
  <c r="Q79" i="5"/>
  <c r="O79" i="5"/>
  <c r="P79" i="5"/>
  <c r="O409" i="5"/>
  <c r="P409" i="5"/>
  <c r="Q409" i="5"/>
  <c r="P265" i="5"/>
  <c r="Q265" i="5"/>
  <c r="O265" i="5"/>
  <c r="O232" i="5"/>
  <c r="P232" i="5"/>
  <c r="Q232" i="5"/>
  <c r="Q222" i="5"/>
  <c r="O222" i="5"/>
  <c r="P222" i="5"/>
  <c r="O93" i="5"/>
  <c r="P93" i="5"/>
  <c r="Q93" i="5"/>
  <c r="O404" i="5"/>
  <c r="P404" i="5"/>
  <c r="Q404" i="5"/>
  <c r="P327" i="5"/>
  <c r="Q327" i="5"/>
  <c r="O327" i="5"/>
  <c r="P298" i="5"/>
  <c r="O298" i="5"/>
  <c r="Q298" i="5"/>
  <c r="P384" i="5"/>
  <c r="Q384" i="5"/>
  <c r="O384" i="5"/>
  <c r="P360" i="5"/>
  <c r="Q360" i="5"/>
  <c r="O360" i="5"/>
  <c r="O145" i="5"/>
  <c r="P145" i="5"/>
  <c r="Q145" i="5"/>
  <c r="P211" i="5"/>
  <c r="Q211" i="5"/>
  <c r="O211" i="5"/>
  <c r="O359" i="5"/>
  <c r="Q359" i="5"/>
  <c r="P359" i="5"/>
  <c r="O284" i="5"/>
  <c r="P284" i="5"/>
  <c r="Q284" i="5"/>
  <c r="P295" i="5"/>
  <c r="O295" i="5"/>
  <c r="Q295" i="5"/>
  <c r="P315" i="5"/>
  <c r="Q315" i="5"/>
  <c r="O315" i="5"/>
  <c r="O117" i="5"/>
  <c r="P117" i="5"/>
  <c r="Q117" i="5"/>
  <c r="O132" i="5"/>
  <c r="P132" i="5"/>
  <c r="Q132" i="5"/>
  <c r="Q85" i="5"/>
  <c r="O85" i="5"/>
  <c r="P85" i="5"/>
  <c r="P324" i="5"/>
  <c r="Q324" i="5"/>
  <c r="O324" i="5"/>
  <c r="O364" i="5"/>
  <c r="P364" i="5"/>
  <c r="Q364" i="5"/>
  <c r="Q73" i="5"/>
  <c r="O73" i="5"/>
  <c r="P73" i="5"/>
  <c r="P300" i="5"/>
  <c r="Q300" i="5"/>
  <c r="O300" i="5"/>
  <c r="O356" i="5"/>
  <c r="P356" i="5"/>
  <c r="Q356" i="5"/>
  <c r="P347" i="5"/>
  <c r="O347" i="5"/>
  <c r="Q347" i="5"/>
  <c r="O394" i="5"/>
  <c r="P394" i="5"/>
  <c r="Q394" i="5"/>
  <c r="Q16" i="5"/>
  <c r="O16" i="5"/>
  <c r="P16" i="5"/>
  <c r="Q401" i="5"/>
  <c r="P401" i="5"/>
  <c r="O401" i="5"/>
  <c r="Q243" i="5"/>
  <c r="P243" i="5"/>
  <c r="O243" i="5"/>
  <c r="O215" i="5"/>
  <c r="P215" i="5"/>
  <c r="Q215" i="5"/>
  <c r="O148" i="5"/>
  <c r="P148" i="5"/>
  <c r="Q148" i="5"/>
  <c r="P321" i="5"/>
  <c r="Q321" i="5"/>
  <c r="O321" i="5"/>
  <c r="P196" i="5"/>
  <c r="Q196" i="5"/>
  <c r="O196" i="5"/>
  <c r="P43" i="5"/>
  <c r="Q43" i="5"/>
  <c r="O43" i="5"/>
  <c r="Q165" i="5"/>
  <c r="O165" i="5"/>
  <c r="P165" i="5"/>
  <c r="P152" i="5"/>
  <c r="O152" i="5"/>
  <c r="Q152" i="5"/>
  <c r="P59" i="5"/>
  <c r="Q59" i="5"/>
  <c r="O59" i="5"/>
  <c r="Q250" i="5"/>
  <c r="P250" i="5"/>
  <c r="O250" i="5"/>
  <c r="O212" i="5"/>
  <c r="P212" i="5"/>
  <c r="Q212" i="5"/>
  <c r="O241" i="5"/>
  <c r="P241" i="5"/>
  <c r="Q241" i="5"/>
  <c r="Q159" i="5"/>
  <c r="O159" i="5"/>
  <c r="P159" i="5"/>
  <c r="O26" i="5"/>
  <c r="P26" i="5"/>
  <c r="Q26" i="5"/>
  <c r="O37" i="5"/>
  <c r="P37" i="5" s="1"/>
  <c r="Q37" i="5" s="1"/>
  <c r="Q162" i="5"/>
  <c r="P162" i="5"/>
  <c r="O162" i="5"/>
  <c r="P116" i="5"/>
  <c r="O116" i="5"/>
  <c r="Q116" i="5"/>
  <c r="Q180" i="5"/>
  <c r="O180" i="5"/>
  <c r="P180" i="5"/>
  <c r="P155" i="5"/>
  <c r="O155" i="5"/>
  <c r="Q155" i="5"/>
  <c r="P143" i="5"/>
  <c r="O143" i="5"/>
  <c r="Q143" i="5"/>
  <c r="Q23" i="5"/>
  <c r="O23" i="5"/>
  <c r="P23" i="5"/>
  <c r="Q82" i="5"/>
  <c r="O82" i="5"/>
  <c r="P82" i="5"/>
  <c r="P97" i="5"/>
  <c r="Q97" i="5"/>
  <c r="O97" i="5"/>
  <c r="P131" i="5"/>
  <c r="O131" i="5"/>
  <c r="Q131" i="5"/>
  <c r="O111" i="5"/>
  <c r="P111" i="5" s="1"/>
  <c r="Q111" i="5" s="1"/>
  <c r="P279" i="5"/>
  <c r="Q279" i="5"/>
  <c r="O279" i="5"/>
  <c r="P187" i="5"/>
  <c r="Q187" i="5"/>
  <c r="O187" i="5"/>
  <c r="O124" i="5"/>
  <c r="P124" i="5"/>
  <c r="Q124" i="5"/>
  <c r="O44" i="5"/>
  <c r="P44" i="5"/>
  <c r="Q44" i="5"/>
  <c r="P375" i="5"/>
  <c r="Q375" i="5"/>
  <c r="O375" i="5"/>
  <c r="O407" i="5"/>
  <c r="P407" i="5"/>
  <c r="Q407" i="5"/>
  <c r="P282" i="5"/>
  <c r="Q282" i="5"/>
  <c r="O282" i="5"/>
  <c r="P297" i="5"/>
  <c r="Q297" i="5"/>
  <c r="O297" i="5"/>
  <c r="O362" i="5"/>
  <c r="P362" i="5"/>
  <c r="Q362" i="5"/>
  <c r="O332" i="5"/>
  <c r="P332" i="5"/>
  <c r="Q332" i="5"/>
  <c r="Q296" i="5"/>
  <c r="P296" i="5"/>
  <c r="O296" i="5"/>
  <c r="Q260" i="5"/>
  <c r="P260" i="5"/>
  <c r="O260" i="5"/>
  <c r="O379" i="5"/>
  <c r="P379" i="5"/>
  <c r="Q379" i="5"/>
  <c r="O343" i="5"/>
  <c r="P343" i="5"/>
  <c r="Q343" i="5"/>
  <c r="P307" i="5"/>
  <c r="O307" i="5"/>
  <c r="Q307" i="5"/>
  <c r="P271" i="5"/>
  <c r="O271" i="5"/>
  <c r="Q271" i="5"/>
  <c r="O65" i="5"/>
  <c r="P65" i="5"/>
  <c r="Q65" i="5"/>
  <c r="O15" i="11" l="1"/>
  <c r="O13" i="11"/>
  <c r="O14" i="11"/>
  <c r="O14" i="2"/>
  <c r="O15" i="2"/>
  <c r="O13" i="2"/>
  <c r="A14" i="11" l="1"/>
  <c r="D13" i="14"/>
  <c r="I13" i="14" s="1"/>
  <c r="K13" i="14" s="1"/>
  <c r="J13" i="14"/>
  <c r="B14" i="11"/>
  <c r="C13" i="14" s="1"/>
  <c r="F14" i="11"/>
  <c r="M14" i="11" s="1"/>
  <c r="N14" i="11" s="1"/>
  <c r="E14" i="11"/>
  <c r="A13" i="14"/>
  <c r="N28" i="14" s="1"/>
  <c r="K14" i="11"/>
  <c r="C14" i="11"/>
  <c r="B13" i="14" s="1"/>
  <c r="C13" i="11"/>
  <c r="G13" i="11"/>
  <c r="H13" i="11" s="1"/>
  <c r="B12" i="14"/>
  <c r="B13" i="11"/>
  <c r="C12" i="14"/>
  <c r="A13" i="11"/>
  <c r="A12" i="14" s="1"/>
  <c r="N27" i="14" s="1"/>
  <c r="D13" i="11"/>
  <c r="K13" i="11"/>
  <c r="E12" i="14"/>
  <c r="E13" i="11"/>
  <c r="F13" i="11"/>
  <c r="D12" i="14" s="1"/>
  <c r="C15" i="11"/>
  <c r="B14" i="14" s="1"/>
  <c r="A15" i="11"/>
  <c r="A14" i="14" s="1"/>
  <c r="N29" i="14" s="1"/>
  <c r="B15" i="11"/>
  <c r="F15" i="11" s="1"/>
  <c r="C14" i="14"/>
  <c r="D15" i="11"/>
  <c r="E15" i="11"/>
  <c r="G15" i="11"/>
  <c r="E14" i="14" s="1"/>
  <c r="K15" i="11"/>
  <c r="B13" i="2"/>
  <c r="K13" i="2" s="1"/>
  <c r="A13" i="2"/>
  <c r="A12" i="8" s="1"/>
  <c r="N27" i="8" s="1"/>
  <c r="B15" i="2"/>
  <c r="G15" i="2" s="1"/>
  <c r="E14" i="8" s="1"/>
  <c r="A15" i="2"/>
  <c r="A14" i="8" s="1"/>
  <c r="N29" i="8" s="1"/>
  <c r="B14" i="2"/>
  <c r="K14" i="2" s="1"/>
  <c r="A14" i="2"/>
  <c r="A13" i="8" s="1"/>
  <c r="N28" i="8" s="1"/>
  <c r="D14" i="14" l="1"/>
  <c r="H15" i="11"/>
  <c r="J15" i="11"/>
  <c r="H14" i="14" s="1"/>
  <c r="M15" i="11"/>
  <c r="N15" i="11" s="1"/>
  <c r="I15" i="11"/>
  <c r="G14" i="14" s="1"/>
  <c r="L13" i="11"/>
  <c r="L12" i="14" s="1"/>
  <c r="F12" i="14"/>
  <c r="J12" i="14"/>
  <c r="I12" i="14"/>
  <c r="M13" i="11"/>
  <c r="N13" i="11" s="1"/>
  <c r="J13" i="11"/>
  <c r="H12" i="14" s="1"/>
  <c r="G14" i="11"/>
  <c r="I13" i="11"/>
  <c r="G12" i="14" s="1"/>
  <c r="D14" i="11"/>
  <c r="B20" i="11"/>
  <c r="B19" i="11"/>
  <c r="B22" i="11"/>
  <c r="B23" i="11"/>
  <c r="O27" i="14"/>
  <c r="D19" i="14"/>
  <c r="D18" i="14"/>
  <c r="B19" i="14"/>
  <c r="C19" i="14"/>
  <c r="B18" i="14"/>
  <c r="C18" i="14"/>
  <c r="C13" i="8"/>
  <c r="C12" i="8"/>
  <c r="C14" i="8"/>
  <c r="D13" i="2"/>
  <c r="G13" i="2"/>
  <c r="E12" i="8" s="1"/>
  <c r="C13" i="2"/>
  <c r="E13" i="2"/>
  <c r="E15" i="2"/>
  <c r="C15" i="2"/>
  <c r="B14" i="8" s="1"/>
  <c r="F15" i="2"/>
  <c r="K15" i="2"/>
  <c r="G14" i="2"/>
  <c r="E13" i="8" s="1"/>
  <c r="E14" i="2"/>
  <c r="D14" i="2"/>
  <c r="D15" i="2"/>
  <c r="F13" i="2"/>
  <c r="D12" i="8" s="1"/>
  <c r="C14" i="2"/>
  <c r="B13" i="8" s="1"/>
  <c r="F14" i="2"/>
  <c r="D13" i="8" s="1"/>
  <c r="K12" i="14" l="1"/>
  <c r="E13" i="14"/>
  <c r="H14" i="11"/>
  <c r="J14" i="11"/>
  <c r="H13" i="14" s="1"/>
  <c r="L15" i="11"/>
  <c r="F14" i="14"/>
  <c r="I14" i="11"/>
  <c r="G13" i="14" s="1"/>
  <c r="J14" i="14"/>
  <c r="I14" i="14"/>
  <c r="K14" i="14" s="1"/>
  <c r="F8" i="14"/>
  <c r="D8" i="14"/>
  <c r="F5" i="14"/>
  <c r="E19" i="14"/>
  <c r="O16" i="14"/>
  <c r="P13" i="14"/>
  <c r="Q15" i="14"/>
  <c r="R14" i="14"/>
  <c r="O14" i="14"/>
  <c r="O17" i="14"/>
  <c r="R12" i="14"/>
  <c r="P20" i="14"/>
  <c r="Q14" i="14"/>
  <c r="O21" i="14"/>
  <c r="P16" i="14"/>
  <c r="D5" i="14"/>
  <c r="O13" i="14"/>
  <c r="P15" i="14"/>
  <c r="O12" i="14"/>
  <c r="P23" i="14"/>
  <c r="R13" i="14"/>
  <c r="O22" i="14"/>
  <c r="P18" i="14"/>
  <c r="P21" i="14"/>
  <c r="P17" i="14"/>
  <c r="P19" i="14"/>
  <c r="O15" i="14"/>
  <c r="Q13" i="14"/>
  <c r="R15" i="14"/>
  <c r="Q12" i="14"/>
  <c r="P14" i="14"/>
  <c r="O19" i="14"/>
  <c r="O18" i="14"/>
  <c r="P22" i="14"/>
  <c r="P12" i="14"/>
  <c r="D20" i="14"/>
  <c r="O20" i="14"/>
  <c r="O23" i="14"/>
  <c r="E18" i="14"/>
  <c r="I13" i="8"/>
  <c r="J13" i="8"/>
  <c r="M15" i="2"/>
  <c r="N15" i="2" s="1"/>
  <c r="D14" i="8"/>
  <c r="B18" i="8" s="1"/>
  <c r="I12" i="8"/>
  <c r="J12" i="8"/>
  <c r="C18" i="8"/>
  <c r="D18" i="8"/>
  <c r="B19" i="8"/>
  <c r="B19" i="2"/>
  <c r="B12" i="8"/>
  <c r="H13" i="2"/>
  <c r="J15" i="2"/>
  <c r="H14" i="8" s="1"/>
  <c r="H15" i="2"/>
  <c r="I15" i="2"/>
  <c r="G14" i="8" s="1"/>
  <c r="H14" i="2"/>
  <c r="J14" i="2"/>
  <c r="H13" i="8" s="1"/>
  <c r="M14" i="2"/>
  <c r="N14" i="2" s="1"/>
  <c r="I14" i="2"/>
  <c r="G13" i="8" s="1"/>
  <c r="I13" i="2"/>
  <c r="G12" i="8" s="1"/>
  <c r="J13" i="2"/>
  <c r="H12" i="8" s="1"/>
  <c r="M13" i="2"/>
  <c r="L14" i="11" l="1"/>
  <c r="L13" i="14" s="1"/>
  <c r="F13" i="14"/>
  <c r="O29" i="14"/>
  <c r="F19" i="14"/>
  <c r="L14" i="14"/>
  <c r="G19" i="14" s="1"/>
  <c r="B21" i="11"/>
  <c r="F20" i="14"/>
  <c r="H8" i="14" s="1"/>
  <c r="E20" i="14"/>
  <c r="H5" i="14"/>
  <c r="D19" i="8"/>
  <c r="F5" i="8" s="1"/>
  <c r="K12" i="8"/>
  <c r="P18" i="8"/>
  <c r="D8" i="8"/>
  <c r="O23" i="8"/>
  <c r="Q17" i="8"/>
  <c r="P22" i="8"/>
  <c r="L13" i="2"/>
  <c r="F12" i="8"/>
  <c r="F19" i="8" s="1"/>
  <c r="O16" i="8"/>
  <c r="L15" i="2"/>
  <c r="L14" i="8" s="1"/>
  <c r="G18" i="8" s="1"/>
  <c r="F14" i="8"/>
  <c r="O29" i="8" s="1"/>
  <c r="P17" i="8"/>
  <c r="O13" i="8"/>
  <c r="Q18" i="8"/>
  <c r="O12" i="8"/>
  <c r="R16" i="8"/>
  <c r="R19" i="8"/>
  <c r="K13" i="8"/>
  <c r="L14" i="2"/>
  <c r="L13" i="8" s="1"/>
  <c r="F13" i="8"/>
  <c r="O28" i="8" s="1"/>
  <c r="O20" i="8"/>
  <c r="R14" i="8"/>
  <c r="P12" i="8"/>
  <c r="Q12" i="8"/>
  <c r="D5" i="8"/>
  <c r="I14" i="8"/>
  <c r="J14" i="8"/>
  <c r="Q15" i="8"/>
  <c r="P21" i="8"/>
  <c r="Q19" i="8"/>
  <c r="Q16" i="8"/>
  <c r="O21" i="8"/>
  <c r="O15" i="8"/>
  <c r="C19" i="8"/>
  <c r="F8" i="8" s="1"/>
  <c r="B20" i="2"/>
  <c r="E18" i="8"/>
  <c r="P14" i="8"/>
  <c r="N13" i="2"/>
  <c r="B23" i="2" s="1"/>
  <c r="B22" i="2"/>
  <c r="D10" i="6"/>
  <c r="E10" i="6" s="1"/>
  <c r="D8" i="6"/>
  <c r="E8" i="6" s="1"/>
  <c r="D9" i="6"/>
  <c r="D6" i="6"/>
  <c r="D7" i="6"/>
  <c r="F7" i="6" s="1"/>
  <c r="D11" i="6"/>
  <c r="F11" i="6" s="1"/>
  <c r="D12" i="6"/>
  <c r="E12" i="6" s="1"/>
  <c r="O28" i="14" l="1"/>
  <c r="F18" i="14"/>
  <c r="J5" i="14"/>
  <c r="G18" i="14"/>
  <c r="B8" i="14"/>
  <c r="R18" i="8"/>
  <c r="P13" i="8"/>
  <c r="P23" i="8"/>
  <c r="P19" i="8"/>
  <c r="P20" i="8"/>
  <c r="Q14" i="8"/>
  <c r="R13" i="8"/>
  <c r="O17" i="8"/>
  <c r="Q13" i="8"/>
  <c r="R15" i="8"/>
  <c r="P15" i="8"/>
  <c r="P16" i="8"/>
  <c r="O14" i="8"/>
  <c r="R17" i="8"/>
  <c r="D20" i="8"/>
  <c r="H5" i="8" s="1"/>
  <c r="O18" i="8"/>
  <c r="E19" i="8"/>
  <c r="R12" i="8"/>
  <c r="O22" i="8"/>
  <c r="O19" i="8"/>
  <c r="F18" i="8"/>
  <c r="F20" i="8"/>
  <c r="H8" i="8" s="1"/>
  <c r="E20" i="8"/>
  <c r="O27" i="8"/>
  <c r="J5" i="8"/>
  <c r="B21" i="2"/>
  <c r="L12" i="8"/>
  <c r="K14" i="8"/>
  <c r="E6" i="6"/>
  <c r="C21" i="7"/>
  <c r="F12" i="6"/>
  <c r="A12" i="6" s="1"/>
  <c r="F8" i="6"/>
  <c r="A8" i="6" s="1"/>
  <c r="F10" i="6"/>
  <c r="A10" i="6" s="1"/>
  <c r="E9" i="6"/>
  <c r="F6" i="6"/>
  <c r="F9" i="6"/>
  <c r="E11" i="6"/>
  <c r="A11" i="6" s="1"/>
  <c r="E7" i="6"/>
  <c r="A7" i="6" s="1"/>
  <c r="L5" i="14" l="1"/>
  <c r="A21" i="14"/>
  <c r="L8" i="14"/>
  <c r="B8" i="8"/>
  <c r="G19" i="8"/>
  <c r="A9" i="6"/>
  <c r="A6" i="6"/>
  <c r="C22" i="7" l="1"/>
  <c r="A21" i="8"/>
  <c r="L8" i="8"/>
  <c r="L5" i="8"/>
  <c r="C20" i="7" s="1"/>
</calcChain>
</file>

<file path=xl/sharedStrings.xml><?xml version="1.0" encoding="utf-8"?>
<sst xmlns="http://schemas.openxmlformats.org/spreadsheetml/2006/main" count="643" uniqueCount="334">
  <si>
    <t>ESTUDIO DE MERCADO PREDIOS RURALES
GESTIÓN VALUATORIA</t>
  </si>
  <si>
    <t>Fecha estudio de mercado</t>
  </si>
  <si>
    <t>ENTIDAD O NOMBRE DEL SOLICITANTE</t>
  </si>
  <si>
    <t>(Por definir)</t>
  </si>
  <si>
    <t>NIT o C.C.</t>
  </si>
  <si>
    <t>DIRECCIÓN DEL INMUEBLE</t>
  </si>
  <si>
    <t>Predio rural, sector Puente Bomba – El Ebanal (corr. Tigreras). Coord. 11.251133, -73.127307</t>
  </si>
  <si>
    <t>DEPARTAMENTO:</t>
  </si>
  <si>
    <t>LA GUAJIRA</t>
  </si>
  <si>
    <t xml:space="preserve">MUNICIPIO: </t>
  </si>
  <si>
    <t>RIOHACHA (confirmar con número predial)</t>
  </si>
  <si>
    <t>No.</t>
  </si>
  <si>
    <t>UBICACIÓN</t>
  </si>
  <si>
    <t>VALOR PEDIDO</t>
  </si>
  <si>
    <t>%. NEG.</t>
  </si>
  <si>
    <t>VALOR DEPURADO</t>
  </si>
  <si>
    <t>ÁREA DE TERRENO Ha</t>
  </si>
  <si>
    <t>VALOR TERRENO Ha</t>
  </si>
  <si>
    <t>VALOR ESTIMADO CONSTRUCCIONES</t>
  </si>
  <si>
    <t>DESCRIPCIÓN DEL INMUEBLE</t>
  </si>
  <si>
    <t>NOMBRE FUENTE</t>
  </si>
  <si>
    <t>TELÉFONO FUENTE</t>
  </si>
  <si>
    <t xml:space="preserve">FOTOGRAFIA </t>
  </si>
  <si>
    <t>ENLACE DE LA OFERTA</t>
  </si>
  <si>
    <t>FECHA PUBLICACIÓN</t>
  </si>
  <si>
    <t>COMPARABILIDAD</t>
  </si>
  <si>
    <t>Dibulla, sobre Troncal del Caribe, cerca a Ciénaga de Mamavita / La Punta de los Remedios</t>
  </si>
  <si>
    <t>Finca agroindustrial y ganadera con potencial turístico, 200 m de frente sobre vía nacional, recursos hídricos abundantes, topografía plana a ondulada, 5 km de la playa y 4 km del casco urbano. Construcciones no detalladas en el anuncio.</t>
  </si>
  <si>
    <t>Hilton López Inmobiliaria – Luis López Y.M. (cód. 193716709)</t>
  </si>
  <si>
    <t>Solicitar en portal</t>
  </si>
  <si>
    <t>https://www.fincaraiz.com.co/finca-en-venta-en-dibulla/193716709</t>
  </si>
  <si>
    <t>2026-05-06</t>
  </si>
  <si>
    <t>ALTA en uso agropecuario y corredor. Diferencias: tamaño (301 ha) y frente sobre la Troncal.</t>
  </si>
  <si>
    <t>PROMEDIO</t>
  </si>
  <si>
    <t>DESVIACIÓN ESTÁNDAR</t>
  </si>
  <si>
    <t>COEFICIENTE DE VARIACIÓN</t>
  </si>
  <si>
    <t>VALOR ADOPTADO</t>
  </si>
  <si>
    <t>Camarones II, sector Cachaca 1, Riohacha – frente a vía principal, ~800 m de la playa</t>
  </si>
  <si>
    <t>Tu360Inmobiliario (cód. 194341871)</t>
  </si>
  <si>
    <t>https://www.fincaraiz.com.co/lote-en-venta-en-camarones-ii-riohacha/194341871</t>
  </si>
  <si>
    <t>La Guija, a 5 km de El Retiro, Riohacha (vía destapada)</t>
  </si>
  <si>
    <t>Aliviopropiedades (Punto Propiedad)</t>
  </si>
  <si>
    <t>https://www.puntopropiedad.com/inmueble/c62e-81cf-19854ae-9f91d049056f-79dd</t>
  </si>
  <si>
    <t>Riohacha, frente al mar (~40 m de playa)</t>
  </si>
  <si>
    <t>Liliana Jaramillo De Castro (ref. 6983159)</t>
  </si>
  <si>
    <t>https://www.puntopropiedad.com/inmueble/7887-b18f-197d696-2c0a8cf753bf-72a9</t>
  </si>
  <si>
    <t>Chingale / Mingueo, Dibulla – 250 m de frente de playa</t>
  </si>
  <si>
    <t>Punto Propiedad</t>
  </si>
  <si>
    <t>https://www.puntopropiedad.com/inmueble/5572-9ce2-1931929-cf4b5a9bd510-747c</t>
  </si>
  <si>
    <t>Palomino, Dibulla – 25 m de frente de playa × 400 m</t>
  </si>
  <si>
    <t>FazWaz (u4478556)</t>
  </si>
  <si>
    <t>https://www.fazwaz.com.co/propiedad-e-Inmueble-venta/terreno-parcela-en-venta-en-riohacha-la-guajira-u4478556</t>
  </si>
  <si>
    <t>Estribaciones Sierra Nevada, Riohacha – 10 min del mar, riego en 12 ha, 2 casas</t>
  </si>
  <si>
    <t>Oceano Vía Inmobiliaria (ref. 4554009)</t>
  </si>
  <si>
    <t>https://fincaraiz.com.co/inmueble/finca-en-venta/riohacha/riohacha/4554009</t>
  </si>
  <si>
    <t>Riohacha – "lotes para proyectos turísticos", mínimo 50 ha</t>
  </si>
  <si>
    <t>FazWaz (u4260056)</t>
  </si>
  <si>
    <t>https://www.fazwaz.com.co/propiedad-e-Inmueble-venta/terreno-parcela-en-venta-en-riohacha-la-guajira-u4260056</t>
  </si>
  <si>
    <t>No registrada</t>
  </si>
  <si>
    <t>LÍMITE INFERIOR (Promedio − Desv. Est.)</t>
  </si>
  <si>
    <t>LÍMITE SUPERIOR (Promedio + Desv. Est.)</t>
  </si>
  <si>
    <t>COEFICIENTE DE ASIMETRÍA</t>
  </si>
  <si>
    <t>Límite inferior muestra completa ($/ha)</t>
  </si>
  <si>
    <t>Límite superior muestra completa ($/ha)</t>
  </si>
  <si>
    <t>Combinación</t>
  </si>
  <si>
    <t>Desviación estándar</t>
  </si>
  <si>
    <t>Coef. de variación</t>
  </si>
  <si>
    <t>Límite inferior</t>
  </si>
  <si>
    <t>Límite superior</t>
  </si>
  <si>
    <t>Coef. de asimetría</t>
  </si>
  <si>
    <t>¿CV ≤ máximo admisible?</t>
  </si>
  <si>
    <t>Combinación 3</t>
  </si>
  <si>
    <t>ARCHIVO PDF</t>
  </si>
  <si>
    <t>DEPRECIACIÓN DE CONSTRUCCIONES
MÉTODO ROSS – HEIDECKE</t>
  </si>
  <si>
    <t>Estudio de mercado predios rurales – Puente Bomba / El Ebanal (corr. Tigreras) · Referencia de liquidación: MI 080-8167</t>
  </si>
  <si>
    <t>CÁLCULO DEL VALOR POR ESTADO DE CONSERVACIÓN SEGÚN ROSS - HEIDECKE</t>
  </si>
  <si>
    <t>OFERTA No.</t>
  </si>
  <si>
    <t>ÍTEM</t>
  </si>
  <si>
    <t>EDAD (años)</t>
  </si>
  <si>
    <t>VIDA ÚTIL (años)</t>
  </si>
  <si>
    <t>CALIFICACIÓN ESTADO</t>
  </si>
  <si>
    <t>VALOR REPOSICIÓN</t>
  </si>
  <si>
    <t>% (DE VIDA)</t>
  </si>
  <si>
    <t>FACTOR DEPRECIACIÓN POR EDAD ROSS</t>
  </si>
  <si>
    <t>E = FACTOR DEPRECIACIÓN POR ESTADO HEIDECKE</t>
  </si>
  <si>
    <t>K = DEPRECIACIÓN (tabla Ross-Heidecke)</t>
  </si>
  <si>
    <t>VALOR DEPRECIADO</t>
  </si>
  <si>
    <t>FD = FACTOR DEPRECIACIÓN</t>
  </si>
  <si>
    <t>VALOR ACTUAL (VALOR DEPRECIADO)</t>
  </si>
  <si>
    <t>Casa Principal</t>
  </si>
  <si>
    <t>Casa Mayordomo</t>
  </si>
  <si>
    <t>Casa pequeña</t>
  </si>
  <si>
    <t>Bodega principal</t>
  </si>
  <si>
    <t>Bodega auxiliar</t>
  </si>
  <si>
    <t>Cuarto útil</t>
  </si>
  <si>
    <t>TOTAL</t>
  </si>
  <si>
    <t>TABLA HEIDECKE</t>
  </si>
  <si>
    <t>CALIFICACIÓN</t>
  </si>
  <si>
    <t>% DEPRECIACIÓN</t>
  </si>
  <si>
    <t>Nº CONSTRUC-CIONES</t>
  </si>
  <si>
    <t>TOTAL ASIGNADO A OFERTAS</t>
  </si>
  <si>
    <t>TABLA DE VALORES</t>
  </si>
  <si>
    <t>TERRENO</t>
  </si>
  <si>
    <t>DESCRIPCIÓN</t>
  </si>
  <si>
    <t>UNIDAD</t>
  </si>
  <si>
    <t>CANTIDAD</t>
  </si>
  <si>
    <t>VALOR UNITARIO</t>
  </si>
  <si>
    <t>VALOR TOTAL</t>
  </si>
  <si>
    <t>Ha</t>
  </si>
  <si>
    <t>CONSTRUCCIÓN PRINCIPAL</t>
  </si>
  <si>
    <t>VALOR TOTAL DE LA CONSTRUCCIÓN PRINCIPAL</t>
  </si>
  <si>
    <t>CONSTRUCCIONES ANEXAS</t>
  </si>
  <si>
    <t>VALOR TOTAL DE LAS CONSTRUCCIONES ANEXAS</t>
  </si>
  <si>
    <t>VALOR TOTAL DEL AVALÚO</t>
  </si>
  <si>
    <t>VALOR TOTAL EN LETRAS</t>
  </si>
  <si>
    <t>CÁLCULO AUXILIAR – VALOR EN LETRAS</t>
  </si>
  <si>
    <t>CONCEPTO</t>
  </si>
  <si>
    <t>VALOR</t>
  </si>
  <si>
    <t>TEXTO</t>
  </si>
  <si>
    <t>TEXTO (APOCOPADO)</t>
  </si>
  <si>
    <t>Valor total (entero)</t>
  </si>
  <si>
    <t>Millones totales</t>
  </si>
  <si>
    <t>Bloque miles de millones</t>
  </si>
  <si>
    <t>Bloque millones</t>
  </si>
  <si>
    <t>Bloque miles</t>
  </si>
  <si>
    <t>Bloque unidades</t>
  </si>
  <si>
    <t>UNIDADES 1–29</t>
  </si>
  <si>
    <t>DECENAS 30–90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</si>
  <si>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</si>
  <si>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</si>
  <si>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</si>
  <si>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</si>
  <si>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</si>
  <si>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</si>
  <si>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</si>
  <si>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</si>
  <si>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</si>
  <si>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</si>
  <si>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ONCE</t>
  </si>
  <si>
    <t>DOCE</t>
  </si>
  <si>
    <t>TRECE</t>
  </si>
  <si>
    <t>CATORCE</t>
  </si>
  <si>
    <t>QUINCE</t>
  </si>
  <si>
    <t>DIECISÉIS</t>
  </si>
  <si>
    <t>DIECISIETE</t>
  </si>
  <si>
    <t>DIECIOCHO</t>
  </si>
  <si>
    <t>DIECINUEVE</t>
  </si>
  <si>
    <t>VEINTE</t>
  </si>
  <si>
    <t>VEINTIUNO</t>
  </si>
  <si>
    <t>VEINTIDÓS</t>
  </si>
  <si>
    <t>VEINTITRÉS</t>
  </si>
  <si>
    <t>VEINTICUATRO</t>
  </si>
  <si>
    <t>VEINTICINCO</t>
  </si>
  <si>
    <t>VEINTISÉIS</t>
  </si>
  <si>
    <t>VEINTISIETE</t>
  </si>
  <si>
    <t>VEINTIOCHO</t>
  </si>
  <si>
    <t>VEINTINUEVE</t>
  </si>
  <si>
    <t>TREINTA</t>
  </si>
  <si>
    <t>CUARENTA</t>
  </si>
  <si>
    <t>CINCUENTA</t>
  </si>
  <si>
    <t>SESENTA</t>
  </si>
  <si>
    <t>SETENTA</t>
  </si>
  <si>
    <t>OCHENTA</t>
  </si>
  <si>
    <t>NOVENTA</t>
  </si>
  <si>
    <t>Fila de 'PROMEDIO' en MERCADO RURAL</t>
  </si>
  <si>
    <t>Última fila de ofertas</t>
  </si>
  <si>
    <t>Ofertas elegibles (m)</t>
  </si>
  <si>
    <t>Casilla</t>
  </si>
  <si>
    <t>Fila en mercado</t>
  </si>
  <si>
    <t>No. oferta</t>
  </si>
  <si>
    <t>Valor/ha</t>
  </si>
  <si>
    <t>Elegible</t>
  </si>
  <si>
    <t>Índice elegible</t>
  </si>
  <si>
    <t>Válida</t>
  </si>
  <si>
    <t>CV</t>
  </si>
  <si>
    <t>Clave de orden</t>
  </si>
  <si>
    <t>COMBINACIONES DE MERCADO – VALOR POR HECTÁREA Y POR METRO CUADRADO</t>
  </si>
  <si>
    <t>Coeficiente de variación máximo admisible (Res. 941, rural)</t>
  </si>
  <si>
    <t>SÍ</t>
  </si>
  <si>
    <t>Ofertas elegibles para combinar</t>
  </si>
  <si>
    <t>Ofertas en la tabla de mercado</t>
  </si>
  <si>
    <t>Promedio $/ha</t>
  </si>
  <si>
    <t>Valor adoptado $/ha (promedio redondeado a 100)</t>
  </si>
  <si>
    <t>Valor $/m²</t>
  </si>
  <si>
    <t>Posición en AUX</t>
  </si>
  <si>
    <t>Ofertas utilizadas</t>
  </si>
  <si>
    <t>Coeficiente de variación</t>
  </si>
  <si>
    <t>¿Cumple el CV máximo admisible?</t>
  </si>
  <si>
    <t>Valor por hectárea ($/ha)</t>
  </si>
  <si>
    <t>Valor por metro cuadrado ($/m²)</t>
  </si>
  <si>
    <t>Orden por valor</t>
  </si>
  <si>
    <t>Inicio (s)</t>
  </si>
  <si>
    <t>Nº ofertas (k)</t>
  </si>
  <si>
    <t>Cumple CV máx.</t>
  </si>
  <si>
    <t>CÁLCULO AUXILIAR DE COMBINACIONES (no editar) – ofertas ordenadas por valor/ha y ventanas de 3 o más ofertas consecutivas</t>
  </si>
  <si>
    <t>Mínimo de ofertas por combinación</t>
  </si>
  <si>
    <t>Combinaciones posibles (3 o más ofertas)</t>
  </si>
  <si>
    <t>Nº de ofertas</t>
  </si>
  <si>
    <t>Ofertas utilizadas (No., de menor a mayor valor)</t>
  </si>
  <si>
    <t>Valor mínimo $/ha</t>
  </si>
  <si>
    <t>Valor máximo $/ha</t>
  </si>
  <si>
    <t>Se recalcula con todas las ofertas de 'MERCADO RURAL'. Muestra mínima de 3 ofertas; usa 4, 5 o más si así se logra el CV máximo. Se muestran hasta 3 combinaciones.</t>
  </si>
  <si>
    <t>COMBINACIÓN SELECCIONADA (elija en B18) – BASE PARA EL VALOR POR HECTÁREA Y POR m²</t>
  </si>
  <si>
    <t>&lt;?xml version="1.0" encoding="UTF-8"?&gt;</t>
  </si>
  <si>
    <t>&lt;kml xmlns="http://www.opengis.net/kml/2.2"&gt;&lt;Document&gt;</t>
  </si>
  <si>
    <t>&lt;name&gt;Estudio de mercado rural – Puente Bomba / El Ebanal&lt;/name&gt;</t>
  </si>
  <si>
    <t>Nombre</t>
  </si>
  <si>
    <t>Coordenadas (lat, lon)</t>
  </si>
  <si>
    <t>Latitud</t>
  </si>
  <si>
    <t>Longitud</t>
  </si>
  <si>
    <t>Descripción</t>
  </si>
  <si>
    <t>PREDIO OBJETO</t>
  </si>
  <si>
    <t>Predio objeto de avalúo</t>
  </si>
  <si>
    <t>&lt;/Document&gt;&lt;/kml&gt;</t>
  </si>
  <si>
    <t>Cómo usar</t>
  </si>
  <si>
    <t>2. Copie A1:A35 de esta hoja y péguelo en un editor de texto (Bloc de notas).</t>
  </si>
  <si>
    <t>3. Guarde el archivo como OFERTAS.kml (codificación UTF-8).</t>
  </si>
  <si>
    <t>4. Ábralo en Google Earth: aparecerán el predio objeto y las ofertas con coordenadas.</t>
  </si>
  <si>
    <t>11.27254658626432, -73.30951554818634</t>
  </si>
  <si>
    <t>11.518410410351851, -72.95441972660828</t>
  </si>
  <si>
    <t>COORDENADAS</t>
  </si>
  <si>
    <t>1. Digite las coordenadas (lat, lon) en 'MERCADO RURAL'!C9:C16; esta hoja las lee de allí.</t>
  </si>
  <si>
    <t>ÁREA CONSTRUIDA (m²)</t>
  </si>
  <si>
    <t>VALOR TOTAL CONSTRUCCIÓN (N × O)</t>
  </si>
  <si>
    <t>ORDEN EN LIQUIDACIÓN (A vacío = predio objeto)</t>
  </si>
  <si>
    <t>VÍNCULO CON LA TABLA DE MERCADO – VALOR ESTIMADO DE CONSTRUCCIONES POR OFERTA (se actualiza con las ofertas de 'MERCADO RURAL', hasta 20)</t>
  </si>
  <si>
    <t>VALOR REPOSICIÓN TOTAL (F × O)</t>
  </si>
  <si>
    <t>DEPRECIACIÓN (reposición − valor actual)</t>
  </si>
  <si>
    <t>Construcciones del predio objeto (sin oferta asignada) – pasan a la hoja LIQUIDACIÓN</t>
  </si>
  <si>
    <t>Control: total tabla = asignado a ofertas + predio objeto (debe ser 0)</t>
  </si>
  <si>
    <t>Instrucciones: (1) Digite en la columna A el No. de la oferta de 'MERCADO RURAL' a la que pertenece cada construcción; si la deja vacía, la construcción pertenece al predio objeto y se lista en 'LIQUIDACIÓN' en el orden de la columna Q. (2) Los datos en azul son editables: edad, vida útil, calificación (1 a 5, pasos de 0,5), valor de reposición por m² y área construida (m²). (3) El valor total de cada construcción (columna P = valor adoptado por m² × área) se suma por oferta y alimenta 'MERCADO RURAL' (columna Valor estimado construcciones). (4) Capacidad: 10 construcciones y 20 ofertas.</t>
  </si>
  <si>
    <t>Notas: (1) Terreno: el valor unitario por hectárea se vincula con el valor adoptado de 'MERCADO RURAL'; digite en la celda amarilla la superficie del predio (Ha). (2) Construcciones: se listan automáticamente las construcciones de 'DEPRECIACIÓN' que no tienen oferta asignada (predio objeto), con su área (m²) y valor adoptado por m²; capacidad 10. (3) Los totales se redondean a la centena. (4) El valor en letras se genera por fórmula con el cálculo auxiliar de las columnas H a K.</t>
  </si>
  <si>
    <t>GUÍA PARA AGREGAR OFERTAS Y ACTUALIZAR EL AVALÚO</t>
  </si>
  <si>
    <t>Paso</t>
  </si>
  <si>
    <t>Qué hacer</t>
  </si>
  <si>
    <t>1. Nueva oferta</t>
  </si>
  <si>
    <t>2. Estadísticos</t>
  </si>
  <si>
    <t>PROMEDIO, desviación, CV, límites, asimetría y VALOR ADOPTADO se recalculan solos al insertar la fila dentro de la tabla (incluye la fila en blanco final como colchón).</t>
  </si>
  <si>
    <t>3. Construcciones</t>
  </si>
  <si>
    <t>En 'DEPRECIACIÓN' agregue la construcción en una fila libre (hasta 10): edad, vida útil, calificación, valor de reposición por m² y área (m²). Escriba en la columna A el No. de la oferta a la que pertenece; si la deja vacía, es del predio objeto y aparece en 'LIQUIDACIÓN'.</t>
  </si>
  <si>
    <t>4. Combinaciones</t>
  </si>
  <si>
    <t>5. Liquidación</t>
  </si>
  <si>
    <t>6. Google Earth</t>
  </si>
  <si>
    <t>Escriba las coordenadas (lat, lon) en 'MERCADO RURAL' columna COORDENADAS. 'KML_OFERTAS' genera el código KML (A1:A35): cópielo a un editor de texto y guárdelo como .kml. Para el enlace a Google Earth use Ctrl+K con https://earth.google.com/web/search/ + coordenadas.</t>
  </si>
  <si>
    <t>Colores</t>
  </si>
  <si>
    <t>Azul = dato editable · Amarillo = celda de entrada · Verde (texto) = vínculo a otra hoja · Negro = fórmula · Verde claro = resultado clave.</t>
  </si>
  <si>
    <t>Hojas de apoyo</t>
  </si>
  <si>
    <t>Guardado</t>
  </si>
  <si>
    <t>Guarde el libro (Ctrl+G) y consérvelo como plantilla: para un nuevo estudio, reemplace las ofertas y construcciones y las fórmulas se mantienen.</t>
  </si>
  <si>
    <t>La hoja LIQUIDACIÓN toma el valor por Ha del VALOR ADOPTADO de 'MERCADO RURAL' y las construcciones del predio objeto desde 'DEPRECIACIÓN'. Solo debe digitar la superficie del predio (Ha) en la celda amarilla.</t>
  </si>
  <si>
    <t>La hoja COMBINACIONES toma todas las ofertas de 'MERCADO RURAL' (hasta 30), prueba grupos de 3 o más ofertas y muestra hasta 3 combinaciones. Elija la que usará en la celda amarilla B18. El CV máximo (10 %, Res. 941) y el filtro por límites se cambian en B5 y B6.</t>
  </si>
  <si>
    <t>Las hojas AUX_COMBINACIONES y KML_OFERTAS contienen cálculos auxiliares; no las modifique.</t>
  </si>
  <si>
    <t>PROYECCIÓN DEL VALOR ESPERADO – MÉTODO DE MERCADO ($/ha)</t>
  </si>
  <si>
    <t>Se alimenta de 'MERCADO RURAL' y 'COMBINACIONES'. Rango de orientación entre dos combinaciones de referencia, sin proponer un valor puntual.</t>
  </si>
  <si>
    <t>Promedio de la muestra general ($/ha)</t>
  </si>
  <si>
    <t>Coeficiente de variación de la muestra general</t>
  </si>
  <si>
    <t>Combinaciones evaluadas que cumplen el CV máximo</t>
  </si>
  <si>
    <t>COMBINACIONES EVALUADAS Y BANDA ADMISIBLE (promedio ± CV máximo)</t>
  </si>
  <si>
    <t>Límite inferior observado (prom. − DE)</t>
  </si>
  <si>
    <t>Límite superior observado (prom. + DE)</t>
  </si>
  <si>
    <t>Banda admisible inferior</t>
  </si>
  <si>
    <t>Banda admisible superior</t>
  </si>
  <si>
    <t>Ofertas del mercado dentro de la banda</t>
  </si>
  <si>
    <t>¿Cumple CV máximo?</t>
  </si>
  <si>
    <t>COMBINACIONES DE ORIENTACIÓN (extremos bajo y alto; no se propone punto medio)</t>
  </si>
  <si>
    <t>Referencia</t>
  </si>
  <si>
    <t>REFERENCIA BAJA</t>
  </si>
  <si>
    <t>REFERENCIA ALTA</t>
  </si>
  <si>
    <t>Amplitud del rango de orientación</t>
  </si>
  <si>
    <t>Oferta</t>
  </si>
  <si>
    <t>Valor adoptado actual</t>
  </si>
  <si>
    <t>7. Proyección</t>
  </si>
  <si>
    <t>PANEL DE CONTROL (se actualiza solo)</t>
  </si>
  <si>
    <t>Verificación</t>
  </si>
  <si>
    <t>Estado</t>
  </si>
  <si>
    <t>Ofertas en 'MERCADO RURAL' (capacidad 30)</t>
  </si>
  <si>
    <t>Capacidad de 'DEPRECIACIÓN' (20 ofertas) y del gráfico (12)</t>
  </si>
  <si>
    <t>Construcciones (control de 'DEPRECIACIÓN')</t>
  </si>
  <si>
    <t>Errores de fórmula en las hojas principales</t>
  </si>
  <si>
    <t>Ofertas con coordenadas (para el KML)</t>
  </si>
  <si>
    <t>Coeficiente de variación (Res. 941)</t>
  </si>
  <si>
    <t>DATOS DE LOS GRÁFICOS (automático · $ millones por ha)</t>
  </si>
  <si>
    <t>Base (oculta)</t>
  </si>
  <si>
    <t>Rango de orientación</t>
  </si>
  <si>
    <t>Dentro del rango</t>
  </si>
  <si>
    <t>Fuera del rango</t>
  </si>
  <si>
    <t>Límite CV máximo</t>
  </si>
  <si>
    <t>REFERENCIA BAJA · $/ha</t>
  </si>
  <si>
    <t>REFERENCIA ALTA · $/ha</t>
  </si>
  <si>
    <t>AMPLITUD DEL RANGO · $/ha</t>
  </si>
  <si>
    <t>COEF. DE VARIACIÓN vs MÁXIMO</t>
  </si>
  <si>
    <t>ESTADO RES. 941</t>
  </si>
  <si>
    <t>La hoja PROYECCIÓN muestra el CV máximo, las combinaciones evaluadas con su banda admisible (promedio ± CV máximo), las dos combinaciones de orientación (baja y alta) y el gráfico. Todo es fórmula. El gráfico cubre hasta 12 ofertas; con más, amplíe el rango de datos (PROYECCIÓN!N11:S23). Incluye tarjetas indicadoras, mapa de valores (ofertas dentro/fuera del rango de orientación) y comparación del CV por combinación.</t>
  </si>
  <si>
    <t>Lote comercial / turístico – 5.400 m².</t>
  </si>
  <si>
    <t>DESCARTADA – Lote pequeño con frente a vía y vocación comercial/turística; ~$1.389 M/ha, fuera del rango de suelo agropecuario interior.</t>
  </si>
  <si>
    <t>Lote campestre / parcelación – 60.000 m².</t>
  </si>
  <si>
    <t>DESCARTADA – Vocación campestre de parcelación (~3 viviendas/ha); ~$550 M/ha, no comparable con uso agropecuario.</t>
  </si>
  <si>
    <t>Lote turístico de playa – 10.000 m².</t>
  </si>
  <si>
    <t>DESCARTADA – Frente de playa; mercado turístico costero distinto al del predio.</t>
  </si>
  <si>
    <t>Lote turístico de playa – 150.000 m².</t>
  </si>
  <si>
    <t>DESCARTADA – Frente de playa; ~$450 M/ha refleja valor turístico costero.</t>
  </si>
  <si>
    <t>DESCARTADA – Frente de playa en el polo turístico de Palomino.</t>
  </si>
  <si>
    <t>Finca agrícola – 50 ha.</t>
  </si>
  <si>
    <t>DESCARTADA – Comparable en uso (~$30 M/ha), pero el anuncio es de 2019 y figura como NO DISPONIBLE. Solo referencia histórica.</t>
  </si>
  <si>
    <t>Turístico – 10.000.000 m² (dato del anuncio).</t>
  </si>
  <si>
    <t>DESCARTADA – Datos inconsistentes (implicaría $175/m²); anuncio no confiable.</t>
  </si>
  <si>
    <t>En 'MERCADO RURAL' inserte una fila ENTRE la última oferta y la fila en blanco que está antes de PROMEDIO (clic derecho &gt; Insertar). Copie la última oferta (Ctrl+C) y péguela en la fila nueva. Las columnas con fórmula son: Valor depurado (F), Valor terreno Ha (H), Construcciones (I) y Archivo PDF (Q); NO las sobrescriba. Escriba encima los demás datos (todos son datos propios de la fila, sin vínculos a la sección de descartadas): No., ubicación, coordenadas, valor pedido, % negociación, área (Ha), descripción, fuente, teléfono, enlace, fecha y comparabilidad. La sección 'OFERTAS REVISADAS Y DESCARTADAS' (filas 27 en adelante) es solo respaldo: puede borrarla sin afectar ninguna fórmula.</t>
  </si>
  <si>
    <t>OBSERVACIONES: 1) Búsqueda realizada el 01/10/2026 en Fincaraíz, Punto Propiedad y FazWaz. Mercado Libre exigió inicio de sesión y Mitula/Trovit bloquearon el acceso, por lo que no fueron revisados.
2) Solo se encontró UNA oferta vigente con uso agropecuario en el corredor (finca de 301 ha en Dibulla, ~$26 M/ha pedido). La oferta pública en línea de la zona está dominada por lotes turísticos de playa y lotes comerciales sobre la Troncal, que no son comparables con un predio agropecuario interior situado a 1,5–2 km de la vía.
3) La tabla de mercado incluye, además de la oferta agropecuaria vigente (No. 1), las 7 ofertas descartadas (No. 2 a 8), vinculadas por fórmula a la sección inferior. Como son lotes turísticos, de playa o campestres, el promedio, la desviación estándar y el coeficiente de variación no son representativos del suelo agropecuario interior; el valor adoptado no se calcula con ellos y debe soportarse con ofertas de campo (avisos en sitio, comisionistas locales, juntas de acción comunal de Tigreras, Puente Bomba, El Ebanal y Pelechúa) y/o transacciones registradas.
4) El % de negociación (col. D) queda en 10 % porque no se obtuvo valor depurado; debe ajustarse con la negociación que confirme la fuente.
5) La oferta de 301 ha tiene frente sobre la Troncal y un tamaño muy superior; dado que la Res. 941/2026 prohíbe la homogenización por factores, su uso debe sustentarse por similitud y no mediante ajustes.</t>
  </si>
  <si>
    <t>SIMULACIÓN – Finca agropecuaria A, vereda interior (dato ficticio)</t>
  </si>
  <si>
    <t>Finca agrícola y ganadera, topografía plana, acceso por vía destapada. Sin construcciones. DATO FICTICIO.</t>
  </si>
  <si>
    <t>Fuente simulada A</t>
  </si>
  <si>
    <t>Simulado</t>
  </si>
  <si>
    <t>(enlace simulado)</t>
  </si>
  <si>
    <t>ALTA en uso agropecuario y corredor. Dato ficticio de prueba.</t>
  </si>
  <si>
    <t>SIMULACIÓN – Finca agropecuaria B, vereda interior (dato ficticio)</t>
  </si>
  <si>
    <t>Finca ganadera con casa de mayordomo (36 m² aprox.). DATO FICTICIO.</t>
  </si>
  <si>
    <t>Fuente simulada B</t>
  </si>
  <si>
    <t>SIMULACIÓN – Finca agropecuaria C, vereda interior (dato ficticio)</t>
  </si>
  <si>
    <t>Finca agrícola con bodega principal. DATO FICTICIO.</t>
  </si>
  <si>
    <t>Fuente simulada C</t>
  </si>
  <si>
    <t>SIMULACIÓN – Finca agropecuaria D, vereda interior (dato ficticio)</t>
  </si>
  <si>
    <t>Finca agropecuaria sin construcciones. DATO FICTICIO.</t>
  </si>
  <si>
    <t>Fuente simulada D</t>
  </si>
  <si>
    <t>OBSERVACIONES: HOJA DE SIMULACIÓN con datos ficticios para comprobar el funcionamiento del libro (4 ofertas, coeficiente de variación ≈ 8 %). Está conectada solo con las hojas SIM_*; no interfiere con 'MERCADO RURAL' ni con las demás hojas. Puede eliminarse sin afectar el libro.</t>
  </si>
  <si>
    <t>DEPRECIACIÓN DE CONSTRUCCIONES – SIMULACIÓN
MÉTODO ROSS – HEIDECKE</t>
  </si>
  <si>
    <t>PROYECCIÓN DEL VALOR ESPERADO – SIMULACIÓN (DATOS FICTICIOS)</t>
  </si>
  <si>
    <t>COMBINACIONES DE MERCADO – SIMULACIÓN (DATOS FICTICIOS)</t>
  </si>
  <si>
    <t>CV de la muestra general</t>
  </si>
  <si>
    <t>Filtrar ofertas por límites inferior/superior (SÍ/NO) – solo si el CV general supera el máximo</t>
  </si>
  <si>
    <t>Notas: (1) La muestra mínima es de 3 ofertas; si con 3 no se logra el CV máximo, la hoja prueba con 4, 5 o más ofertas (grupos de ofertas consecutivas por valor/ha, hoja AUX_COMBINACIONES, capacidad 30 ofertas). (2) Se muestran hasta 3 combinaciones: primero las que cumplen el CV máximo (con más ofertas primero y menor CV) y, si ninguna cumple, las de menor CV. (3) Con el filtro en SÍ solo se combinan ofertas dentro de los límites inferior y superior de la muestra completa, y únicamente cuando el CV de la muestra general supera el máximo admisible (si ya lo cumple, se usan todas las ofertas). (4) Valor $/m² = valor $/ha ÷ 10.000. Se recalcula al agregar o quitar ofertas en 'MERCADO RURAL'.</t>
  </si>
  <si>
    <t>Se alimenta de 'SIM_MERCADO' y 'SIM_COMBINACIONES' (datos ficticios de prueba). Rango de orientación entre dos combinaciones de referencia, sin proponer un valor puntual.</t>
  </si>
  <si>
    <t>Simulación de prueba</t>
  </si>
  <si>
    <t>Las hojas SIM_MERCADO, SIM_COMBINACIONES, SIM_DEPRECIACIÓN, SIM_LIQUIDACIÓN, SIM_PROYECCIÓN y SIM_AUX (pestañas naranja) son una copia aislada con 4 ofertas ficticias (CV ≈ 8 %) para comprobar que el libro funciona. Solo están conectadas entre sí: no afectan las hojas del estudio y pueden eliminarse todas juntas.</t>
  </si>
  <si>
    <t>ESTUDIO DE MERCADO PREDIOS RURALES – SIMULACIÓN
(DATOS FICTICIOS DE PRUEBA)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</si>
</sst>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6" formatCode="&quot;$&quot;\ #,##0"/>
    <numFmt numFmtId="168" formatCode="0.0000"/>
    <numFmt numFmtId="171" formatCode="&quot;$&quot;#,##0"/>
    <numFmt numFmtId="172" formatCode="0.0"/>
    <numFmt numFmtId="173" formatCode="0.0%"/>
    <numFmt numFmtId="175" formatCode="#,##0.0"/>
    <numFmt numFmtId="177" formatCode="0.000%"/>
    <numFmt numFmtId="180" formatCode="&quot;$&quot;#,##0.0,,&quot; M&quot;"/>
  </numFmts>
  <fonts count="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0" tint="-0.1499984740745262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Calibri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1"/>
      <color rgb="FF0000FF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Arial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theme="1"/>
      <name val="Arial"/>
    </font>
    <font>
      <sz val="10"/>
      <color rgb="FF0000FF"/>
      <name val="Arial"/>
    </font>
    <font>
      <sz val="9"/>
      <color theme="1"/>
      <name val="Calibri"/>
      <family val="2"/>
      <scheme val="minor"/>
    </font>
    <font>
      <sz val="10"/>
      <color theme="1"/>
      <name val="Tahoma"/>
    </font>
    <font>
      <b/>
      <sz val="8"/>
      <color rgb="FFFFFFFF"/>
      <name val="Calibri"/>
      <family val="2"/>
      <scheme val="minor"/>
    </font>
    <font>
      <sz val="8"/>
      <color theme="1"/>
      <name val="Tahoma"/>
    </font>
    <font>
      <sz val="8"/>
      <color rgb="FF0000FF"/>
      <name val="Tahoma"/>
    </font>
    <font>
      <sz val="10"/>
      <name val="Tahoma"/>
      <family val="2"/>
    </font>
    <font>
      <i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9"/>
      <color theme="1"/>
      <name val="Arial"/>
      <family val="2"/>
    </font>
    <font>
      <sz val="11"/>
      <color rgb="FF008000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sz val="10"/>
      <color rgb="FF008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7F7F7F"/>
      <name val="Arial"/>
      <family val="2"/>
    </font>
    <font>
      <sz val="10"/>
      <color rgb="FF7F7F7F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b/>
      <sz val="16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Tahoma"/>
      <family val="2"/>
    </font>
    <font>
      <b/>
      <sz val="11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sz val="9"/>
      <color rgb="FF008000"/>
      <name val="Arial"/>
      <family val="2"/>
    </font>
    <font>
      <b/>
      <sz val="9"/>
      <color rgb="FFFFFFFF"/>
      <name val="Arial"/>
      <family val="2"/>
    </font>
    <font>
      <u/>
      <sz val="10"/>
      <color rgb="FF0563C1"/>
      <name val="Arial"/>
      <family val="2"/>
    </font>
    <font>
      <sz val="10"/>
      <color rgb="FF0563C1"/>
      <name val="Arial"/>
      <family val="2"/>
    </font>
    <font>
      <b/>
      <sz val="11"/>
      <color rgb="FF000000"/>
      <name val="Arial"/>
      <family val="2"/>
    </font>
    <font>
      <b/>
      <i/>
      <sz val="10"/>
      <color theme="1"/>
      <name val="Arial"/>
      <family val="2"/>
    </font>
    <font>
      <sz val="11"/>
      <color rgb="FF0000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0"/>
      <name val="Calibri"/>
      <family val="2"/>
    </font>
    <font>
      <b/>
      <sz val="14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8"/>
      <color rgb="FFFFFFFF"/>
      <name val="Calibri"/>
      <family val="2"/>
      <scheme val="minor"/>
    </font>
    <font>
      <i/>
      <sz val="8"/>
      <color rgb="FFFFFFFF"/>
      <name val="Arial"/>
      <family val="2"/>
    </font>
    <font>
      <sz val="11"/>
      <color rgb="FFC00000"/>
      <name val="Calibri"/>
      <family val="2"/>
      <scheme val="minor"/>
    </font>
    <font>
      <b/>
      <sz val="18"/>
      <color rgb="FFC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2F5597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5" fillId="0" borderId="0">
      <alignment vertical="top"/>
      <protection locked="0"/>
    </xf>
    <xf numFmtId="9" fontId="1" fillId="0" borderId="0"/>
  </cellStyleXfs>
  <cellXfs count="283">
    <xf numFmtId="0" fontId="0" fillId="0" borderId="0" xfId="0"/>
    <xf numFmtId="166" fontId="0" fillId="0" borderId="0" xfId="0" applyNumberFormat="1"/>
    <xf numFmtId="0" fontId="6" fillId="0" borderId="0" xfId="0" applyFont="1"/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4" borderId="7" xfId="0" applyFont="1" applyFill="1" applyBorder="1"/>
    <xf numFmtId="0" fontId="3" fillId="4" borderId="7" xfId="0" applyFont="1" applyFill="1" applyBorder="1" applyAlignment="1">
      <alignment horizontal="right" wrapText="1"/>
    </xf>
    <xf numFmtId="0" fontId="9" fillId="4" borderId="10" xfId="0" applyFont="1" applyFill="1" applyBorder="1" applyAlignment="1">
      <alignment vertical="center" wrapText="1"/>
    </xf>
    <xf numFmtId="0" fontId="9" fillId="4" borderId="10" xfId="0" applyFont="1" applyFill="1" applyBorder="1"/>
    <xf numFmtId="0" fontId="10" fillId="4" borderId="10" xfId="0" applyFont="1" applyFill="1" applyBorder="1" applyAlignment="1">
      <alignment vertical="center" wrapText="1"/>
    </xf>
    <xf numFmtId="0" fontId="3" fillId="4" borderId="16" xfId="0" applyFont="1" applyFill="1" applyBorder="1" applyAlignment="1">
      <alignment wrapText="1"/>
    </xf>
    <xf numFmtId="0" fontId="9" fillId="4" borderId="11" xfId="0" applyFont="1" applyFill="1" applyBorder="1" applyAlignment="1">
      <alignment wrapText="1"/>
    </xf>
    <xf numFmtId="0" fontId="11" fillId="4" borderId="8" xfId="0" applyFont="1" applyFill="1" applyBorder="1"/>
    <xf numFmtId="0" fontId="11" fillId="4" borderId="0" xfId="0" applyFont="1" applyFill="1"/>
    <xf numFmtId="0" fontId="11" fillId="4" borderId="0" xfId="0" applyFont="1" applyFill="1" applyAlignment="1">
      <alignment wrapText="1"/>
    </xf>
    <xf numFmtId="0" fontId="11" fillId="4" borderId="5" xfId="0" applyFont="1" applyFill="1" applyBorder="1" applyAlignment="1">
      <alignment wrapText="1"/>
    </xf>
    <xf numFmtId="0" fontId="11" fillId="4" borderId="0" xfId="0" applyFont="1" applyFill="1" applyAlignment="1">
      <alignment horizontal="center"/>
    </xf>
    <xf numFmtId="0" fontId="0" fillId="0" borderId="10" xfId="0" applyBorder="1"/>
    <xf numFmtId="0" fontId="14" fillId="0" borderId="24" xfId="0" applyFont="1" applyBorder="1" applyAlignment="1">
      <alignment horizontal="center" vertical="center"/>
    </xf>
    <xf numFmtId="0" fontId="0" fillId="0" borderId="20" xfId="0" applyBorder="1"/>
    <xf numFmtId="0" fontId="0" fillId="0" borderId="16" xfId="0" applyBorder="1"/>
    <xf numFmtId="0" fontId="15" fillId="0" borderId="1" xfId="0" applyFont="1" applyBorder="1" applyAlignment="1">
      <alignment horizontal="center" vertical="center" wrapText="1"/>
    </xf>
    <xf numFmtId="0" fontId="0" fillId="0" borderId="3" xfId="0" applyBorder="1"/>
    <xf numFmtId="0" fontId="9" fillId="4" borderId="10" xfId="0" applyFont="1" applyFill="1" applyBorder="1" applyAlignment="1">
      <alignment horizontal="left" vertical="center" wrapText="1"/>
    </xf>
    <xf numFmtId="0" fontId="0" fillId="0" borderId="10" xfId="0" applyBorder="1"/>
    <xf numFmtId="0" fontId="10" fillId="4" borderId="10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/>
    </xf>
    <xf numFmtId="0" fontId="6" fillId="0" borderId="0" xfId="0" applyFont="1"/>
    <xf numFmtId="0" fontId="3" fillId="4" borderId="21" xfId="0" applyFont="1" applyFill="1" applyBorder="1" applyAlignment="1">
      <alignment horizontal="center"/>
    </xf>
    <xf numFmtId="0" fontId="0" fillId="0" borderId="4" xfId="0" applyBorder="1"/>
    <xf numFmtId="0" fontId="0" fillId="0" borderId="21" xfId="0" applyBorder="1"/>
    <xf numFmtId="0" fontId="11" fillId="4" borderId="6" xfId="0" applyFont="1" applyFill="1" applyBorder="1" applyAlignment="1">
      <alignment horizontal="center"/>
    </xf>
    <xf numFmtId="0" fontId="0" fillId="0" borderId="8" xfId="0" applyBorder="1"/>
    <xf numFmtId="0" fontId="11" fillId="4" borderId="5" xfId="0" applyFont="1" applyFill="1" applyBorder="1" applyAlignment="1">
      <alignment horizontal="center"/>
    </xf>
    <xf numFmtId="0" fontId="0" fillId="0" borderId="5" xfId="0" applyBorder="1"/>
    <xf numFmtId="0" fontId="0" fillId="0" borderId="0" xfId="0"/>
    <xf numFmtId="0" fontId="0" fillId="0" borderId="17" xfId="0" applyBorder="1"/>
    <xf numFmtId="0" fontId="0" fillId="0" borderId="9" xfId="0" applyBorder="1"/>
    <xf numFmtId="0" fontId="0" fillId="0" borderId="18" xfId="0" applyBorder="1"/>
    <xf numFmtId="0" fontId="13" fillId="4" borderId="23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9" xfId="0" applyBorder="1"/>
    <xf numFmtId="0" fontId="10" fillId="4" borderId="9" xfId="0" applyFont="1" applyFill="1" applyBorder="1" applyAlignment="1">
      <alignment horizontal="left" vertical="center" wrapText="1"/>
    </xf>
    <xf numFmtId="0" fontId="3" fillId="4" borderId="20" xfId="0" applyFont="1" applyFill="1" applyBorder="1" applyAlignment="1">
      <alignment horizontal="center" wrapText="1"/>
    </xf>
    <xf numFmtId="0" fontId="0" fillId="0" borderId="8" xfId="0" applyFont="1" applyBorder="1"/>
    <xf numFmtId="0" fontId="0" fillId="0" borderId="0" xfId="0" applyFont="1"/>
    <xf numFmtId="0" fontId="0" fillId="0" borderId="5" xfId="0" applyFont="1" applyBorder="1"/>
    <xf numFmtId="172" fontId="18" fillId="5" borderId="14" xfId="0" applyNumberFormat="1" applyFont="1" applyFill="1" applyBorder="1" applyAlignment="1">
      <alignment horizontal="center" vertical="center" wrapText="1"/>
    </xf>
    <xf numFmtId="172" fontId="18" fillId="5" borderId="1" xfId="0" applyNumberFormat="1" applyFont="1" applyFill="1" applyBorder="1" applyAlignment="1">
      <alignment horizontal="center" vertical="center" wrapText="1"/>
    </xf>
    <xf numFmtId="172" fontId="18" fillId="5" borderId="15" xfId="0" applyNumberFormat="1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71" fontId="19" fillId="4" borderId="1" xfId="0" applyNumberFormat="1" applyFont="1" applyFill="1" applyBorder="1" applyAlignment="1">
      <alignment horizontal="center" vertical="center" wrapText="1"/>
    </xf>
    <xf numFmtId="173" fontId="6" fillId="4" borderId="1" xfId="2" applyNumberFormat="1" applyFont="1" applyFill="1" applyBorder="1" applyAlignment="1">
      <alignment horizontal="center" vertical="center" wrapText="1"/>
    </xf>
    <xf numFmtId="171" fontId="6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171" fontId="6" fillId="0" borderId="1" xfId="0" applyNumberFormat="1" applyFont="1" applyFill="1" applyBorder="1" applyAlignment="1">
      <alignment horizontal="center" vertical="center" wrapText="1"/>
    </xf>
    <xf numFmtId="171" fontId="6" fillId="6" borderId="1" xfId="0" applyNumberFormat="1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17" fillId="0" borderId="0" xfId="0" applyFont="1"/>
    <xf numFmtId="10" fontId="0" fillId="0" borderId="0" xfId="0" applyNumberFormat="1"/>
    <xf numFmtId="171" fontId="16" fillId="2" borderId="1" xfId="0" applyNumberFormat="1" applyFont="1" applyFill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0" fontId="16" fillId="0" borderId="1" xfId="2" applyNumberFormat="1" applyFont="1" applyBorder="1" applyAlignment="1">
      <alignment horizontal="center" vertical="center" wrapText="1"/>
    </xf>
    <xf numFmtId="166" fontId="16" fillId="0" borderId="1" xfId="2" applyNumberFormat="1" applyFont="1" applyBorder="1" applyAlignment="1">
      <alignment horizontal="center" vertical="center" wrapText="1"/>
    </xf>
    <xf numFmtId="2" fontId="16" fillId="0" borderId="1" xfId="2" applyNumberFormat="1" applyFont="1" applyBorder="1" applyAlignment="1">
      <alignment horizontal="center" vertical="center" wrapText="1"/>
    </xf>
    <xf numFmtId="166" fontId="22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72" fontId="18" fillId="5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72" fontId="18" fillId="5" borderId="2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172" fontId="18" fillId="5" borderId="25" xfId="0" applyNumberFormat="1" applyFont="1" applyFill="1" applyBorder="1" applyAlignment="1">
      <alignment horizontal="center" vertical="center" wrapText="1"/>
    </xf>
    <xf numFmtId="0" fontId="5" fillId="0" borderId="25" xfId="1" applyFill="1" applyBorder="1" applyAlignment="1">
      <alignment horizontal="center" vertical="center" wrapText="1"/>
      <protection locked="0"/>
    </xf>
    <xf numFmtId="0" fontId="23" fillId="0" borderId="0" xfId="0" applyFont="1" applyAlignment="1">
      <alignment vertical="center"/>
    </xf>
    <xf numFmtId="0" fontId="26" fillId="7" borderId="0" xfId="0" applyFont="1" applyFill="1" applyAlignment="1">
      <alignment horizontal="center"/>
    </xf>
    <xf numFmtId="0" fontId="26" fillId="7" borderId="28" xfId="0" applyFont="1" applyFill="1" applyBorder="1" applyAlignment="1">
      <alignment horizontal="center"/>
    </xf>
    <xf numFmtId="0" fontId="26" fillId="7" borderId="29" xfId="0" applyFont="1" applyFill="1" applyBorder="1" applyAlignment="1">
      <alignment horizontal="center"/>
    </xf>
    <xf numFmtId="0" fontId="27" fillId="8" borderId="28" xfId="0" applyFont="1" applyFill="1" applyBorder="1" applyAlignment="1">
      <alignment horizontal="center" vertical="center" wrapText="1"/>
    </xf>
    <xf numFmtId="0" fontId="28" fillId="9" borderId="28" xfId="0" applyFont="1" applyFill="1" applyBorder="1" applyAlignment="1">
      <alignment horizontal="center" vertical="center"/>
    </xf>
    <xf numFmtId="0" fontId="28" fillId="0" borderId="28" xfId="0" applyFont="1" applyBorder="1" applyAlignment="1">
      <alignment horizontal="left" vertical="center"/>
    </xf>
    <xf numFmtId="1" fontId="28" fillId="0" borderId="28" xfId="0" applyNumberFormat="1" applyFont="1" applyBorder="1" applyAlignment="1">
      <alignment horizontal="center" vertical="center"/>
    </xf>
    <xf numFmtId="172" fontId="28" fillId="0" borderId="28" xfId="0" applyNumberFormat="1" applyFont="1" applyBorder="1" applyAlignment="1">
      <alignment horizontal="center" vertical="center"/>
    </xf>
    <xf numFmtId="166" fontId="28" fillId="0" borderId="28" xfId="0" applyNumberFormat="1" applyFont="1" applyBorder="1" applyAlignment="1">
      <alignment horizontal="center" vertical="center"/>
    </xf>
    <xf numFmtId="166" fontId="23" fillId="0" borderId="28" xfId="0" applyNumberFormat="1" applyFont="1" applyBorder="1" applyAlignment="1">
      <alignment horizontal="center" vertical="center"/>
    </xf>
    <xf numFmtId="10" fontId="23" fillId="0" borderId="28" xfId="0" applyNumberFormat="1" applyFont="1" applyBorder="1" applyAlignment="1">
      <alignment horizontal="center" vertical="center"/>
    </xf>
    <xf numFmtId="168" fontId="23" fillId="0" borderId="28" xfId="0" applyNumberFormat="1" applyFont="1" applyBorder="1" applyAlignment="1">
      <alignment horizontal="center" vertical="center"/>
    </xf>
    <xf numFmtId="177" fontId="28" fillId="0" borderId="28" xfId="0" applyNumberFormat="1" applyFont="1" applyBorder="1" applyAlignment="1">
      <alignment horizontal="center" vertical="center"/>
    </xf>
    <xf numFmtId="0" fontId="27" fillId="10" borderId="28" xfId="0" applyFont="1" applyFill="1" applyBorder="1" applyAlignment="1">
      <alignment horizontal="center" vertical="center"/>
    </xf>
    <xf numFmtId="166" fontId="27" fillId="10" borderId="28" xfId="0" applyNumberFormat="1" applyFont="1" applyFill="1" applyBorder="1" applyAlignment="1">
      <alignment horizontal="center" vertical="center"/>
    </xf>
    <xf numFmtId="166" fontId="27" fillId="11" borderId="28" xfId="0" applyNumberFormat="1" applyFont="1" applyFill="1" applyBorder="1" applyAlignment="1">
      <alignment horizontal="center" vertical="center"/>
    </xf>
    <xf numFmtId="0" fontId="24" fillId="0" borderId="33" xfId="0" applyFont="1" applyBorder="1" applyAlignment="1">
      <alignment horizontal="center" vertical="center" wrapText="1"/>
    </xf>
    <xf numFmtId="0" fontId="26" fillId="7" borderId="29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17" fillId="8" borderId="28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0" fontId="33" fillId="0" borderId="28" xfId="0" applyFont="1" applyBorder="1" applyAlignment="1">
      <alignment vertical="center"/>
    </xf>
    <xf numFmtId="0" fontId="34" fillId="0" borderId="28" xfId="0" applyFont="1" applyBorder="1" applyAlignment="1">
      <alignment horizontal="center" vertical="center" wrapText="1"/>
    </xf>
    <xf numFmtId="4" fontId="34" fillId="9" borderId="28" xfId="0" applyNumberFormat="1" applyFont="1" applyFill="1" applyBorder="1" applyAlignment="1">
      <alignment horizontal="center" vertical="center" wrapText="1"/>
    </xf>
    <xf numFmtId="166" fontId="34" fillId="0" borderId="28" xfId="0" applyNumberFormat="1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3" fontId="32" fillId="0" borderId="28" xfId="0" applyNumberFormat="1" applyFont="1" applyBorder="1" applyAlignment="1">
      <alignment horizontal="center" vertical="center" wrapText="1"/>
    </xf>
    <xf numFmtId="0" fontId="17" fillId="10" borderId="0" xfId="0" applyFont="1" applyFill="1" applyAlignment="1">
      <alignment wrapText="1"/>
    </xf>
    <xf numFmtId="1" fontId="36" fillId="0" borderId="28" xfId="0" applyNumberFormat="1" applyFont="1" applyFill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9" fillId="0" borderId="0" xfId="0" applyFont="1" applyAlignment="1">
      <alignment vertical="top" wrapText="1"/>
    </xf>
    <xf numFmtId="1" fontId="44" fillId="0" borderId="28" xfId="0" applyNumberFormat="1" applyFont="1" applyFill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166" fontId="12" fillId="0" borderId="28" xfId="0" applyNumberFormat="1" applyFont="1" applyBorder="1" applyAlignment="1">
      <alignment horizontal="center" vertical="center"/>
    </xf>
    <xf numFmtId="10" fontId="12" fillId="0" borderId="28" xfId="0" applyNumberFormat="1" applyFont="1" applyBorder="1" applyAlignment="1">
      <alignment horizontal="center" vertical="center"/>
    </xf>
    <xf numFmtId="2" fontId="12" fillId="0" borderId="28" xfId="0" applyNumberFormat="1" applyFont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7" fillId="7" borderId="30" xfId="0" applyFont="1" applyFill="1" applyBorder="1" applyAlignment="1">
      <alignment horizontal="center" vertical="center" wrapText="1"/>
    </xf>
    <xf numFmtId="0" fontId="48" fillId="9" borderId="28" xfId="0" applyFont="1" applyFill="1" applyBorder="1" applyAlignment="1">
      <alignment horizontal="center"/>
    </xf>
    <xf numFmtId="0" fontId="12" fillId="0" borderId="28" xfId="0" applyFont="1" applyBorder="1" applyAlignment="1">
      <alignment horizontal="center" wrapText="1"/>
    </xf>
    <xf numFmtId="10" fontId="12" fillId="0" borderId="28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66" fontId="20" fillId="11" borderId="28" xfId="0" applyNumberFormat="1" applyFont="1" applyFill="1" applyBorder="1" applyAlignment="1">
      <alignment horizontal="center"/>
    </xf>
    <xf numFmtId="0" fontId="50" fillId="7" borderId="35" xfId="0" applyFont="1" applyFill="1" applyBorder="1"/>
    <xf numFmtId="0" fontId="37" fillId="0" borderId="37" xfId="0" applyFont="1" applyBorder="1"/>
    <xf numFmtId="0" fontId="49" fillId="7" borderId="38" xfId="0" applyFont="1" applyFill="1" applyBorder="1" applyAlignment="1">
      <alignment horizontal="center" vertical="center"/>
    </xf>
    <xf numFmtId="0" fontId="37" fillId="0" borderId="39" xfId="0" applyFont="1" applyBorder="1" applyAlignment="1">
      <alignment horizontal="center" wrapText="1"/>
    </xf>
    <xf numFmtId="0" fontId="50" fillId="7" borderId="40" xfId="0" applyFont="1" applyFill="1" applyBorder="1"/>
    <xf numFmtId="0" fontId="37" fillId="0" borderId="41" xfId="0" applyFont="1" applyBorder="1"/>
    <xf numFmtId="0" fontId="20" fillId="10" borderId="36" xfId="0" applyFont="1" applyFill="1" applyBorder="1" applyAlignment="1">
      <alignment horizontal="left" vertical="center" wrapText="1"/>
    </xf>
    <xf numFmtId="0" fontId="20" fillId="10" borderId="28" xfId="0" applyFont="1" applyFill="1" applyBorder="1" applyAlignment="1">
      <alignment horizontal="left" vertical="center" wrapText="1"/>
    </xf>
    <xf numFmtId="0" fontId="20" fillId="8" borderId="28" xfId="0" applyFont="1" applyFill="1" applyBorder="1" applyAlignment="1">
      <alignment horizontal="center" vertical="center" wrapText="1"/>
    </xf>
    <xf numFmtId="0" fontId="45" fillId="8" borderId="28" xfId="0" applyFont="1" applyFill="1" applyBorder="1" applyAlignment="1">
      <alignment horizontal="center" vertical="center" wrapText="1"/>
    </xf>
    <xf numFmtId="166" fontId="20" fillId="11" borderId="28" xfId="0" applyNumberFormat="1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0" fillId="10" borderId="28" xfId="0" applyFont="1" applyFill="1" applyBorder="1"/>
    <xf numFmtId="166" fontId="42" fillId="0" borderId="36" xfId="0" applyNumberFormat="1" applyFont="1" applyBorder="1" applyAlignment="1">
      <alignment horizontal="center" vertical="center" wrapText="1"/>
    </xf>
    <xf numFmtId="166" fontId="42" fillId="0" borderId="28" xfId="0" applyNumberFormat="1" applyFont="1" applyBorder="1" applyAlignment="1">
      <alignment horizontal="center" vertical="center" wrapText="1"/>
    </xf>
    <xf numFmtId="173" fontId="43" fillId="9" borderId="28" xfId="0" applyNumberFormat="1" applyFont="1" applyFill="1" applyBorder="1" applyAlignment="1">
      <alignment horizontal="center" vertical="center" wrapText="1"/>
    </xf>
    <xf numFmtId="0" fontId="43" fillId="9" borderId="28" xfId="0" applyFont="1" applyFill="1" applyBorder="1" applyAlignment="1">
      <alignment horizontal="center" vertical="center" wrapText="1"/>
    </xf>
    <xf numFmtId="1" fontId="12" fillId="0" borderId="28" xfId="0" applyNumberFormat="1" applyFont="1" applyBorder="1" applyAlignment="1">
      <alignment horizontal="center" vertical="center" wrapText="1"/>
    </xf>
    <xf numFmtId="1" fontId="44" fillId="0" borderId="28" xfId="0" applyNumberFormat="1" applyFont="1" applyFill="1" applyBorder="1" applyAlignment="1">
      <alignment horizontal="center" vertical="center" wrapText="1"/>
    </xf>
    <xf numFmtId="0" fontId="20" fillId="10" borderId="28" xfId="0" applyFont="1" applyFill="1" applyBorder="1" applyAlignment="1">
      <alignment horizontal="left" vertical="center"/>
    </xf>
    <xf numFmtId="0" fontId="26" fillId="7" borderId="28" xfId="0" applyFont="1" applyFill="1" applyBorder="1" applyAlignment="1">
      <alignment horizontal="center" vertical="center" wrapText="1"/>
    </xf>
    <xf numFmtId="0" fontId="51" fillId="8" borderId="28" xfId="0" applyFont="1" applyFill="1" applyBorder="1" applyAlignment="1">
      <alignment horizontal="center" vertical="center" wrapText="1"/>
    </xf>
    <xf numFmtId="0" fontId="53" fillId="11" borderId="28" xfId="0" applyFont="1" applyFill="1" applyBorder="1" applyAlignment="1">
      <alignment horizontal="center" vertical="center" wrapText="1"/>
    </xf>
    <xf numFmtId="0" fontId="31" fillId="7" borderId="28" xfId="0" applyFont="1" applyFill="1" applyBorder="1" applyAlignment="1">
      <alignment horizontal="center" vertical="center" wrapText="1"/>
    </xf>
    <xf numFmtId="0" fontId="54" fillId="8" borderId="28" xfId="0" applyFont="1" applyFill="1" applyBorder="1" applyAlignment="1">
      <alignment horizontal="center" vertical="center" wrapText="1"/>
    </xf>
    <xf numFmtId="0" fontId="26" fillId="7" borderId="31" xfId="0" applyFont="1" applyFill="1" applyBorder="1" applyAlignment="1">
      <alignment horizontal="center" vertical="center" wrapText="1"/>
    </xf>
    <xf numFmtId="0" fontId="53" fillId="11" borderId="42" xfId="0" applyFont="1" applyFill="1" applyBorder="1" applyAlignment="1">
      <alignment horizontal="center" vertical="center" wrapText="1"/>
    </xf>
    <xf numFmtId="0" fontId="26" fillId="7" borderId="43" xfId="0" applyFont="1" applyFill="1" applyBorder="1" applyAlignment="1">
      <alignment horizontal="center" vertical="center" wrapText="1"/>
    </xf>
    <xf numFmtId="0" fontId="51" fillId="8" borderId="44" xfId="0" applyFont="1" applyFill="1" applyBorder="1" applyAlignment="1">
      <alignment horizontal="center" vertical="center" wrapText="1"/>
    </xf>
    <xf numFmtId="0" fontId="34" fillId="0" borderId="44" xfId="0" applyFont="1" applyBorder="1" applyAlignment="1">
      <alignment horizontal="left" vertical="center" wrapText="1"/>
    </xf>
    <xf numFmtId="0" fontId="26" fillId="7" borderId="44" xfId="0" applyFont="1" applyFill="1" applyBorder="1" applyAlignment="1">
      <alignment horizontal="left" vertical="center" wrapText="1"/>
    </xf>
    <xf numFmtId="0" fontId="26" fillId="7" borderId="46" xfId="0" applyFont="1" applyFill="1" applyBorder="1" applyAlignment="1">
      <alignment horizontal="center" vertical="center" wrapText="1"/>
    </xf>
    <xf numFmtId="0" fontId="51" fillId="8" borderId="47" xfId="0" applyFont="1" applyFill="1" applyBorder="1" applyAlignment="1">
      <alignment horizontal="center" vertical="center" wrapText="1"/>
    </xf>
    <xf numFmtId="166" fontId="51" fillId="11" borderId="47" xfId="0" applyNumberFormat="1" applyFont="1" applyFill="1" applyBorder="1" applyAlignment="1">
      <alignment horizontal="center" vertical="center" wrapText="1"/>
    </xf>
    <xf numFmtId="166" fontId="52" fillId="11" borderId="47" xfId="0" applyNumberFormat="1" applyFont="1" applyFill="1" applyBorder="1" applyAlignment="1">
      <alignment horizontal="center" vertical="center" wrapText="1"/>
    </xf>
    <xf numFmtId="0" fontId="53" fillId="11" borderId="47" xfId="0" applyFont="1" applyFill="1" applyBorder="1" applyAlignment="1">
      <alignment horizontal="center" vertical="center" wrapText="1"/>
    </xf>
    <xf numFmtId="0" fontId="53" fillId="11" borderId="48" xfId="0" applyFont="1" applyFill="1" applyBorder="1" applyAlignment="1">
      <alignment horizontal="center" vertical="center" wrapText="1"/>
    </xf>
    <xf numFmtId="0" fontId="26" fillId="12" borderId="44" xfId="0" applyFont="1" applyFill="1" applyBorder="1" applyAlignment="1">
      <alignment horizontal="center" vertical="center" wrapText="1"/>
    </xf>
    <xf numFmtId="0" fontId="26" fillId="12" borderId="28" xfId="0" applyFont="1" applyFill="1" applyBorder="1" applyAlignment="1">
      <alignment horizontal="center" vertical="center" wrapText="1"/>
    </xf>
    <xf numFmtId="0" fontId="26" fillId="12" borderId="47" xfId="0" applyFont="1" applyFill="1" applyBorder="1" applyAlignment="1">
      <alignment horizontal="center" vertical="center" wrapText="1"/>
    </xf>
    <xf numFmtId="0" fontId="26" fillId="12" borderId="44" xfId="0" applyFont="1" applyFill="1" applyBorder="1" applyAlignment="1">
      <alignment horizontal="left" vertical="center" wrapText="1"/>
    </xf>
    <xf numFmtId="0" fontId="9" fillId="0" borderId="0" xfId="0" applyFont="1"/>
    <xf numFmtId="0" fontId="10" fillId="8" borderId="0" xfId="0" applyFont="1" applyFill="1"/>
    <xf numFmtId="0" fontId="10" fillId="0" borderId="0" xfId="0" applyFont="1"/>
    <xf numFmtId="0" fontId="11" fillId="4" borderId="0" xfId="0" applyFont="1" applyFill="1" applyBorder="1" applyAlignment="1">
      <alignment horizontal="center"/>
    </xf>
    <xf numFmtId="0" fontId="0" fillId="0" borderId="6" xfId="0" applyBorder="1"/>
    <xf numFmtId="0" fontId="56" fillId="0" borderId="0" xfId="0" applyNumberFormat="1" applyFont="1" applyFill="1"/>
    <xf numFmtId="0" fontId="17" fillId="8" borderId="28" xfId="0" applyFont="1" applyFill="1" applyBorder="1" applyAlignment="1">
      <alignment horizontal="center" vertical="center" wrapText="1"/>
    </xf>
    <xf numFmtId="4" fontId="39" fillId="9" borderId="28" xfId="0" applyNumberFormat="1" applyFont="1" applyFill="1" applyBorder="1" applyAlignment="1">
      <alignment horizontal="center" vertical="center" wrapText="1"/>
    </xf>
    <xf numFmtId="166" fontId="60" fillId="11" borderId="28" xfId="0" applyNumberFormat="1" applyFont="1" applyFill="1" applyBorder="1" applyAlignment="1">
      <alignment horizontal="center" vertical="center" wrapText="1"/>
    </xf>
    <xf numFmtId="1" fontId="40" fillId="0" borderId="28" xfId="0" applyNumberFormat="1" applyFont="1" applyFill="1" applyBorder="1" applyAlignment="1">
      <alignment horizontal="center" vertical="center" wrapText="1"/>
    </xf>
    <xf numFmtId="4" fontId="21" fillId="9" borderId="28" xfId="0" applyNumberFormat="1" applyFont="1" applyFill="1" applyBorder="1" applyAlignment="1">
      <alignment horizontal="center" vertical="center" wrapText="1"/>
    </xf>
    <xf numFmtId="166" fontId="53" fillId="11" borderId="28" xfId="0" applyNumberFormat="1" applyFont="1" applyFill="1" applyBorder="1" applyAlignment="1">
      <alignment horizontal="center" vertical="center" wrapText="1"/>
    </xf>
    <xf numFmtId="4" fontId="41" fillId="9" borderId="28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25" fillId="0" borderId="36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56" fillId="0" borderId="28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center" vertical="center" wrapText="1"/>
    </xf>
    <xf numFmtId="166" fontId="12" fillId="0" borderId="28" xfId="0" applyNumberFormat="1" applyFont="1" applyBorder="1" applyAlignment="1">
      <alignment horizontal="center" vertical="center" wrapText="1"/>
    </xf>
    <xf numFmtId="166" fontId="20" fillId="11" borderId="28" xfId="0" applyNumberFormat="1" applyFont="1" applyFill="1" applyBorder="1" applyAlignment="1">
      <alignment horizontal="center" vertical="center" wrapText="1"/>
    </xf>
    <xf numFmtId="0" fontId="20" fillId="11" borderId="28" xfId="0" applyFont="1" applyFill="1" applyBorder="1" applyAlignment="1">
      <alignment horizontal="center" vertical="center" wrapText="1"/>
    </xf>
    <xf numFmtId="166" fontId="12" fillId="0" borderId="28" xfId="0" applyNumberFormat="1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20" fillId="10" borderId="28" xfId="0" applyFont="1" applyFill="1" applyBorder="1" applyAlignment="1">
      <alignment horizontal="center" vertical="center" wrapText="1"/>
    </xf>
    <xf numFmtId="1" fontId="20" fillId="10" borderId="28" xfId="0" applyNumberFormat="1" applyFont="1" applyFill="1" applyBorder="1" applyAlignment="1">
      <alignment horizontal="center" vertical="center" wrapText="1"/>
    </xf>
    <xf numFmtId="166" fontId="20" fillId="10" borderId="28" xfId="0" applyNumberFormat="1" applyFont="1" applyFill="1" applyBorder="1" applyAlignment="1">
      <alignment horizontal="center" vertical="center" wrapText="1"/>
    </xf>
    <xf numFmtId="0" fontId="61" fillId="10" borderId="28" xfId="0" applyFont="1" applyFill="1" applyBorder="1" applyAlignment="1">
      <alignment horizontal="left" vertical="center" wrapText="1"/>
    </xf>
    <xf numFmtId="4" fontId="62" fillId="9" borderId="28" xfId="1" applyNumberFormat="1" applyFont="1" applyFill="1" applyBorder="1" applyAlignment="1">
      <alignment horizontal="center" vertical="center" wrapText="1"/>
      <protection locked="0"/>
    </xf>
    <xf numFmtId="166" fontId="63" fillId="11" borderId="28" xfId="1" applyNumberFormat="1" applyFont="1" applyFill="1" applyBorder="1" applyAlignment="1">
      <alignment horizontal="center" vertical="center" wrapText="1"/>
      <protection locked="0"/>
    </xf>
    <xf numFmtId="1" fontId="64" fillId="0" borderId="28" xfId="1" applyNumberFormat="1" applyFont="1" applyFill="1" applyBorder="1" applyAlignment="1">
      <alignment horizontal="center" vertical="center" wrapText="1"/>
      <protection locked="0"/>
    </xf>
    <xf numFmtId="0" fontId="65" fillId="0" borderId="28" xfId="1" applyFont="1" applyFill="1" applyBorder="1" applyAlignment="1">
      <alignment horizontal="center" vertical="center" wrapText="1"/>
      <protection locked="0"/>
    </xf>
    <xf numFmtId="166" fontId="65" fillId="0" borderId="28" xfId="1" applyNumberFormat="1" applyFont="1" applyFill="1" applyBorder="1" applyAlignment="1">
      <alignment horizontal="center" vertical="center" wrapText="1"/>
      <protection locked="0"/>
    </xf>
    <xf numFmtId="4" fontId="34" fillId="6" borderId="28" xfId="0" applyNumberFormat="1" applyFont="1" applyFill="1" applyBorder="1" applyAlignment="1">
      <alignment horizontal="center" vertical="center" wrapText="1"/>
    </xf>
    <xf numFmtId="4" fontId="38" fillId="6" borderId="1" xfId="0" applyNumberFormat="1" applyFont="1" applyFill="1" applyBorder="1" applyAlignment="1">
      <alignment horizontal="center" vertical="center" wrapText="1"/>
    </xf>
    <xf numFmtId="166" fontId="38" fillId="4" borderId="1" xfId="2" applyNumberFormat="1" applyFont="1" applyFill="1" applyBorder="1" applyAlignment="1">
      <alignment horizontal="center" vertical="center" wrapText="1"/>
    </xf>
    <xf numFmtId="0" fontId="34" fillId="0" borderId="28" xfId="0" applyNumberFormat="1" applyFont="1" applyBorder="1" applyAlignment="1">
      <alignment horizontal="center" vertical="center" wrapText="1"/>
    </xf>
    <xf numFmtId="0" fontId="59" fillId="6" borderId="25" xfId="0" applyNumberFormat="1" applyFont="1" applyFill="1" applyBorder="1" applyAlignment="1">
      <alignment horizontal="center" vertical="center" wrapText="1"/>
    </xf>
    <xf numFmtId="0" fontId="38" fillId="4" borderId="1" xfId="0" applyNumberFormat="1" applyFont="1" applyFill="1" applyBorder="1" applyAlignment="1">
      <alignment horizontal="left" vertical="center" wrapText="1"/>
    </xf>
    <xf numFmtId="166" fontId="19" fillId="11" borderId="1" xfId="0" applyNumberFormat="1" applyFont="1" applyFill="1" applyBorder="1" applyAlignment="1">
      <alignment horizontal="center" vertical="center" wrapText="1"/>
    </xf>
    <xf numFmtId="0" fontId="66" fillId="7" borderId="0" xfId="0" applyFont="1" applyFill="1" applyAlignment="1">
      <alignment horizontal="center"/>
    </xf>
    <xf numFmtId="0" fontId="7" fillId="8" borderId="28" xfId="0" applyFont="1" applyFill="1" applyBorder="1" applyAlignment="1">
      <alignment horizontal="center"/>
    </xf>
    <xf numFmtId="0" fontId="20" fillId="10" borderId="28" xfId="0" applyFont="1" applyFill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8" xfId="0" quotePrefix="1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26" fillId="7" borderId="0" xfId="0" applyFont="1" applyFill="1" applyAlignment="1">
      <alignment horizontal="center" vertical="center"/>
    </xf>
    <xf numFmtId="0" fontId="26" fillId="7" borderId="35" xfId="0" applyFont="1" applyFill="1" applyBorder="1" applyAlignment="1">
      <alignment horizontal="center" vertical="center"/>
    </xf>
    <xf numFmtId="0" fontId="0" fillId="0" borderId="37" xfId="0" applyBorder="1"/>
    <xf numFmtId="0" fontId="67" fillId="7" borderId="38" xfId="0" applyFont="1" applyFill="1" applyBorder="1" applyAlignment="1">
      <alignment horizontal="center" vertical="center"/>
    </xf>
    <xf numFmtId="0" fontId="26" fillId="7" borderId="40" xfId="0" applyFont="1" applyFill="1" applyBorder="1" applyAlignment="1">
      <alignment horizontal="center" vertical="center"/>
    </xf>
    <xf numFmtId="0" fontId="0" fillId="0" borderId="41" xfId="0" applyBorder="1"/>
    <xf numFmtId="0" fontId="35" fillId="0" borderId="39" xfId="0" applyFont="1" applyBorder="1" applyAlignment="1">
      <alignment horizontal="center"/>
    </xf>
    <xf numFmtId="0" fontId="20" fillId="10" borderId="28" xfId="0" applyFont="1" applyFill="1" applyBorder="1" applyAlignment="1">
      <alignment vertical="center"/>
    </xf>
    <xf numFmtId="1" fontId="12" fillId="0" borderId="28" xfId="0" applyNumberFormat="1" applyFont="1" applyBorder="1" applyAlignment="1">
      <alignment horizontal="center" vertical="center"/>
    </xf>
    <xf numFmtId="0" fontId="42" fillId="0" borderId="28" xfId="0" applyFont="1" applyBorder="1" applyAlignment="1">
      <alignment horizontal="center" vertical="center"/>
    </xf>
    <xf numFmtId="1" fontId="42" fillId="0" borderId="28" xfId="0" applyNumberFormat="1" applyFont="1" applyBorder="1" applyAlignment="1">
      <alignment horizontal="center" vertical="center"/>
    </xf>
    <xf numFmtId="10" fontId="42" fillId="0" borderId="28" xfId="0" applyNumberFormat="1" applyFont="1" applyBorder="1" applyAlignment="1">
      <alignment horizontal="center" vertical="center"/>
    </xf>
    <xf numFmtId="173" fontId="42" fillId="0" borderId="28" xfId="0" applyNumberFormat="1" applyFont="1" applyBorder="1" applyAlignment="1">
      <alignment horizontal="center" vertical="center"/>
    </xf>
    <xf numFmtId="166" fontId="42" fillId="0" borderId="28" xfId="0" applyNumberFormat="1" applyFont="1" applyBorder="1" applyAlignment="1">
      <alignment horizontal="center" vertical="center"/>
    </xf>
    <xf numFmtId="1" fontId="44" fillId="0" borderId="28" xfId="0" applyNumberFormat="1" applyFont="1" applyBorder="1" applyAlignment="1">
      <alignment horizontal="center" vertical="center"/>
    </xf>
    <xf numFmtId="166" fontId="44" fillId="0" borderId="28" xfId="0" applyNumberFormat="1" applyFont="1" applyBorder="1" applyAlignment="1">
      <alignment horizontal="center" vertical="center"/>
    </xf>
    <xf numFmtId="10" fontId="44" fillId="0" borderId="28" xfId="0" applyNumberFormat="1" applyFont="1" applyBorder="1" applyAlignment="1">
      <alignment horizontal="center" vertical="center"/>
    </xf>
    <xf numFmtId="0" fontId="68" fillId="10" borderId="28" xfId="0" applyFont="1" applyFill="1" applyBorder="1" applyAlignment="1">
      <alignment horizontal="center" vertical="center"/>
    </xf>
    <xf numFmtId="166" fontId="44" fillId="11" borderId="28" xfId="0" applyNumberFormat="1" applyFont="1" applyFill="1" applyBorder="1" applyAlignment="1">
      <alignment horizontal="center" vertical="center"/>
    </xf>
    <xf numFmtId="0" fontId="20" fillId="10" borderId="29" xfId="0" applyFont="1" applyFill="1" applyBorder="1" applyAlignment="1">
      <alignment horizontal="center" vertical="center"/>
    </xf>
    <xf numFmtId="0" fontId="12" fillId="10" borderId="29" xfId="0" applyFont="1" applyFill="1" applyBorder="1" applyAlignment="1">
      <alignment horizontal="center" vertical="center"/>
    </xf>
    <xf numFmtId="166" fontId="12" fillId="10" borderId="29" xfId="0" applyNumberFormat="1" applyFont="1" applyFill="1" applyBorder="1" applyAlignment="1">
      <alignment horizontal="center" vertical="center"/>
    </xf>
    <xf numFmtId="173" fontId="12" fillId="10" borderId="29" xfId="0" applyNumberFormat="1" applyFont="1" applyFill="1" applyBorder="1" applyAlignment="1">
      <alignment horizontal="center" vertical="center"/>
    </xf>
    <xf numFmtId="0" fontId="0" fillId="9" borderId="28" xfId="0" applyFill="1" applyBorder="1"/>
    <xf numFmtId="0" fontId="69" fillId="9" borderId="28" xfId="0" applyFont="1" applyFill="1" applyBorder="1" applyAlignment="1">
      <alignment horizontal="left" vertical="center" wrapText="1"/>
    </xf>
    <xf numFmtId="0" fontId="20" fillId="0" borderId="28" xfId="0" applyFont="1" applyBorder="1" applyAlignment="1">
      <alignment vertical="center" wrapText="1"/>
    </xf>
    <xf numFmtId="0" fontId="68" fillId="10" borderId="28" xfId="0" applyFont="1" applyFill="1" applyBorder="1" applyAlignment="1">
      <alignment horizontal="left" vertical="center" wrapText="1"/>
    </xf>
    <xf numFmtId="0" fontId="44" fillId="0" borderId="28" xfId="0" applyFont="1" applyFill="1" applyBorder="1" applyAlignment="1">
      <alignment horizontal="left" vertical="center" wrapText="1"/>
    </xf>
    <xf numFmtId="0" fontId="20" fillId="8" borderId="36" xfId="0" applyFont="1" applyFill="1" applyBorder="1" applyAlignment="1">
      <alignment horizontal="center" vertical="center" wrapText="1"/>
    </xf>
    <xf numFmtId="0" fontId="26" fillId="7" borderId="25" xfId="0" applyFont="1" applyFill="1" applyBorder="1" applyAlignment="1">
      <alignment horizontal="center" vertical="center"/>
    </xf>
    <xf numFmtId="0" fontId="34" fillId="0" borderId="44" xfId="0" applyNumberFormat="1" applyFont="1" applyBorder="1" applyAlignment="1">
      <alignment horizontal="left" vertical="center" wrapText="1"/>
    </xf>
    <xf numFmtId="0" fontId="70" fillId="12" borderId="44" xfId="0" applyFont="1" applyFill="1" applyBorder="1" applyAlignment="1">
      <alignment horizontal="center" vertical="center" wrapText="1"/>
    </xf>
    <xf numFmtId="0" fontId="70" fillId="12" borderId="45" xfId="0" applyFont="1" applyFill="1" applyBorder="1" applyAlignment="1">
      <alignment horizontal="center" vertical="center" wrapText="1"/>
    </xf>
    <xf numFmtId="0" fontId="55" fillId="0" borderId="2" xfId="0" applyFont="1" applyBorder="1" applyAlignment="1">
      <alignment vertical="top" wrapText="1"/>
    </xf>
    <xf numFmtId="0" fontId="0" fillId="0" borderId="22" xfId="0" applyBorder="1" applyAlignment="1">
      <alignment vertical="center"/>
    </xf>
    <xf numFmtId="0" fontId="0" fillId="0" borderId="3" xfId="0" applyBorder="1" applyAlignment="1">
      <alignment vertical="center"/>
    </xf>
    <xf numFmtId="0" fontId="26" fillId="7" borderId="0" xfId="0" applyFont="1" applyFill="1" applyAlignment="1">
      <alignment horizontal="center" wrapText="1"/>
    </xf>
    <xf numFmtId="0" fontId="71" fillId="7" borderId="26" xfId="0" applyFont="1" applyFill="1" applyBorder="1" applyAlignment="1">
      <alignment horizontal="center" wrapText="1"/>
    </xf>
    <xf numFmtId="0" fontId="29" fillId="0" borderId="26" xfId="0" applyFont="1" applyBorder="1"/>
    <xf numFmtId="173" fontId="29" fillId="0" borderId="26" xfId="0" applyNumberFormat="1" applyFont="1" applyBorder="1"/>
    <xf numFmtId="175" fontId="29" fillId="0" borderId="26" xfId="0" applyNumberFormat="1" applyFont="1" applyBorder="1"/>
    <xf numFmtId="0" fontId="29" fillId="0" borderId="26" xfId="0" applyFont="1" applyBorder="1" applyAlignment="1">
      <alignment horizontal="center"/>
    </xf>
    <xf numFmtId="0" fontId="72" fillId="7" borderId="0" xfId="0" applyFont="1" applyFill="1" applyBorder="1" applyAlignment="1">
      <alignment horizontal="center" vertical="center"/>
    </xf>
    <xf numFmtId="0" fontId="71" fillId="13" borderId="49" xfId="0" applyFont="1" applyFill="1" applyBorder="1" applyAlignment="1">
      <alignment horizontal="center" vertical="center"/>
    </xf>
    <xf numFmtId="0" fontId="73" fillId="7" borderId="50" xfId="0" applyFont="1" applyFill="1" applyBorder="1" applyAlignment="1">
      <alignment horizontal="center" vertical="center"/>
    </xf>
    <xf numFmtId="0" fontId="71" fillId="13" borderId="51" xfId="0" applyFont="1" applyFill="1" applyBorder="1" applyAlignment="1">
      <alignment horizontal="center" vertical="center"/>
    </xf>
    <xf numFmtId="0" fontId="72" fillId="7" borderId="52" xfId="0" applyFont="1" applyFill="1" applyBorder="1" applyAlignment="1">
      <alignment horizontal="center" vertical="center"/>
    </xf>
    <xf numFmtId="0" fontId="73" fillId="7" borderId="53" xfId="0" applyFont="1" applyFill="1" applyBorder="1" applyAlignment="1">
      <alignment horizontal="center" vertical="center"/>
    </xf>
    <xf numFmtId="0" fontId="57" fillId="13" borderId="54" xfId="0" applyFont="1" applyFill="1" applyBorder="1" applyAlignment="1">
      <alignment horizontal="center" vertical="center"/>
    </xf>
    <xf numFmtId="0" fontId="72" fillId="7" borderId="55" xfId="0" applyFont="1" applyFill="1" applyBorder="1" applyAlignment="1">
      <alignment horizontal="center" vertical="center"/>
    </xf>
    <xf numFmtId="0" fontId="74" fillId="7" borderId="56" xfId="0" applyFont="1" applyFill="1" applyBorder="1" applyAlignment="1">
      <alignment horizontal="center" vertical="center"/>
    </xf>
    <xf numFmtId="180" fontId="72" fillId="7" borderId="52" xfId="0" applyNumberFormat="1" applyFont="1" applyFill="1" applyBorder="1" applyAlignment="1">
      <alignment horizontal="center" vertical="center"/>
    </xf>
    <xf numFmtId="173" fontId="72" fillId="7" borderId="52" xfId="0" applyNumberFormat="1" applyFont="1" applyFill="1" applyBorder="1" applyAlignment="1">
      <alignment horizontal="center" vertical="center"/>
    </xf>
    <xf numFmtId="0" fontId="66" fillId="7" borderId="55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49" fontId="58" fillId="0" borderId="25" xfId="1" applyNumberFormat="1" applyFont="1" applyFill="1" applyBorder="1" applyAlignment="1">
      <alignment horizontal="center" vertical="center" wrapText="1"/>
      <protection locked="0"/>
    </xf>
    <xf numFmtId="0" fontId="11" fillId="4" borderId="0" xfId="0" applyFont="1" applyFill="1" applyBorder="1"/>
    <xf numFmtId="0" fontId="11" fillId="4" borderId="0" xfId="0" applyFont="1" applyFill="1" applyBorder="1" applyAlignment="1">
      <alignment horizontal="center"/>
    </xf>
    <xf numFmtId="0" fontId="11" fillId="4" borderId="0" xfId="0" applyFont="1" applyFill="1" applyBorder="1" applyAlignment="1">
      <alignment wrapText="1"/>
    </xf>
    <xf numFmtId="0" fontId="2" fillId="0" borderId="25" xfId="0" applyFont="1" applyBorder="1" applyAlignment="1">
      <alignment horizontal="left" vertical="center"/>
    </xf>
    <xf numFmtId="0" fontId="2" fillId="0" borderId="57" xfId="0" applyFont="1" applyBorder="1" applyAlignment="1">
      <alignment horizontal="left" vertical="center" wrapText="1"/>
    </xf>
    <xf numFmtId="0" fontId="2" fillId="0" borderId="5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5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14" fontId="6" fillId="4" borderId="3" xfId="0" applyNumberFormat="1" applyFont="1" applyFill="1" applyBorder="1" applyAlignment="1">
      <alignment horizontal="center" vertical="center" wrapText="1"/>
    </xf>
    <xf numFmtId="0" fontId="75" fillId="0" borderId="17" xfId="0" applyFont="1" applyBorder="1"/>
    <xf numFmtId="0" fontId="76" fillId="4" borderId="23" xfId="0" applyFont="1" applyFill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Porcentaje" xfId="2" builtinId="5"/>
  </cellStyles>
  <dxfs count="10">
    <dxf>
      <fill>
        <patternFill patternType="solid">
          <fgColor indexed="64"/>
          <bgColor rgb="FFC55A11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548235"/>
        </patternFill>
      </fill>
    </dxf>
    <dxf>
      <fill>
        <patternFill patternType="solid">
          <fgColor indexed="64"/>
          <bgColor rgb="FFC55A11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548235"/>
        </patternFill>
      </fill>
    </dxf>
    <dxf>
      <font>
        <color rgb="FF548235"/>
      </font>
    </dxf>
    <dxf>
      <font>
        <color rgb="FFBF8F00"/>
      </font>
    </dxf>
    <dxf>
      <font>
        <color rgb="FFBF8F00"/>
      </font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Mapa de valores · ofertas vs. rango de orientación ($ millones / 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PROYECCIÓN!$O$11</c:f>
              <c:strCache>
                <c:ptCount val="1"/>
                <c:pt idx="0">
                  <c:v>Base (oculta)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Ref>
              <c:f>PROYECCIÓN!$N$12:$N$23</c:f>
              <c:strCache>
                <c:ptCount val="8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  <c:pt idx="4">
                  <c:v>OFERTA 05</c:v>
                </c:pt>
                <c:pt idx="5">
                  <c:v>OFERTA 06</c:v>
                </c:pt>
                <c:pt idx="6">
                  <c:v>OFERTA 07</c:v>
                </c:pt>
                <c:pt idx="7">
                  <c:v>OFERTA 08</c:v>
                </c:pt>
              </c:strCache>
            </c:strRef>
          </c:cat>
          <c:val>
            <c:numRef>
              <c:f>PROYECCIÓN!$O$12:$O$23</c:f>
              <c:numCache>
                <c:formatCode>#,##0.0</c:formatCode>
                <c:ptCount val="12"/>
                <c:pt idx="0">
                  <c:v>525</c:v>
                </c:pt>
                <c:pt idx="1">
                  <c:v>525</c:v>
                </c:pt>
                <c:pt idx="2">
                  <c:v>525</c:v>
                </c:pt>
                <c:pt idx="3">
                  <c:v>525</c:v>
                </c:pt>
                <c:pt idx="4">
                  <c:v>525</c:v>
                </c:pt>
                <c:pt idx="5">
                  <c:v>525</c:v>
                </c:pt>
                <c:pt idx="6">
                  <c:v>525</c:v>
                </c:pt>
                <c:pt idx="7">
                  <c:v>525</c:v>
                </c:pt>
                <c:pt idx="8">
                  <c:v>525</c:v>
                </c:pt>
                <c:pt idx="9">
                  <c:v>525</c:v>
                </c:pt>
                <c:pt idx="10">
                  <c:v>525</c:v>
                </c:pt>
                <c:pt idx="11">
                  <c:v>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D-498E-8479-52B1FABF1A04}"/>
            </c:ext>
          </c:extLst>
        </c:ser>
        <c:ser>
          <c:idx val="1"/>
          <c:order val="1"/>
          <c:tx>
            <c:strRef>
              <c:f>PROYECCIÓN!$P$11</c:f>
              <c:strCache>
                <c:ptCount val="1"/>
                <c:pt idx="0">
                  <c:v>Rango de orientación</c:v>
                </c:pt>
              </c:strCache>
            </c:strRef>
          </c:tx>
          <c:spPr>
            <a:solidFill>
              <a:srgbClr val="C6E0B4"/>
            </a:solidFill>
            <a:ln w="25400">
              <a:noFill/>
            </a:ln>
            <a:effectLst/>
          </c:spPr>
          <c:cat>
            <c:strRef>
              <c:f>PROYECCIÓN!$N$12:$N$23</c:f>
              <c:strCache>
                <c:ptCount val="8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  <c:pt idx="4">
                  <c:v>OFERTA 05</c:v>
                </c:pt>
                <c:pt idx="5">
                  <c:v>OFERTA 06</c:v>
                </c:pt>
                <c:pt idx="6">
                  <c:v>OFERTA 07</c:v>
                </c:pt>
                <c:pt idx="7">
                  <c:v>OFERTA 08</c:v>
                </c:pt>
              </c:strCache>
            </c:strRef>
          </c:cat>
          <c:val>
            <c:numRef>
              <c:f>PROYECCIÓN!$P$12:$P$23</c:f>
              <c:numCache>
                <c:formatCode>#,##0.0</c:formatCode>
                <c:ptCount val="12"/>
                <c:pt idx="0">
                  <c:v>105</c:v>
                </c:pt>
                <c:pt idx="1">
                  <c:v>105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  <c:pt idx="6">
                  <c:v>105</c:v>
                </c:pt>
                <c:pt idx="7">
                  <c:v>105</c:v>
                </c:pt>
                <c:pt idx="8">
                  <c:v>105</c:v>
                </c:pt>
                <c:pt idx="9">
                  <c:v>105</c:v>
                </c:pt>
                <c:pt idx="10">
                  <c:v>105</c:v>
                </c:pt>
                <c:pt idx="11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DD-498E-8479-52B1FABF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118943"/>
        <c:axId val="1993155183"/>
      </c:areaChart>
      <c:lineChart>
        <c:grouping val="standard"/>
        <c:varyColors val="0"/>
        <c:ser>
          <c:idx val="2"/>
          <c:order val="2"/>
          <c:tx>
            <c:strRef>
              <c:f>PROYECCIÓN!$Q$11</c:f>
              <c:strCache>
                <c:ptCount val="1"/>
                <c:pt idx="0">
                  <c:v>Dentro del rango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548235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PROYECCIÓN!$N$12:$N$23</c:f>
              <c:strCache>
                <c:ptCount val="8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  <c:pt idx="4">
                  <c:v>OFERTA 05</c:v>
                </c:pt>
                <c:pt idx="5">
                  <c:v>OFERTA 06</c:v>
                </c:pt>
                <c:pt idx="6">
                  <c:v>OFERTA 07</c:v>
                </c:pt>
                <c:pt idx="7">
                  <c:v>OFERTA 08</c:v>
                </c:pt>
              </c:strCache>
            </c:strRef>
          </c:cat>
          <c:val>
            <c:numRef>
              <c:f>PROYECCIÓN!$Q$12:$Q$23</c:f>
              <c:numCache>
                <c:formatCode>#,##0.0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DD-498E-8479-52B1FABF1A04}"/>
            </c:ext>
          </c:extLst>
        </c:ser>
        <c:ser>
          <c:idx val="3"/>
          <c:order val="3"/>
          <c:tx>
            <c:strRef>
              <c:f>PROYECCIÓN!$R$11</c:f>
              <c:strCache>
                <c:ptCount val="1"/>
                <c:pt idx="0">
                  <c:v>Fuera del rango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C55A1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PROYECCIÓN!$N$12:$N$23</c:f>
              <c:strCache>
                <c:ptCount val="8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  <c:pt idx="4">
                  <c:v>OFERTA 05</c:v>
                </c:pt>
                <c:pt idx="5">
                  <c:v>OFERTA 06</c:v>
                </c:pt>
                <c:pt idx="6">
                  <c:v>OFERTA 07</c:v>
                </c:pt>
                <c:pt idx="7">
                  <c:v>OFERTA 08</c:v>
                </c:pt>
              </c:strCache>
            </c:strRef>
          </c:cat>
          <c:val>
            <c:numRef>
              <c:f>PROYECCIÓN!$R$12:$R$23</c:f>
              <c:numCache>
                <c:formatCode>#,##0.0</c:formatCode>
                <c:ptCount val="12"/>
                <c:pt idx="0">
                  <c:v>23.4</c:v>
                </c:pt>
                <c:pt idx="1">
                  <c:v>1250</c:v>
                </c:pt>
                <c:pt idx="2">
                  <c:v>495</c:v>
                </c:pt>
                <c:pt idx="3">
                  <c:v>675</c:v>
                </c:pt>
                <c:pt idx="4">
                  <c:v>405</c:v>
                </c:pt>
                <c:pt idx="5">
                  <c:v>720</c:v>
                </c:pt>
                <c:pt idx="6">
                  <c:v>27</c:v>
                </c:pt>
                <c:pt idx="7">
                  <c:v>1.575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DD-498E-8479-52B1FABF1A04}"/>
            </c:ext>
          </c:extLst>
        </c:ser>
        <c:ser>
          <c:idx val="4"/>
          <c:order val="4"/>
          <c:tx>
            <c:strRef>
              <c:f>PROYECCIÓN!$S$11</c:f>
              <c:strCache>
                <c:ptCount val="1"/>
                <c:pt idx="0">
                  <c:v>Valor adoptado actual</c:v>
                </c:pt>
              </c:strCache>
            </c:strRef>
          </c:tx>
          <c:spPr>
            <a:ln w="28575" cap="rnd">
              <a:solidFill>
                <a:srgbClr val="7F7F7F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PROYECCIÓN!$N$12:$N$23</c:f>
              <c:strCache>
                <c:ptCount val="8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  <c:pt idx="4">
                  <c:v>OFERTA 05</c:v>
                </c:pt>
                <c:pt idx="5">
                  <c:v>OFERTA 06</c:v>
                </c:pt>
                <c:pt idx="6">
                  <c:v>OFERTA 07</c:v>
                </c:pt>
                <c:pt idx="7">
                  <c:v>OFERTA 08</c:v>
                </c:pt>
              </c:strCache>
            </c:strRef>
          </c:cat>
          <c:val>
            <c:numRef>
              <c:f>PROYECCIÓN!$S$12:$S$23</c:f>
              <c:numCache>
                <c:formatCode>#,##0.0</c:formatCode>
                <c:ptCount val="12"/>
                <c:pt idx="0">
                  <c:v>449.62189999999998</c:v>
                </c:pt>
                <c:pt idx="1">
                  <c:v>449.62189999999998</c:v>
                </c:pt>
                <c:pt idx="2">
                  <c:v>449.62189999999998</c:v>
                </c:pt>
                <c:pt idx="3">
                  <c:v>449.62189999999998</c:v>
                </c:pt>
                <c:pt idx="4">
                  <c:v>449.62189999999998</c:v>
                </c:pt>
                <c:pt idx="5">
                  <c:v>449.62189999999998</c:v>
                </c:pt>
                <c:pt idx="6">
                  <c:v>449.62189999999998</c:v>
                </c:pt>
                <c:pt idx="7">
                  <c:v>449.62189999999998</c:v>
                </c:pt>
                <c:pt idx="8">
                  <c:v>449.62189999999998</c:v>
                </c:pt>
                <c:pt idx="9">
                  <c:v>449.62189999999998</c:v>
                </c:pt>
                <c:pt idx="10">
                  <c:v>449.62189999999998</c:v>
                </c:pt>
                <c:pt idx="11">
                  <c:v>449.62189999999998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DD-498E-8479-52B1FABF1A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118943"/>
        <c:axId val="1993155183"/>
      </c:lineChart>
      <c:catAx>
        <c:axId val="1991118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3155183"/>
        <c:crosses val="autoZero"/>
        <c:auto val="1"/>
        <c:lblAlgn val="ctr"/>
        <c:lblOffset val="100"/>
        <c:noMultiLvlLbl val="0"/>
      </c:catAx>
      <c:valAx>
        <c:axId val="19931551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millones por hectárea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11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Coef. de variación por combinación vs. máximo admisible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PROYECCIÓN!$O$26</c:f>
              <c:strCache>
                <c:ptCount val="1"/>
                <c:pt idx="0">
                  <c:v>Coef. de variación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PROYECCIÓN!$N$27:$N$29</c:f>
              <c:strCache>
                <c:ptCount val="3"/>
                <c:pt idx="0">
                  <c:v>Combinación 1</c:v>
                </c:pt>
                <c:pt idx="1">
                  <c:v>Combinación 2</c:v>
                </c:pt>
                <c:pt idx="2">
                  <c:v>Combinación 3</c:v>
                </c:pt>
              </c:strCache>
            </c:strRef>
          </c:cat>
          <c:val>
            <c:numRef>
              <c:f>PROYECCIÓN!$O$27:$O$29</c:f>
              <c:numCache>
                <c:formatCode>0.0%</c:formatCode>
                <c:ptCount val="3"/>
                <c:pt idx="0">
                  <c:v>0.18898223650461363</c:v>
                </c:pt>
                <c:pt idx="1">
                  <c:v>0.25914023008626158</c:v>
                </c:pt>
                <c:pt idx="2">
                  <c:v>0.26186146828319085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D-489D-9C08-FCC967A7F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055567"/>
        <c:axId val="1038061391"/>
      </c:barChart>
      <c:lineChart>
        <c:grouping val="standard"/>
        <c:varyColors val="0"/>
        <c:ser>
          <c:idx val="1"/>
          <c:order val="1"/>
          <c:tx>
            <c:strRef>
              <c:f>PROYECCIÓN!$P$26</c:f>
              <c:strCache>
                <c:ptCount val="1"/>
                <c:pt idx="0">
                  <c:v>Límite CV máximo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PROYECCIÓN!$N$27:$N$29</c:f>
              <c:strCache>
                <c:ptCount val="3"/>
                <c:pt idx="0">
                  <c:v>Combinación 1</c:v>
                </c:pt>
                <c:pt idx="1">
                  <c:v>Combinación 2</c:v>
                </c:pt>
                <c:pt idx="2">
                  <c:v>Combinación 3</c:v>
                </c:pt>
              </c:strCache>
            </c:strRef>
          </c:cat>
          <c:val>
            <c:numRef>
              <c:f>PROYECCIÓN!$P$27:$P$29</c:f>
              <c:numCache>
                <c:formatCode>0.0%</c:formatCode>
                <c:ptCount val="3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ED-489D-9C08-FCC967A7F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055567"/>
        <c:axId val="1038061391"/>
      </c:lineChart>
      <c:catAx>
        <c:axId val="103805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8061391"/>
        <c:crosses val="autoZero"/>
        <c:auto val="1"/>
        <c:lblAlgn val="ctr"/>
        <c:lblOffset val="100"/>
        <c:noMultiLvlLbl val="0"/>
      </c:catAx>
      <c:valAx>
        <c:axId val="10380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805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Mapa de valores · ofertas vs. rango de orientación ($ millones / ha)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SIM_PROYECCIÓN!$O$11</c:f>
              <c:strCache>
                <c:ptCount val="1"/>
                <c:pt idx="0">
                  <c:v>Base (oculta)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Ref>
              <c:f>SIM_PROYECCIÓN!$N$12:$N$23</c:f>
              <c:strCache>
                <c:ptCount val="4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</c:strCache>
            </c:strRef>
          </c:cat>
          <c:val>
            <c:numRef>
              <c:f>SIM_PROYECCIÓN!$O$12:$O$23</c:f>
              <c:numCache>
                <c:formatCode>#,##0.0</c:formatCode>
                <c:ptCount val="12"/>
                <c:pt idx="0">
                  <c:v>25.566800595238092</c:v>
                </c:pt>
                <c:pt idx="1">
                  <c:v>25.566800595238092</c:v>
                </c:pt>
                <c:pt idx="2">
                  <c:v>25.566800595238092</c:v>
                </c:pt>
                <c:pt idx="3">
                  <c:v>25.566800595238092</c:v>
                </c:pt>
                <c:pt idx="4">
                  <c:v>25.566800595238092</c:v>
                </c:pt>
                <c:pt idx="5">
                  <c:v>25.566800595238092</c:v>
                </c:pt>
                <c:pt idx="6">
                  <c:v>25.566800595238092</c:v>
                </c:pt>
                <c:pt idx="7">
                  <c:v>25.566800595238092</c:v>
                </c:pt>
                <c:pt idx="8">
                  <c:v>25.566800595238092</c:v>
                </c:pt>
                <c:pt idx="9">
                  <c:v>25.566800595238092</c:v>
                </c:pt>
                <c:pt idx="10">
                  <c:v>25.566800595238092</c:v>
                </c:pt>
                <c:pt idx="11">
                  <c:v>25.566800595238092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EB-46F4-A000-773110C5F011}"/>
            </c:ext>
          </c:extLst>
        </c:ser>
        <c:ser>
          <c:idx val="1"/>
          <c:order val="1"/>
          <c:tx>
            <c:strRef>
              <c:f>SIM_PROYECCIÓN!$P$11</c:f>
              <c:strCache>
                <c:ptCount val="1"/>
                <c:pt idx="0">
                  <c:v>Rango de orientación</c:v>
                </c:pt>
              </c:strCache>
            </c:strRef>
          </c:tx>
          <c:spPr>
            <a:solidFill>
              <a:srgbClr val="C6E0B4"/>
            </a:solidFill>
            <a:ln w="25400">
              <a:noFill/>
            </a:ln>
            <a:effectLst/>
          </c:spPr>
          <c:cat>
            <c:strRef>
              <c:f>SIM_PROYECCIÓN!$N$12:$N$23</c:f>
              <c:strCache>
                <c:ptCount val="4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</c:strCache>
            </c:strRef>
          </c:cat>
          <c:val>
            <c:numRef>
              <c:f>SIM_PROYECCIÓN!$P$12:$P$23</c:f>
              <c:numCache>
                <c:formatCode>#,##0.0</c:formatCode>
                <c:ptCount val="12"/>
                <c:pt idx="0">
                  <c:v>1.5665</c:v>
                </c:pt>
                <c:pt idx="1">
                  <c:v>1.5665</c:v>
                </c:pt>
                <c:pt idx="2">
                  <c:v>1.5665</c:v>
                </c:pt>
                <c:pt idx="3">
                  <c:v>1.5665</c:v>
                </c:pt>
                <c:pt idx="4">
                  <c:v>1.5665</c:v>
                </c:pt>
                <c:pt idx="5">
                  <c:v>1.5665</c:v>
                </c:pt>
                <c:pt idx="6">
                  <c:v>1.5665</c:v>
                </c:pt>
                <c:pt idx="7">
                  <c:v>1.5665</c:v>
                </c:pt>
                <c:pt idx="8">
                  <c:v>1.5665</c:v>
                </c:pt>
                <c:pt idx="9">
                  <c:v>1.5665</c:v>
                </c:pt>
                <c:pt idx="10">
                  <c:v>1.5665</c:v>
                </c:pt>
                <c:pt idx="11">
                  <c:v>1.5665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EB-46F4-A000-773110C5F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118943"/>
        <c:axId val="1993155183"/>
      </c:areaChart>
      <c:lineChart>
        <c:grouping val="standard"/>
        <c:varyColors val="0"/>
        <c:ser>
          <c:idx val="2"/>
          <c:order val="2"/>
          <c:tx>
            <c:strRef>
              <c:f>SIM_PROYECCIÓN!$Q$11</c:f>
              <c:strCache>
                <c:ptCount val="1"/>
                <c:pt idx="0">
                  <c:v>Dentro del rango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3"/>
            <c:spPr>
              <a:solidFill>
                <a:srgbClr val="548235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SIM_PROYECCIÓN!$N$12:$N$23</c:f>
              <c:strCache>
                <c:ptCount val="4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</c:strCache>
            </c:strRef>
          </c:cat>
          <c:val>
            <c:numRef>
              <c:f>SIM_PROYECCIÓN!$Q$12:$Q$23</c:f>
              <c:numCache>
                <c:formatCode>#,##0.0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B-46F4-A000-773110C5F011}"/>
            </c:ext>
          </c:extLst>
        </c:ser>
        <c:ser>
          <c:idx val="3"/>
          <c:order val="3"/>
          <c:tx>
            <c:strRef>
              <c:f>SIM_PROYECCIÓN!$R$11</c:f>
              <c:strCache>
                <c:ptCount val="1"/>
                <c:pt idx="0">
                  <c:v>Fuera del rango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2"/>
            <c:spPr>
              <a:solidFill>
                <a:srgbClr val="C55A1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SIM_PROYECCIÓN!$N$12:$N$23</c:f>
              <c:strCache>
                <c:ptCount val="4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</c:strCache>
            </c:strRef>
          </c:cat>
          <c:val>
            <c:numRef>
              <c:f>SIM_PROYECCIÓN!$R$12:$R$23</c:f>
              <c:numCache>
                <c:formatCode>#,##0.0</c:formatCode>
                <c:ptCount val="12"/>
                <c:pt idx="0">
                  <c:v>24.201000000000001</c:v>
                </c:pt>
                <c:pt idx="1">
                  <c:v>27.399714285714289</c:v>
                </c:pt>
                <c:pt idx="2">
                  <c:v>25.099687500000002</c:v>
                </c:pt>
                <c:pt idx="3">
                  <c:v>28.900500000000001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EB-46F4-A000-773110C5F011}"/>
            </c:ext>
          </c:extLst>
        </c:ser>
        <c:ser>
          <c:idx val="4"/>
          <c:order val="4"/>
          <c:tx>
            <c:strRef>
              <c:f>SIM_PROYECCIÓN!$S$11</c:f>
              <c:strCache>
                <c:ptCount val="1"/>
                <c:pt idx="0">
                  <c:v>Valor adoptado actual</c:v>
                </c:pt>
              </c:strCache>
            </c:strRef>
          </c:tx>
          <c:spPr>
            <a:ln w="28575" cap="rnd">
              <a:solidFill>
                <a:srgbClr val="7F7F7F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SIM_PROYECCIÓN!$N$12:$N$23</c:f>
              <c:strCache>
                <c:ptCount val="4"/>
                <c:pt idx="0">
                  <c:v>OFERTA 01</c:v>
                </c:pt>
                <c:pt idx="1">
                  <c:v>OFERTA 02</c:v>
                </c:pt>
                <c:pt idx="2">
                  <c:v>OFERTA 03</c:v>
                </c:pt>
                <c:pt idx="3">
                  <c:v>OFERTA 04</c:v>
                </c:pt>
              </c:strCache>
            </c:strRef>
          </c:cat>
          <c:val>
            <c:numRef>
              <c:f>SIM_PROYECCIÓN!$S$12:$S$23</c:f>
              <c:numCache>
                <c:formatCode>#,##0.0</c:formatCode>
                <c:ptCount val="12"/>
                <c:pt idx="0">
                  <c:v>26.400200000000002</c:v>
                </c:pt>
                <c:pt idx="1">
                  <c:v>26.400200000000002</c:v>
                </c:pt>
                <c:pt idx="2">
                  <c:v>26.400200000000002</c:v>
                </c:pt>
                <c:pt idx="3">
                  <c:v>26.400200000000002</c:v>
                </c:pt>
                <c:pt idx="4">
                  <c:v>26.400200000000002</c:v>
                </c:pt>
                <c:pt idx="5">
                  <c:v>26.400200000000002</c:v>
                </c:pt>
                <c:pt idx="6">
                  <c:v>26.400200000000002</c:v>
                </c:pt>
                <c:pt idx="7">
                  <c:v>26.400200000000002</c:v>
                </c:pt>
                <c:pt idx="8">
                  <c:v>26.400200000000002</c:v>
                </c:pt>
                <c:pt idx="9">
                  <c:v>26.400200000000002</c:v>
                </c:pt>
                <c:pt idx="10">
                  <c:v>26.400200000000002</c:v>
                </c:pt>
                <c:pt idx="11">
                  <c:v>26.400200000000002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EB-46F4-A000-773110C5F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1118943"/>
        <c:axId val="1993155183"/>
      </c:lineChart>
      <c:catAx>
        <c:axId val="1991118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3155183"/>
        <c:crosses val="autoZero"/>
        <c:auto val="1"/>
        <c:lblAlgn val="ctr"/>
        <c:lblOffset val="100"/>
        <c:noMultiLvlLbl val="0"/>
      </c:catAx>
      <c:valAx>
        <c:axId val="19931551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millones por hectárea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11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Coef. de variación por combinación vs. máximo admisible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SIM_PROYECCIÓN!$O$26</c:f>
              <c:strCache>
                <c:ptCount val="1"/>
                <c:pt idx="0">
                  <c:v>Coef. de variación</c:v>
                </c:pt>
              </c:strCache>
            </c:strRef>
          </c:tx>
          <c:spPr>
            <a:solidFill>
              <a:srgbClr val="2F559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SIM_PROYECCIÓN!$N$27:$N$29</c:f>
              <c:strCache>
                <c:ptCount val="3"/>
                <c:pt idx="0">
                  <c:v>Combinación 1</c:v>
                </c:pt>
                <c:pt idx="1">
                  <c:v>Combinación 2</c:v>
                </c:pt>
                <c:pt idx="2">
                  <c:v>Combinación 3</c:v>
                </c:pt>
              </c:strCache>
            </c:strRef>
          </c:cat>
          <c:val>
            <c:numRef>
              <c:f>SIM_PROYECCIÓN!$O$27:$O$29</c:f>
              <c:numCache>
                <c:formatCode>0.0%</c:formatCode>
                <c:ptCount val="3"/>
                <c:pt idx="0">
                  <c:v>8.1176481231622605E-2</c:v>
                </c:pt>
                <c:pt idx="1">
                  <c:v>6.4526024165430018E-2</c:v>
                </c:pt>
                <c:pt idx="2">
                  <c:v>7.0553911735210653E-2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51-4900-B057-69274799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055567"/>
        <c:axId val="1038061391"/>
      </c:barChart>
      <c:lineChart>
        <c:grouping val="standard"/>
        <c:varyColors val="0"/>
        <c:ser>
          <c:idx val="1"/>
          <c:order val="1"/>
          <c:tx>
            <c:strRef>
              <c:f>SIM_PROYECCIÓN!$P$26</c:f>
              <c:strCache>
                <c:ptCount val="1"/>
                <c:pt idx="0">
                  <c:v>Límite CV máximo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SIM_PROYECCIÓN!$N$27:$N$29</c:f>
              <c:strCache>
                <c:ptCount val="3"/>
                <c:pt idx="0">
                  <c:v>Combinación 1</c:v>
                </c:pt>
                <c:pt idx="1">
                  <c:v>Combinación 2</c:v>
                </c:pt>
                <c:pt idx="2">
                  <c:v>Combinación 3</c:v>
                </c:pt>
              </c:strCache>
            </c:strRef>
          </c:cat>
          <c:val>
            <c:numRef>
              <c:f>SIM_PROYECCIÓN!$P$27:$P$29</c:f>
              <c:numCache>
                <c:formatCode>0.0%</c:formatCode>
                <c:ptCount val="3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51-4900-B057-69274799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8055567"/>
        <c:axId val="1038061391"/>
      </c:lineChart>
      <c:catAx>
        <c:axId val="103805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8061391"/>
        <c:crosses val="autoZero"/>
        <c:auto val="1"/>
        <c:lblAlgn val="ctr"/>
        <c:lblOffset val="100"/>
        <c:noMultiLvlLbl val="0"/>
      </c:catAx>
      <c:valAx>
        <c:axId val="10380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3805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3" name="GraficaProyeccion">
          <a:extLst>
            <a:ext uri="{FF2B5EF4-FFF2-40B4-BE49-F238E27FC236}">
              <a16:creationId xmlns:a16="http://schemas.microsoft.com/office/drawing/2014/main" id="{167CF148-A0E0-45BD-9914-89AF892C9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4" name="GraficaCV">
          <a:extLst>
            <a:ext uri="{FF2B5EF4-FFF2-40B4-BE49-F238E27FC236}">
              <a16:creationId xmlns:a16="http://schemas.microsoft.com/office/drawing/2014/main" id="{C01FFE63-4601-42FD-97BC-1304FB753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7</xdr:col>
      <xdr:colOff>0</xdr:colOff>
      <xdr:row>47</xdr:row>
      <xdr:rowOff>0</xdr:rowOff>
    </xdr:to>
    <xdr:graphicFrame macro="">
      <xdr:nvGraphicFramePr>
        <xdr:cNvPr id="2" name="GraficaProyeccion">
          <a:extLst>
            <a:ext uri="{FF2B5EF4-FFF2-40B4-BE49-F238E27FC236}">
              <a16:creationId xmlns:a16="http://schemas.microsoft.com/office/drawing/2014/main" id="{50AB6EA9-4483-4B8B-8DE5-4609A1BFDF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3" name="GraficaCV">
          <a:extLst>
            <a:ext uri="{FF2B5EF4-FFF2-40B4-BE49-F238E27FC236}">
              <a16:creationId xmlns:a16="http://schemas.microsoft.com/office/drawing/2014/main" id="{845D3132-95DC-436C-83DA-15C2B8B4F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OneDrive/IGAC_2025/E_FormatosTablas/Formatos%2020250801/FO-VAL-PC03-15%20Memoria%20de%20C&#225;lculo_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RCADO URBANO"/>
      <sheetName val="MERCADO RURAL"/>
      <sheetName val="MERCADO URBANO PH"/>
      <sheetName val="Hoja1"/>
      <sheetName val="FITTO"/>
      <sheetName val="HEIDECKE"/>
      <sheetName val="ANTECEDENTES"/>
      <sheetName val="CONSULTA A CONOCEDORES"/>
      <sheetName val="VTB"/>
      <sheetName val="RESULTADO DEL AVALUO"/>
      <sheetName val="NOTARIADO"/>
    </sheetNames>
    <sheetDataSet>
      <sheetData sheetId="0">
        <row r="6">
          <cell r="C6" t="str">
            <v>ARCHIPIELAGO_DE_SAN_ANDRES</v>
          </cell>
        </row>
      </sheetData>
      <sheetData sheetId="1">
        <row r="6">
          <cell r="C6" t="str">
            <v>HUILA</v>
          </cell>
        </row>
      </sheetData>
      <sheetData sheetId="2"/>
      <sheetData sheetId="3">
        <row r="3">
          <cell r="A3" t="str">
            <v>AMAZONAS</v>
          </cell>
        </row>
        <row r="4">
          <cell r="A4" t="str">
            <v>ANTIOQUIA</v>
          </cell>
        </row>
        <row r="5">
          <cell r="A5" t="str">
            <v>ARAUCA</v>
          </cell>
        </row>
        <row r="6">
          <cell r="A6" t="str">
            <v>ARCHIPIELAGO_DE_SAN_ANDRES</v>
          </cell>
        </row>
        <row r="7">
          <cell r="A7" t="str">
            <v>ATLÁNTICO</v>
          </cell>
        </row>
        <row r="8">
          <cell r="A8" t="str">
            <v>BOGOTÁ_D.C.</v>
          </cell>
        </row>
        <row r="9">
          <cell r="A9" t="str">
            <v>BOLIVAR</v>
          </cell>
        </row>
        <row r="10">
          <cell r="A10" t="str">
            <v>BOYACÁ</v>
          </cell>
        </row>
        <row r="11">
          <cell r="A11" t="str">
            <v>CALDAS</v>
          </cell>
        </row>
        <row r="12">
          <cell r="A12" t="str">
            <v>CAQUETA</v>
          </cell>
        </row>
        <row r="13">
          <cell r="A13" t="str">
            <v>CASANARE</v>
          </cell>
        </row>
        <row r="14">
          <cell r="A14" t="str">
            <v>CAUCA</v>
          </cell>
        </row>
        <row r="15">
          <cell r="A15" t="str">
            <v>CESAR</v>
          </cell>
        </row>
        <row r="16">
          <cell r="A16" t="str">
            <v>CHOCO</v>
          </cell>
        </row>
        <row r="17">
          <cell r="A17" t="str">
            <v>CORDOBA</v>
          </cell>
        </row>
        <row r="18">
          <cell r="A18" t="str">
            <v>CUNDINAMARCA</v>
          </cell>
        </row>
        <row r="19">
          <cell r="A19" t="str">
            <v>GUAINIA</v>
          </cell>
        </row>
        <row r="20">
          <cell r="A20" t="str">
            <v>GUAVIARE</v>
          </cell>
        </row>
        <row r="21">
          <cell r="A21" t="str">
            <v>HUILA</v>
          </cell>
        </row>
        <row r="22">
          <cell r="A22" t="str">
            <v>LA_GUAJIRA</v>
          </cell>
        </row>
        <row r="23">
          <cell r="A23" t="str">
            <v>MAGDALENA</v>
          </cell>
        </row>
        <row r="24">
          <cell r="A24" t="str">
            <v>META</v>
          </cell>
        </row>
        <row r="25">
          <cell r="A25" t="str">
            <v>NARIÑO</v>
          </cell>
        </row>
        <row r="26">
          <cell r="A26" t="str">
            <v>NORTE_DE_SANTANDER</v>
          </cell>
        </row>
        <row r="27">
          <cell r="A27" t="str">
            <v>PUTUMAYO</v>
          </cell>
        </row>
        <row r="28">
          <cell r="A28" t="str">
            <v>QUINDIO</v>
          </cell>
        </row>
        <row r="29">
          <cell r="A29" t="str">
            <v>RISARALDA</v>
          </cell>
        </row>
        <row r="30">
          <cell r="A30" t="str">
            <v>SANTANDER</v>
          </cell>
        </row>
        <row r="31">
          <cell r="A31" t="str">
            <v>SUCRE</v>
          </cell>
        </row>
        <row r="32">
          <cell r="A32" t="str">
            <v>TOLIMA</v>
          </cell>
        </row>
        <row r="33">
          <cell r="A33" t="str">
            <v>VALLE_DEL_CAUCA</v>
          </cell>
        </row>
        <row r="34">
          <cell r="A34" t="str">
            <v>VAUPES</v>
          </cell>
        </row>
        <row r="35">
          <cell r="A35" t="str">
            <v>VICHADA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2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6D7C3D-D833-4A67-87BD-2531A68BD5F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b48a790-0bca-4d20-a139-4da95a5e17f4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zwaz.com.co/propiedad-e-Inmueble-venta/terreno-parcela-en-venta-en-riohacha-la-guajira-u4260056" TargetMode="External"/><Relationship Id="rId3" Type="http://schemas.openxmlformats.org/officeDocument/2006/relationships/hyperlink" Target="https://www.puntopropiedad.com/inmueble/c62e-81cf-19854ae-9f91d049056f-79dd" TargetMode="External"/><Relationship Id="rId7" Type="http://schemas.openxmlformats.org/officeDocument/2006/relationships/hyperlink" Target="https://fincaraiz.com.co/inmueble/finca-en-venta/riohacha/riohacha/455400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fincaraiz.com.co/lote-en-venta-en-camarones-ii-riohacha/194341871" TargetMode="External"/><Relationship Id="rId1" Type="http://schemas.openxmlformats.org/officeDocument/2006/relationships/hyperlink" Target="https://www.fincaraiz.com.co/finca-en-venta-en-dibulla/193716709" TargetMode="External"/><Relationship Id="rId6" Type="http://schemas.openxmlformats.org/officeDocument/2006/relationships/hyperlink" Target="https://www.fazwaz.com.co/propiedad-e-Inmueble-venta/terreno-parcela-en-venta-en-riohacha-la-guajira-u4478556" TargetMode="External"/><Relationship Id="rId11" Type="http://schemas.openxmlformats.org/officeDocument/2006/relationships/hyperlink" Target="https://earth.google.com/web/search/11.518410410351851,-72.95441972660828" TargetMode="External"/><Relationship Id="rId5" Type="http://schemas.openxmlformats.org/officeDocument/2006/relationships/hyperlink" Target="https://www.puntopropiedad.com/inmueble/5572-9ce2-1931929-cf4b5a9bd510-747c" TargetMode="External"/><Relationship Id="rId10" Type="http://schemas.openxmlformats.org/officeDocument/2006/relationships/hyperlink" Target="https://earth.google.com/web/search/11.518410410351851,-72.95441972660828" TargetMode="External"/><Relationship Id="rId4" Type="http://schemas.openxmlformats.org/officeDocument/2006/relationships/hyperlink" Target="https://www.puntopropiedad.com/inmueble/7887-b18f-197d696-2c0a8cf753bf-72a9" TargetMode="External"/><Relationship Id="rId9" Type="http://schemas.openxmlformats.org/officeDocument/2006/relationships/hyperlink" Target="https://earth.google.com/web/search/11.27254658626432,-73.30951554818634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F904-B86F-4298-8E70-6B71AFEC12F4}">
  <dimension ref="A1:C22"/>
  <sheetViews>
    <sheetView showGridLines="0" workbookViewId="0"/>
  </sheetViews>
  <sheetFormatPr baseColWidth="10" defaultRowHeight="14.4" x14ac:dyDescent="0.3"/>
  <cols>
    <col min="1" max="1" width="5.5546875" style="2" customWidth="1"/>
    <col min="2" max="2" width="37" style="2" customWidth="1"/>
    <col min="3" max="3" width="118.5546875" style="2" customWidth="1"/>
  </cols>
  <sheetData>
    <row r="1" spans="2:3" ht="30" customHeight="1" x14ac:dyDescent="0.35">
      <c r="B1" s="205" t="s">
        <v>232</v>
      </c>
      <c r="C1" s="205"/>
    </row>
    <row r="3" spans="2:3" x14ac:dyDescent="0.3">
      <c r="B3" s="206" t="s">
        <v>233</v>
      </c>
      <c r="C3" s="206" t="s">
        <v>234</v>
      </c>
    </row>
    <row r="4" spans="2:3" ht="79.2" x14ac:dyDescent="0.3">
      <c r="B4" s="207" t="s">
        <v>235</v>
      </c>
      <c r="C4" s="208" t="s">
        <v>306</v>
      </c>
    </row>
    <row r="5" spans="2:3" ht="26.4" x14ac:dyDescent="0.3">
      <c r="B5" s="207" t="s">
        <v>236</v>
      </c>
      <c r="C5" s="208" t="s">
        <v>237</v>
      </c>
    </row>
    <row r="6" spans="2:3" ht="26.4" x14ac:dyDescent="0.3">
      <c r="B6" s="207" t="s">
        <v>238</v>
      </c>
      <c r="C6" s="208" t="s">
        <v>239</v>
      </c>
    </row>
    <row r="7" spans="2:3" ht="26.4" x14ac:dyDescent="0.3">
      <c r="B7" s="207" t="s">
        <v>240</v>
      </c>
      <c r="C7" s="209" t="s">
        <v>250</v>
      </c>
    </row>
    <row r="8" spans="2:3" ht="26.4" x14ac:dyDescent="0.3">
      <c r="B8" s="207" t="s">
        <v>241</v>
      </c>
      <c r="C8" s="209" t="s">
        <v>249</v>
      </c>
    </row>
    <row r="9" spans="2:3" ht="39.6" x14ac:dyDescent="0.3">
      <c r="B9" s="207" t="s">
        <v>242</v>
      </c>
      <c r="C9" s="208" t="s">
        <v>243</v>
      </c>
    </row>
    <row r="10" spans="2:3" x14ac:dyDescent="0.3">
      <c r="B10" s="207" t="s">
        <v>244</v>
      </c>
      <c r="C10" s="208" t="s">
        <v>245</v>
      </c>
    </row>
    <row r="11" spans="2:3" x14ac:dyDescent="0.3">
      <c r="B11" s="207" t="s">
        <v>246</v>
      </c>
      <c r="C11" s="209" t="s">
        <v>251</v>
      </c>
    </row>
    <row r="12" spans="2:3" ht="52.8" x14ac:dyDescent="0.3">
      <c r="B12" s="237" t="s">
        <v>271</v>
      </c>
      <c r="C12" s="238" t="s">
        <v>292</v>
      </c>
    </row>
    <row r="13" spans="2:3" ht="26.4" x14ac:dyDescent="0.3">
      <c r="B13" s="237" t="s">
        <v>247</v>
      </c>
      <c r="C13" s="109" t="s">
        <v>248</v>
      </c>
    </row>
    <row r="14" spans="2:3" ht="39.6" x14ac:dyDescent="0.3">
      <c r="B14" s="130" t="s">
        <v>331</v>
      </c>
      <c r="C14" s="130" t="s">
        <v>332</v>
      </c>
    </row>
    <row r="15" spans="2:3" x14ac:dyDescent="0.3">
      <c r="B15" s="78" t="s">
        <v>272</v>
      </c>
      <c r="C15" s="78"/>
    </row>
    <row r="16" spans="2:3" x14ac:dyDescent="0.3">
      <c r="B16" s="130" t="s">
        <v>273</v>
      </c>
      <c r="C16" s="130" t="s">
        <v>274</v>
      </c>
    </row>
    <row r="17" spans="2:3" ht="26.4" x14ac:dyDescent="0.3">
      <c r="B17" s="207" t="s">
        <v>275</v>
      </c>
      <c r="C17" s="236" t="str">
        <f>IF(COMBINACIONES!B8&gt;30,"ALERTA: "&amp;COMBINACIONES!B8&amp;" ofertas; excede la capacidad de 30","OK – "&amp;COMBINACIONES!B8&amp;" ofertas")</f>
        <v>OK – 8 ofertas</v>
      </c>
    </row>
    <row r="18" spans="2:3" ht="26.4" x14ac:dyDescent="0.3">
      <c r="B18" s="207" t="s">
        <v>276</v>
      </c>
      <c r="C18" s="236" t="str">
        <f>IF(COMBINACIONES!B8&gt;20,"ALERTA: excede el resumen de DEPRECIACIÓN (20)",IF(COMBINACIONES!B8&gt;12,"AVISO: el gráfico de PROYECCIÓN cubre 12; amplíe su rango","OK"))</f>
        <v>OK</v>
      </c>
    </row>
    <row r="19" spans="2:3" ht="26.4" x14ac:dyDescent="0.3">
      <c r="B19" s="207" t="s">
        <v>277</v>
      </c>
      <c r="C19" s="236" t="str">
        <f>IF(ABS(DEPRECIACIÓN!M41)&lt;1,"OK – cuadra","ALERTA: hay construcciones asignadas a una oferta inexistente")</f>
        <v>OK – cuadra</v>
      </c>
    </row>
    <row r="20" spans="2:3" ht="26.4" x14ac:dyDescent="0.3">
      <c r="B20" s="207" t="s">
        <v>278</v>
      </c>
      <c r="C20" s="236" t="str">
        <f>IF(SUMPRODUCT(--ISERROR('MERCADO RURAL'!A9:Q28))+SUMPRODUCT(--ISERROR(COMBINACIONES!A3:O25))+SUMPRODUCT(--ISERROR(DEPRECIACIÓN!A5:Q41))+SUMPRODUCT(--ISERROR(LIQUIDACIÓN!B5:F25))+SUMPRODUCT(--ISERROR(PROYECCIÓN!A4:L21))=0,"OK – sin errores","ALERTA: hay celdas con error")</f>
        <v>OK – sin errores</v>
      </c>
    </row>
    <row r="21" spans="2:3" x14ac:dyDescent="0.3">
      <c r="B21" s="207" t="s">
        <v>279</v>
      </c>
      <c r="C21" s="236" t="str">
        <f>COUNTIF(KML_OFERTAS!D5:D34,"?*")&amp;" de "&amp;COMBINACIONES!B8&amp;" ofertas con coordenadas"</f>
        <v>8 de 8 ofertas con coordenadas</v>
      </c>
    </row>
    <row r="22" spans="2:3" x14ac:dyDescent="0.3">
      <c r="B22" s="207" t="s">
        <v>280</v>
      </c>
      <c r="C22" s="236" t="str">
        <f>IF(PROYECCIÓN!B8&gt;0,"OK – "&amp;PROYECCIÓN!B8&amp;" combinación(es) cumplen","PENDIENTE – ninguna combinación cumple el "&amp;TEXT(COMBINACIONES!B5,"0%")&amp;"; agregue ofertas")</f>
        <v>PENDIENTE – ninguna combinación cumple el 10%; agregue ofertas</v>
      </c>
    </row>
  </sheetData>
  <mergeCells count="2">
    <mergeCell ref="B1:C1"/>
    <mergeCell ref="B15:C15"/>
  </mergeCells>
  <conditionalFormatting sqref="C17:C22">
    <cfRule type="beginsWith" dxfId="9" priority="1" operator="beginsWith" text="ALERTA">
      <formula>LEFT(C17,LEN("ALERTA"))="ALERTA"</formula>
    </cfRule>
  </conditionalFormatting>
  <conditionalFormatting sqref="C17:C22">
    <cfRule type="beginsWith" dxfId="8" priority="2" operator="beginsWith" text="PENDIENTE">
      <formula>LEFT(C17,LEN("PENDIENTE"))="PENDIENTE"</formula>
    </cfRule>
  </conditionalFormatting>
  <conditionalFormatting sqref="C17:C22">
    <cfRule type="beginsWith" dxfId="7" priority="3" operator="beginsWith" text="AVISO">
      <formula>LEFT(C17,LEN("AVISO"))="AVISO"</formula>
    </cfRule>
  </conditionalFormatting>
  <conditionalFormatting sqref="C17:C22">
    <cfRule type="beginsWith" dxfId="6" priority="4" operator="beginsWith" text="OK">
      <formula>LEFT(C17,LEN("OK"))="OK"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4"/>
  <sheetViews>
    <sheetView topLeftCell="A16" zoomScaleNormal="100" workbookViewId="0">
      <selection activeCell="D12" sqref="D12"/>
    </sheetView>
  </sheetViews>
  <sheetFormatPr baseColWidth="10" defaultColWidth="11.44140625" defaultRowHeight="14.4" x14ac:dyDescent="0.3"/>
  <cols>
    <col min="1" max="1" width="8.44140625" customWidth="1"/>
    <col min="2" max="2" width="30" customWidth="1"/>
    <col min="3" max="3" width="25.88671875" customWidth="1"/>
    <col min="4" max="9" width="18" customWidth="1"/>
    <col min="10" max="10" width="45" customWidth="1"/>
    <col min="11" max="11" width="26" customWidth="1"/>
    <col min="12" max="12" width="16" customWidth="1"/>
    <col min="13" max="13" width="28.77734375" customWidth="1"/>
    <col min="14" max="14" width="21.5546875" style="69" customWidth="1"/>
    <col min="15" max="15" width="14" style="69" customWidth="1"/>
    <col min="16" max="16" width="40" style="69" customWidth="1"/>
    <col min="17" max="17" width="18.5546875" style="69" customWidth="1"/>
  </cols>
  <sheetData>
    <row r="1" spans="1:17" s="2" customFormat="1" ht="18" customHeight="1" thickBot="1" x14ac:dyDescent="0.35">
      <c r="A1" s="167"/>
      <c r="B1" s="40"/>
      <c r="C1" s="36"/>
      <c r="D1" s="39" t="s">
        <v>0</v>
      </c>
      <c r="E1" s="40"/>
      <c r="F1" s="40"/>
      <c r="G1" s="40"/>
      <c r="H1" s="40"/>
      <c r="I1" s="40"/>
      <c r="J1" s="36"/>
      <c r="K1" s="18" t="s">
        <v>1</v>
      </c>
      <c r="L1" s="19"/>
      <c r="M1" s="20"/>
      <c r="N1" s="67"/>
      <c r="O1" s="67"/>
      <c r="P1" s="67"/>
      <c r="Q1" s="67"/>
    </row>
    <row r="2" spans="1:17" s="2" customFormat="1" ht="27" customHeight="1" thickBot="1" x14ac:dyDescent="0.3">
      <c r="A2" s="37"/>
      <c r="B2" s="24"/>
      <c r="C2" s="38"/>
      <c r="D2" s="41"/>
      <c r="E2" s="24"/>
      <c r="F2" s="24"/>
      <c r="G2" s="24"/>
      <c r="H2" s="24"/>
      <c r="I2" s="24"/>
      <c r="J2" s="38"/>
      <c r="K2" s="3">
        <v>2026</v>
      </c>
      <c r="L2" s="3">
        <v>10</v>
      </c>
      <c r="M2" s="4">
        <v>1</v>
      </c>
      <c r="N2" s="67"/>
      <c r="O2" s="67"/>
      <c r="P2" s="67"/>
      <c r="Q2" s="67"/>
    </row>
    <row r="3" spans="1:17" s="2" customFormat="1" ht="18" customHeight="1" x14ac:dyDescent="0.3">
      <c r="A3" s="31"/>
      <c r="B3" s="5" t="s">
        <v>2</v>
      </c>
      <c r="C3" s="5"/>
      <c r="D3" s="5"/>
      <c r="E3" s="5"/>
      <c r="F3" s="43" t="s">
        <v>3</v>
      </c>
      <c r="G3" s="19"/>
      <c r="H3" s="19"/>
      <c r="I3" s="19"/>
      <c r="J3" s="19"/>
      <c r="K3" s="19"/>
      <c r="L3" s="6" t="s">
        <v>4</v>
      </c>
      <c r="M3" s="10"/>
      <c r="N3" s="67"/>
      <c r="O3" s="67"/>
      <c r="P3" s="67"/>
      <c r="Q3" s="67"/>
    </row>
    <row r="4" spans="1:17" s="2" customFormat="1" ht="18" customHeight="1" x14ac:dyDescent="0.3">
      <c r="A4" s="32"/>
      <c r="B4" s="26" t="s">
        <v>5</v>
      </c>
      <c r="C4" s="26"/>
      <c r="D4" s="27"/>
      <c r="E4" s="28" t="s">
        <v>6</v>
      </c>
      <c r="F4" s="29"/>
      <c r="G4" s="29"/>
      <c r="H4" s="29"/>
      <c r="I4" s="29"/>
      <c r="J4" s="29"/>
      <c r="K4" s="29"/>
      <c r="L4" s="29"/>
      <c r="M4" s="30"/>
      <c r="N4" s="67"/>
      <c r="O4" s="67"/>
      <c r="P4" s="67"/>
      <c r="Q4" s="67"/>
    </row>
    <row r="5" spans="1:17" s="2" customFormat="1" ht="13.8" customHeight="1" x14ac:dyDescent="0.3">
      <c r="A5" s="32"/>
      <c r="B5" s="33"/>
      <c r="C5" s="166"/>
      <c r="D5" s="27"/>
      <c r="E5" s="27"/>
      <c r="F5" s="27"/>
      <c r="G5" s="27"/>
      <c r="H5" s="27"/>
      <c r="I5" s="27"/>
      <c r="J5" s="27"/>
      <c r="K5" s="27"/>
      <c r="L5" s="27"/>
      <c r="M5" s="34"/>
      <c r="N5" s="67"/>
      <c r="O5" s="67"/>
      <c r="P5" s="67"/>
      <c r="Q5" s="67"/>
    </row>
    <row r="6" spans="1:17" s="2" customFormat="1" ht="23.4" thickBot="1" x14ac:dyDescent="0.35">
      <c r="A6" s="42" t="s">
        <v>7</v>
      </c>
      <c r="B6" s="24"/>
      <c r="C6" s="17"/>
      <c r="D6" s="23" t="s">
        <v>8</v>
      </c>
      <c r="E6" s="24"/>
      <c r="F6" s="25" t="s">
        <v>9</v>
      </c>
      <c r="G6" s="24"/>
      <c r="H6" s="7" t="s">
        <v>10</v>
      </c>
      <c r="I6" s="8"/>
      <c r="J6" s="9"/>
      <c r="K6" s="7"/>
      <c r="L6" s="7"/>
      <c r="M6" s="11"/>
      <c r="N6" s="67"/>
      <c r="O6" s="67"/>
      <c r="P6" s="67"/>
      <c r="Q6" s="67"/>
    </row>
    <row r="7" spans="1:17" s="45" customFormat="1" ht="21.75" customHeight="1" x14ac:dyDescent="0.3">
      <c r="A7" s="44"/>
      <c r="M7" s="46"/>
      <c r="N7" s="68"/>
      <c r="O7" s="68"/>
      <c r="P7" s="68"/>
      <c r="Q7" s="68"/>
    </row>
    <row r="8" spans="1:17" s="2" customFormat="1" ht="61.2" customHeight="1" x14ac:dyDescent="0.25">
      <c r="A8" s="47" t="s">
        <v>11</v>
      </c>
      <c r="B8" s="48" t="s">
        <v>12</v>
      </c>
      <c r="C8" s="75" t="s">
        <v>220</v>
      </c>
      <c r="D8" s="48" t="s">
        <v>13</v>
      </c>
      <c r="E8" s="48" t="s">
        <v>14</v>
      </c>
      <c r="F8" s="48" t="s">
        <v>15</v>
      </c>
      <c r="G8" s="48" t="s">
        <v>16</v>
      </c>
      <c r="H8" s="48" t="s">
        <v>17</v>
      </c>
      <c r="I8" s="48" t="s">
        <v>18</v>
      </c>
      <c r="J8" s="48" t="s">
        <v>19</v>
      </c>
      <c r="K8" s="48" t="s">
        <v>20</v>
      </c>
      <c r="L8" s="48" t="s">
        <v>21</v>
      </c>
      <c r="M8" s="71" t="s">
        <v>22</v>
      </c>
      <c r="N8" s="75" t="s">
        <v>23</v>
      </c>
      <c r="O8" s="73" t="s">
        <v>24</v>
      </c>
      <c r="P8" s="49" t="s">
        <v>25</v>
      </c>
      <c r="Q8" s="49" t="s">
        <v>72</v>
      </c>
    </row>
    <row r="9" spans="1:17" s="2" customFormat="1" ht="82.8" x14ac:dyDescent="0.25">
      <c r="A9" s="50">
        <v>1</v>
      </c>
      <c r="B9" s="51" t="s">
        <v>26</v>
      </c>
      <c r="C9" s="267" t="s">
        <v>218</v>
      </c>
      <c r="D9" s="52">
        <v>7826000000</v>
      </c>
      <c r="E9" s="53">
        <v>0.1</v>
      </c>
      <c r="F9" s="52">
        <f>D9*(1-E9)</f>
        <v>7043400000</v>
      </c>
      <c r="G9" s="58">
        <v>301</v>
      </c>
      <c r="H9" s="57">
        <f>(F9-I9)/G9</f>
        <v>23400000</v>
      </c>
      <c r="I9" s="54">
        <f>SUMIFS(DEPRECIACIÓN!$P$5:$P$14,DEPRECIACIÓN!$A$5:$A$14,$A9)</f>
        <v>0</v>
      </c>
      <c r="J9" s="51" t="s">
        <v>27</v>
      </c>
      <c r="K9" s="51" t="s">
        <v>28</v>
      </c>
      <c r="L9" s="51" t="s">
        <v>29</v>
      </c>
      <c r="M9" s="72"/>
      <c r="N9" s="76" t="s">
        <v>30</v>
      </c>
      <c r="O9" s="74" t="s">
        <v>31</v>
      </c>
      <c r="P9" s="51" t="s">
        <v>32</v>
      </c>
      <c r="Q9" s="51" t="str">
        <f>"OFERTA "&amp;TEXT(A9,"00")</f>
        <v>OFERTA 01</v>
      </c>
    </row>
    <row r="10" spans="1:17" s="2" customFormat="1" ht="57.6" x14ac:dyDescent="0.25">
      <c r="A10" s="50">
        <v>2</v>
      </c>
      <c r="B10" s="51" t="s">
        <v>37</v>
      </c>
      <c r="C10" s="267" t="s">
        <v>219</v>
      </c>
      <c r="D10" s="52">
        <v>750000000</v>
      </c>
      <c r="E10" s="53">
        <v>0.1</v>
      </c>
      <c r="F10" s="52">
        <f>D10*(1-E10)</f>
        <v>675000000</v>
      </c>
      <c r="G10" s="58">
        <v>0.54</v>
      </c>
      <c r="H10" s="56">
        <f>(F10-I10)/G10</f>
        <v>1250000000</v>
      </c>
      <c r="I10" s="54">
        <f>SUMIFS(DEPRECIACIÓN!$P$5:$P$14,DEPRECIACIÓN!$A$5:$A$14,$A10)</f>
        <v>0</v>
      </c>
      <c r="J10" s="51" t="s">
        <v>293</v>
      </c>
      <c r="K10" s="51" t="s">
        <v>38</v>
      </c>
      <c r="L10" s="51" t="s">
        <v>29</v>
      </c>
      <c r="M10" s="72"/>
      <c r="N10" s="76" t="s">
        <v>39</v>
      </c>
      <c r="O10" s="74" t="s">
        <v>58</v>
      </c>
      <c r="P10" s="51" t="s">
        <v>294</v>
      </c>
      <c r="Q10" s="51" t="str">
        <f>"OFERTA "&amp;TEXT(A10,"00")</f>
        <v>OFERTA 02</v>
      </c>
    </row>
    <row r="11" spans="1:17" s="2" customFormat="1" ht="57.6" x14ac:dyDescent="0.25">
      <c r="A11" s="50">
        <v>3</v>
      </c>
      <c r="B11" s="51" t="s">
        <v>40</v>
      </c>
      <c r="C11" s="267" t="s">
        <v>219</v>
      </c>
      <c r="D11" s="52">
        <v>3300000000</v>
      </c>
      <c r="E11" s="53">
        <v>0.1</v>
      </c>
      <c r="F11" s="52">
        <f>D11*(1-E11)</f>
        <v>2970000000</v>
      </c>
      <c r="G11" s="58">
        <v>6</v>
      </c>
      <c r="H11" s="56">
        <f>(F11-I11)/G11</f>
        <v>495000000</v>
      </c>
      <c r="I11" s="54">
        <f>SUMIFS(DEPRECIACIÓN!$P$5:$P$14,DEPRECIACIÓN!$A$5:$A$14,$A11)</f>
        <v>0</v>
      </c>
      <c r="J11" s="51" t="s">
        <v>295</v>
      </c>
      <c r="K11" s="51" t="s">
        <v>41</v>
      </c>
      <c r="L11" s="51" t="s">
        <v>29</v>
      </c>
      <c r="M11" s="72"/>
      <c r="N11" s="76" t="s">
        <v>42</v>
      </c>
      <c r="O11" s="74" t="s">
        <v>58</v>
      </c>
      <c r="P11" s="51" t="s">
        <v>296</v>
      </c>
      <c r="Q11" s="51" t="str">
        <f>"OFERTA "&amp;TEXT(A11,"00")</f>
        <v>OFERTA 03</v>
      </c>
    </row>
    <row r="12" spans="1:17" s="2" customFormat="1" ht="57.6" x14ac:dyDescent="0.25">
      <c r="A12" s="50">
        <v>4</v>
      </c>
      <c r="B12" s="51" t="s">
        <v>43</v>
      </c>
      <c r="C12" s="267" t="s">
        <v>219</v>
      </c>
      <c r="D12" s="52">
        <v>750000000</v>
      </c>
      <c r="E12" s="53">
        <v>0.1</v>
      </c>
      <c r="F12" s="52">
        <f>D12*(1-E12)</f>
        <v>675000000</v>
      </c>
      <c r="G12" s="58">
        <v>1</v>
      </c>
      <c r="H12" s="56">
        <f>(F12-I12)/G12</f>
        <v>675000000</v>
      </c>
      <c r="I12" s="54">
        <f>SUMIFS(DEPRECIACIÓN!$P$5:$P$14,DEPRECIACIÓN!$A$5:$A$14,$A12)</f>
        <v>0</v>
      </c>
      <c r="J12" s="51" t="s">
        <v>297</v>
      </c>
      <c r="K12" s="51" t="s">
        <v>44</v>
      </c>
      <c r="L12" s="51" t="s">
        <v>29</v>
      </c>
      <c r="M12" s="72"/>
      <c r="N12" s="76" t="s">
        <v>45</v>
      </c>
      <c r="O12" s="74" t="s">
        <v>58</v>
      </c>
      <c r="P12" s="51" t="s">
        <v>298</v>
      </c>
      <c r="Q12" s="51" t="str">
        <f>"OFERTA "&amp;TEXT(A12,"00")</f>
        <v>OFERTA 04</v>
      </c>
    </row>
    <row r="13" spans="1:17" s="2" customFormat="1" ht="57.6" x14ac:dyDescent="0.25">
      <c r="A13" s="50">
        <v>5</v>
      </c>
      <c r="B13" s="51" t="s">
        <v>46</v>
      </c>
      <c r="C13" s="267" t="s">
        <v>219</v>
      </c>
      <c r="D13" s="52">
        <v>6750000000</v>
      </c>
      <c r="E13" s="53">
        <v>0.1</v>
      </c>
      <c r="F13" s="52">
        <f>D13*(1-E13)</f>
        <v>6075000000</v>
      </c>
      <c r="G13" s="58">
        <v>15</v>
      </c>
      <c r="H13" s="56">
        <f>(F13-I13)/G13</f>
        <v>405000000</v>
      </c>
      <c r="I13" s="54">
        <f>SUMIFS(DEPRECIACIÓN!$P$5:$P$14,DEPRECIACIÓN!$A$5:$A$14,$A13)</f>
        <v>0</v>
      </c>
      <c r="J13" s="51" t="s">
        <v>299</v>
      </c>
      <c r="K13" s="51" t="s">
        <v>47</v>
      </c>
      <c r="L13" s="51" t="s">
        <v>29</v>
      </c>
      <c r="M13" s="72"/>
      <c r="N13" s="76" t="s">
        <v>48</v>
      </c>
      <c r="O13" s="74" t="s">
        <v>58</v>
      </c>
      <c r="P13" s="51" t="s">
        <v>300</v>
      </c>
      <c r="Q13" s="51" t="str">
        <f>"OFERTA "&amp;TEXT(A13,"00")</f>
        <v>OFERTA 05</v>
      </c>
    </row>
    <row r="14" spans="1:17" s="2" customFormat="1" ht="86.4" x14ac:dyDescent="0.25">
      <c r="A14" s="50">
        <v>6</v>
      </c>
      <c r="B14" s="51" t="s">
        <v>49</v>
      </c>
      <c r="C14" s="267" t="s">
        <v>219</v>
      </c>
      <c r="D14" s="52">
        <v>800000000</v>
      </c>
      <c r="E14" s="53">
        <v>0.1</v>
      </c>
      <c r="F14" s="52">
        <f>D14*(1-E14)</f>
        <v>720000000</v>
      </c>
      <c r="G14" s="58">
        <v>1</v>
      </c>
      <c r="H14" s="56">
        <f>(F14-I14)/G14</f>
        <v>720000000</v>
      </c>
      <c r="I14" s="54">
        <f>SUMIFS(DEPRECIACIÓN!$P$5:$P$14,DEPRECIACIÓN!$A$5:$A$14,$A14)</f>
        <v>0</v>
      </c>
      <c r="J14" s="51" t="s">
        <v>297</v>
      </c>
      <c r="K14" s="51" t="s">
        <v>50</v>
      </c>
      <c r="L14" s="51" t="s">
        <v>29</v>
      </c>
      <c r="M14" s="72"/>
      <c r="N14" s="76" t="s">
        <v>51</v>
      </c>
      <c r="O14" s="74" t="s">
        <v>58</v>
      </c>
      <c r="P14" s="51" t="s">
        <v>301</v>
      </c>
      <c r="Q14" s="51" t="str">
        <f>"OFERTA "&amp;TEXT(A14,"00")</f>
        <v>OFERTA 06</v>
      </c>
    </row>
    <row r="15" spans="1:17" s="2" customFormat="1" ht="57.6" x14ac:dyDescent="0.25">
      <c r="A15" s="50">
        <v>7</v>
      </c>
      <c r="B15" s="51" t="s">
        <v>52</v>
      </c>
      <c r="C15" s="267" t="s">
        <v>219</v>
      </c>
      <c r="D15" s="52">
        <v>1500000000</v>
      </c>
      <c r="E15" s="53">
        <v>0.1</v>
      </c>
      <c r="F15" s="52">
        <f>D15*(1-E15)</f>
        <v>1350000000</v>
      </c>
      <c r="G15" s="58">
        <v>50</v>
      </c>
      <c r="H15" s="56">
        <f>(F15-I15)/G15</f>
        <v>27000000</v>
      </c>
      <c r="I15" s="54">
        <f>SUMIFS(DEPRECIACIÓN!$P$5:$P$14,DEPRECIACIÓN!$A$5:$A$14,$A15)</f>
        <v>0</v>
      </c>
      <c r="J15" s="51" t="s">
        <v>302</v>
      </c>
      <c r="K15" s="51" t="s">
        <v>53</v>
      </c>
      <c r="L15" s="51" t="s">
        <v>29</v>
      </c>
      <c r="M15" s="72"/>
      <c r="N15" s="76" t="s">
        <v>54</v>
      </c>
      <c r="O15" s="74">
        <v>2019</v>
      </c>
      <c r="P15" s="51" t="s">
        <v>303</v>
      </c>
      <c r="Q15" s="51" t="str">
        <f>"OFERTA "&amp;TEXT(A15,"00")</f>
        <v>OFERTA 07</v>
      </c>
    </row>
    <row r="16" spans="1:17" s="2" customFormat="1" ht="86.4" x14ac:dyDescent="0.25">
      <c r="A16" s="50">
        <v>8</v>
      </c>
      <c r="B16" s="51" t="s">
        <v>55</v>
      </c>
      <c r="C16" s="267" t="s">
        <v>219</v>
      </c>
      <c r="D16" s="52">
        <v>1750000000</v>
      </c>
      <c r="E16" s="53">
        <v>0.1</v>
      </c>
      <c r="F16" s="52">
        <f>D16*(1-E16)</f>
        <v>1575000000</v>
      </c>
      <c r="G16" s="58">
        <v>1000</v>
      </c>
      <c r="H16" s="56">
        <f>(F16-I16)/G16</f>
        <v>1575000</v>
      </c>
      <c r="I16" s="54">
        <f>SUMIFS(DEPRECIACIÓN!$P$5:$P$14,DEPRECIACIÓN!$A$5:$A$14,$A16)</f>
        <v>0</v>
      </c>
      <c r="J16" s="51" t="s">
        <v>304</v>
      </c>
      <c r="K16" s="51" t="s">
        <v>56</v>
      </c>
      <c r="L16" s="51" t="s">
        <v>29</v>
      </c>
      <c r="M16" s="72"/>
      <c r="N16" s="76" t="s">
        <v>57</v>
      </c>
      <c r="O16" s="74" t="s">
        <v>58</v>
      </c>
      <c r="P16" s="51" t="s">
        <v>305</v>
      </c>
      <c r="Q16" s="51" t="str">
        <f>"OFERTA "&amp;TEXT(A16,"00")</f>
        <v>OFERTA 08</v>
      </c>
    </row>
    <row r="17" spans="1:17" s="2" customFormat="1" ht="15.75" customHeight="1" x14ac:dyDescent="0.25">
      <c r="A17" s="12"/>
      <c r="B17" s="13"/>
      <c r="C17" s="13"/>
      <c r="D17" s="13"/>
      <c r="E17" s="13"/>
      <c r="F17" s="16"/>
      <c r="G17" s="13"/>
      <c r="H17" s="13"/>
      <c r="I17" s="13"/>
      <c r="J17" s="13"/>
      <c r="K17" s="13"/>
      <c r="L17" s="14"/>
      <c r="M17" s="15"/>
      <c r="N17" s="67"/>
      <c r="O17" s="67"/>
      <c r="P17" s="67"/>
      <c r="Q17" s="67"/>
    </row>
    <row r="18" spans="1:17" s="2" customFormat="1" ht="13.8" customHeight="1" x14ac:dyDescent="0.3">
      <c r="A18" s="12"/>
      <c r="B18" s="13"/>
      <c r="C18" s="13"/>
      <c r="D18" s="13"/>
      <c r="E18" s="13"/>
      <c r="F18" s="21" t="s">
        <v>33</v>
      </c>
      <c r="G18" s="22"/>
      <c r="H18" s="61">
        <f>AVERAGE(H9:H17)</f>
        <v>449621875</v>
      </c>
      <c r="I18" s="13"/>
      <c r="J18" s="13"/>
      <c r="K18" s="13"/>
      <c r="L18" s="14"/>
      <c r="M18" s="15"/>
      <c r="N18" s="67"/>
      <c r="O18" s="67"/>
      <c r="P18" s="67"/>
      <c r="Q18" s="67"/>
    </row>
    <row r="19" spans="1:17" s="2" customFormat="1" ht="18" customHeight="1" x14ac:dyDescent="0.3">
      <c r="A19" s="12"/>
      <c r="B19" s="13"/>
      <c r="C19" s="13"/>
      <c r="D19" s="13"/>
      <c r="E19" s="13"/>
      <c r="F19" s="21" t="s">
        <v>34</v>
      </c>
      <c r="G19" s="22"/>
      <c r="H19" s="62">
        <f>_xlfn.STDEV.S(H9:H17)</f>
        <v>435820309.76028824</v>
      </c>
      <c r="I19" s="13"/>
      <c r="J19" s="13"/>
      <c r="K19" s="13"/>
      <c r="L19" s="14"/>
      <c r="M19" s="15"/>
      <c r="N19" s="67"/>
      <c r="O19" s="67"/>
      <c r="P19" s="67"/>
      <c r="Q19" s="67"/>
    </row>
    <row r="20" spans="1:17" s="2" customFormat="1" ht="18" customHeight="1" x14ac:dyDescent="0.3">
      <c r="A20" s="12"/>
      <c r="B20" s="13"/>
      <c r="C20" s="13"/>
      <c r="D20" s="13"/>
      <c r="E20" s="13"/>
      <c r="F20" s="21" t="s">
        <v>35</v>
      </c>
      <c r="G20" s="22"/>
      <c r="H20" s="63">
        <f>H19/H18</f>
        <v>0.96930406190821616</v>
      </c>
      <c r="I20" s="13"/>
      <c r="J20" s="13"/>
      <c r="K20" s="13"/>
      <c r="L20" s="14"/>
      <c r="M20" s="15"/>
      <c r="N20" s="67"/>
      <c r="O20" s="67"/>
      <c r="P20" s="67"/>
      <c r="Q20" s="67"/>
    </row>
    <row r="21" spans="1:17" s="2" customFormat="1" ht="18" customHeight="1" x14ac:dyDescent="0.3">
      <c r="A21" s="12"/>
      <c r="B21" s="13"/>
      <c r="C21" s="13"/>
      <c r="D21" s="13"/>
      <c r="E21" s="13"/>
      <c r="F21" s="21" t="s">
        <v>59</v>
      </c>
      <c r="G21" s="22"/>
      <c r="H21" s="64">
        <f>H18-H19</f>
        <v>13801565.239711761</v>
      </c>
      <c r="I21" s="13"/>
      <c r="J21" s="13"/>
      <c r="K21" s="13"/>
      <c r="L21" s="14"/>
      <c r="M21" s="15"/>
      <c r="N21" s="67"/>
      <c r="O21" s="67"/>
      <c r="P21" s="67"/>
      <c r="Q21" s="67"/>
    </row>
    <row r="22" spans="1:17" s="2" customFormat="1" ht="18" customHeight="1" x14ac:dyDescent="0.3">
      <c r="A22" s="12"/>
      <c r="B22" s="13"/>
      <c r="C22" s="13"/>
      <c r="D22" s="13"/>
      <c r="E22" s="13"/>
      <c r="F22" s="21" t="s">
        <v>60</v>
      </c>
      <c r="G22" s="22"/>
      <c r="H22" s="64">
        <f>H18+H19</f>
        <v>885442184.76028824</v>
      </c>
      <c r="I22" s="13"/>
      <c r="J22" s="13"/>
      <c r="K22" s="13"/>
      <c r="L22" s="14"/>
      <c r="M22" s="15"/>
      <c r="N22" s="67"/>
      <c r="O22" s="67"/>
      <c r="P22" s="67"/>
      <c r="Q22" s="67"/>
    </row>
    <row r="23" spans="1:17" s="2" customFormat="1" ht="18" customHeight="1" x14ac:dyDescent="0.3">
      <c r="A23" s="12"/>
      <c r="B23" s="13"/>
      <c r="C23" s="13"/>
      <c r="D23" s="13"/>
      <c r="E23" s="13"/>
      <c r="F23" s="21" t="s">
        <v>61</v>
      </c>
      <c r="G23" s="22"/>
      <c r="H23" s="65">
        <f>SKEW(H9:H17)</f>
        <v>0.69280495294131728</v>
      </c>
      <c r="I23" s="13"/>
      <c r="J23" s="13"/>
      <c r="K23" s="13"/>
      <c r="L23" s="14"/>
      <c r="M23" s="15"/>
      <c r="N23" s="67"/>
      <c r="O23" s="67"/>
      <c r="P23" s="67"/>
      <c r="Q23" s="67"/>
    </row>
    <row r="24" spans="1:17" s="2" customFormat="1" ht="18" customHeight="1" x14ac:dyDescent="0.3">
      <c r="A24" s="12"/>
      <c r="B24" s="13"/>
      <c r="C24" s="13"/>
      <c r="D24" s="13"/>
      <c r="E24" s="13"/>
      <c r="F24" s="21" t="s">
        <v>36</v>
      </c>
      <c r="G24" s="22"/>
      <c r="H24" s="66">
        <f>ROUND(H18,-2)</f>
        <v>449621900</v>
      </c>
      <c r="I24" s="13"/>
      <c r="J24" s="13"/>
      <c r="K24" s="13"/>
      <c r="L24" s="14"/>
      <c r="M24" s="15"/>
      <c r="N24" s="67"/>
      <c r="O24" s="67"/>
      <c r="P24" s="67"/>
      <c r="Q24" s="67"/>
    </row>
    <row r="25" spans="1:17" s="2" customFormat="1" ht="18" customHeight="1" x14ac:dyDescent="0.25">
      <c r="A25" s="12"/>
      <c r="B25" s="13"/>
      <c r="C25" s="13"/>
      <c r="D25" s="13"/>
      <c r="E25" s="13"/>
      <c r="F25" s="16"/>
      <c r="G25" s="13"/>
      <c r="H25" s="13"/>
      <c r="I25" s="13"/>
      <c r="J25" s="13"/>
      <c r="K25" s="13"/>
      <c r="L25" s="14"/>
      <c r="M25" s="15"/>
      <c r="N25" s="67"/>
      <c r="O25" s="67"/>
      <c r="P25" s="67"/>
      <c r="Q25" s="67"/>
    </row>
    <row r="26" spans="1:17" s="2" customFormat="1" ht="24.6" customHeight="1" thickBot="1" x14ac:dyDescent="0.3">
      <c r="A26" s="12"/>
      <c r="B26" s="268"/>
      <c r="C26" s="268"/>
      <c r="D26" s="268"/>
      <c r="E26" s="268"/>
      <c r="F26" s="269"/>
      <c r="G26" s="268"/>
      <c r="H26" s="268"/>
      <c r="I26" s="268"/>
      <c r="J26" s="268"/>
      <c r="K26" s="268"/>
      <c r="L26" s="270"/>
      <c r="M26" s="15"/>
      <c r="N26" s="67"/>
      <c r="O26" s="67"/>
      <c r="P26" s="67"/>
      <c r="Q26" s="67"/>
    </row>
    <row r="27" spans="1:17" x14ac:dyDescent="0.3">
      <c r="A27" s="272" t="s">
        <v>307</v>
      </c>
      <c r="B27" s="273"/>
      <c r="C27" s="273"/>
      <c r="D27" s="273"/>
      <c r="E27" s="273"/>
      <c r="F27" s="273"/>
      <c r="G27" s="273"/>
      <c r="H27" s="273"/>
      <c r="I27" s="273"/>
      <c r="J27" s="273"/>
      <c r="K27" s="273"/>
      <c r="L27" s="273"/>
      <c r="M27" s="273"/>
      <c r="N27" s="273"/>
      <c r="O27" s="273"/>
      <c r="P27" s="274"/>
    </row>
    <row r="28" spans="1:17" ht="24" customHeight="1" x14ac:dyDescent="0.3">
      <c r="A28" s="275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6"/>
    </row>
    <row r="29" spans="1:17" ht="24" customHeight="1" x14ac:dyDescent="0.3">
      <c r="A29" s="275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6"/>
    </row>
    <row r="30" spans="1:17" ht="24" customHeight="1" x14ac:dyDescent="0.3">
      <c r="A30" s="275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6"/>
    </row>
    <row r="31" spans="1:17" ht="24" customHeight="1" x14ac:dyDescent="0.3">
      <c r="A31" s="275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6"/>
    </row>
    <row r="32" spans="1:17" ht="24" customHeight="1" thickBot="1" x14ac:dyDescent="0.35">
      <c r="A32" s="277"/>
      <c r="B32" s="278"/>
      <c r="C32" s="278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278"/>
      <c r="P32" s="279"/>
    </row>
    <row r="33" ht="55.5" customHeight="1" x14ac:dyDescent="0.3"/>
    <row r="34" ht="55.5" customHeight="1" x14ac:dyDescent="0.3"/>
  </sheetData>
  <mergeCells count="19">
    <mergeCell ref="A3:A5"/>
    <mergeCell ref="B5:M5"/>
    <mergeCell ref="F18:G18"/>
    <mergeCell ref="F19:G19"/>
    <mergeCell ref="D1:J2"/>
    <mergeCell ref="A6:B6"/>
    <mergeCell ref="F3:K3"/>
    <mergeCell ref="F21:G21"/>
    <mergeCell ref="F22:G22"/>
    <mergeCell ref="F23:G23"/>
    <mergeCell ref="A1:C2"/>
    <mergeCell ref="A27:P32"/>
    <mergeCell ref="K1:M1"/>
    <mergeCell ref="F24:G24"/>
    <mergeCell ref="D6:E6"/>
    <mergeCell ref="F6:G6"/>
    <mergeCell ref="B4:D4"/>
    <mergeCell ref="F20:G20"/>
    <mergeCell ref="E4:M4"/>
  </mergeCells>
  <dataValidations count="1">
    <dataValidation type="custom" allowBlank="1" showInputMessage="1" showErrorMessage="1" errorTitle="Coordenadas no válidas" error="Use el formato decimal latitud, longitud con punto decimal. Ejemplo: 11.251133, -73.127307" sqref="C9:C16" xr:uid="{1A4046AF-AC49-4C0D-85EA-1C9D514C40C4}">
      <formula1>OR(C9="",IFERROR(AND(ABS(_xlfn.NUMBERVALUE(LEFT(C9,FIND(",",C9)-1),".",""))&lt;=90,ABS(_xlfn.NUMBERVALUE(MID(C9,FIND(",",C9)+1,30),".",""))&lt;=180),FALSE))</formula1>
    </dataValidation>
  </dataValidations>
  <hyperlinks>
    <hyperlink ref="N9" r:id="rId1" xr:uid="{4E62647D-6DDA-48E0-8358-1858F880D468}"/>
    <hyperlink ref="N10" r:id="rId2" xr:uid="{B2480131-3BE6-44BF-B58B-E0F6F83722F4}"/>
    <hyperlink ref="N11" r:id="rId3" xr:uid="{35ED52A0-FAF6-4130-BA06-A377C6707338}"/>
    <hyperlink ref="N12" r:id="rId4" xr:uid="{A9CCB0AA-8857-450E-A2A9-7667A2F87669}"/>
    <hyperlink ref="N13" r:id="rId5" xr:uid="{0988E070-3759-4D7A-B9F5-FD031C8EF4EC}"/>
    <hyperlink ref="N14" r:id="rId6" xr:uid="{9020D98F-E687-445C-9200-5C1A813A5E93}"/>
    <hyperlink ref="N15" r:id="rId7" xr:uid="{A40FC15C-4B0C-4451-AB27-D83CD1B84CEF}"/>
    <hyperlink ref="N16" r:id="rId8" xr:uid="{44873FCB-9157-4494-A621-CBE8FFF8E4BA}"/>
    <hyperlink ref="C9" r:id="rId9" tooltip="Abrir en Google Earth" xr:uid="{C78D6A54-BF75-4B10-A62C-B7980FDD009F}"/>
    <hyperlink ref="C10" r:id="rId10" tooltip="Abrir en Google Earth" xr:uid="{E35F4058-2919-4907-B5E2-C74BBEDBB478}"/>
    <hyperlink ref="C11:C16" r:id="rId11" tooltip="Abrir en Google Earth" display="11.518410410351851, -72.95441972660828" xr:uid="{0DF1E123-A464-4474-BD43-5C52147B3385}"/>
  </hyperlinks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6227-84AD-4D1F-A5E7-3B5C43E0DEB8}">
  <dimension ref="A1:I40"/>
  <sheetViews>
    <sheetView topLeftCell="B1" workbookViewId="0">
      <selection activeCell="F13" sqref="F13"/>
    </sheetView>
  </sheetViews>
  <sheetFormatPr baseColWidth="10" defaultRowHeight="14.4" x14ac:dyDescent="0.3"/>
  <cols>
    <col min="1" max="1" width="77.77734375" style="2" customWidth="1"/>
    <col min="2" max="2" width="3.6640625" style="2" customWidth="1"/>
    <col min="3" max="6" width="20.33203125" style="2" customWidth="1"/>
    <col min="7" max="7" width="55.5546875" style="2" customWidth="1"/>
    <col min="8" max="8" width="3.6640625" style="2" customWidth="1"/>
    <col min="9" max="9" width="88.88671875" style="2" customWidth="1"/>
  </cols>
  <sheetData>
    <row r="1" spans="1:9" x14ac:dyDescent="0.3">
      <c r="A1" s="163" t="s">
        <v>203</v>
      </c>
      <c r="B1" s="163"/>
      <c r="C1" s="164" t="s">
        <v>206</v>
      </c>
      <c r="D1" s="164" t="s">
        <v>207</v>
      </c>
      <c r="E1" s="164" t="s">
        <v>208</v>
      </c>
      <c r="F1" s="164" t="s">
        <v>209</v>
      </c>
      <c r="G1" s="164" t="s">
        <v>210</v>
      </c>
      <c r="H1" s="163"/>
      <c r="I1" s="165" t="s">
        <v>214</v>
      </c>
    </row>
    <row r="2" spans="1:9" x14ac:dyDescent="0.3">
      <c r="A2" s="163" t="s">
        <v>204</v>
      </c>
      <c r="B2" s="163"/>
      <c r="C2" s="163"/>
      <c r="D2" s="163"/>
      <c r="E2" s="163"/>
      <c r="F2" s="163"/>
      <c r="G2" s="163"/>
      <c r="H2" s="163"/>
      <c r="I2" s="163" t="s">
        <v>221</v>
      </c>
    </row>
    <row r="3" spans="1:9" x14ac:dyDescent="0.3">
      <c r="A3" s="163" t="s">
        <v>205</v>
      </c>
      <c r="B3" s="163"/>
      <c r="C3" s="163"/>
      <c r="D3" s="163"/>
      <c r="E3" s="163"/>
      <c r="F3" s="163"/>
      <c r="G3" s="163"/>
      <c r="H3" s="163"/>
      <c r="I3" s="163" t="s">
        <v>215</v>
      </c>
    </row>
    <row r="4" spans="1:9" x14ac:dyDescent="0.3">
      <c r="A4" s="163" t="str">
        <f>IF(D4="","","&lt;Placemark&gt;&lt;name&gt;"&amp;C4&amp;"&lt;/name&gt;&lt;description&gt;"&amp;G4&amp;"&lt;/description&gt;&lt;Point&gt;&lt;coordinates&gt;"&amp;F4&amp;","&amp;E4&amp;",0&lt;/coordinates&gt;&lt;/Point&gt;&lt;/Placemark&gt;")</f>
        <v>&lt;Placemark&gt;&lt;name&gt;PREDIO OBJETO&lt;/name&gt;&lt;description&gt;Predio objeto de avalúo&lt;/description&gt;&lt;Point&gt;&lt;coordinates&gt;-73.127307,11.251133,0&lt;/coordinates&gt;&lt;/Point&gt;&lt;/Placemark&gt;</v>
      </c>
      <c r="B4" s="163"/>
      <c r="C4" s="163" t="s">
        <v>211</v>
      </c>
      <c r="D4" s="163" t="str">
        <f>IFERROR(MID('MERCADO RURAL'!E4,FIND("Coord. ",'MERCADO RURAL'!E4)+7,40),"")</f>
        <v>11.251133, -73.127307</v>
      </c>
      <c r="E4" s="163" t="str">
        <f>IF(D4="","",TRIM(LEFT(D4,FIND(",",D4)-1)))</f>
        <v>11.251133</v>
      </c>
      <c r="F4" s="163" t="str">
        <f>IF(D4="","",TRIM(MID(D4,FIND(",",D4)+1,30)))</f>
        <v>-73.127307</v>
      </c>
      <c r="G4" s="163" t="s">
        <v>212</v>
      </c>
      <c r="H4" s="163"/>
      <c r="I4" s="163" t="s">
        <v>216</v>
      </c>
    </row>
    <row r="5" spans="1:9" x14ac:dyDescent="0.3">
      <c r="A5" s="163" t="str">
        <f>IF(OR(C5="",D5=""),"","&lt;Placemark&gt;&lt;name&gt;"&amp;C5&amp;"&lt;/name&gt;&lt;description&gt;"&amp;G5&amp;"&lt;/description&gt;&lt;Point&gt;&lt;coordinates&gt;"&amp;F5&amp;","&amp;E5&amp;",0&lt;/coordinates&gt;&lt;/Point&gt;&lt;/Placemark&gt;")</f>
        <v>&lt;Placemark&gt;&lt;name&gt;OFERTA 01&lt;/name&gt;&lt;description&gt;Dibulla, sobre Troncal del Caribe, cerca a Ciénaga de Mamavita / La Punta de los Remedios&lt;/description&gt;&lt;Point&gt;&lt;coordinates&gt;-73.30951554818634,11.27254658626432,0&lt;/coordinates&gt;&lt;/Point&gt;&lt;/Placemark&gt;</v>
      </c>
      <c r="B5" s="163"/>
      <c r="C5" s="163" t="str">
        <f>IF(9&gt;AUX_COMBINACIONES!$C$3,"",INDEX('MERCADO RURAL'!$Q:$Q,9))</f>
        <v>OFERTA 01</v>
      </c>
      <c r="D5" s="168" t="str">
        <f>IF(9&gt;AUX_COMBINACIONES!$C$3,"",IF(INDEX('MERCADO RURAL'!$C:$C,9)="","",TRIM(INDEX('MERCADO RURAL'!$C:$C,9))))</f>
        <v>11.27254658626432, -73.30951554818634</v>
      </c>
      <c r="E5" s="163" t="str">
        <f>IF(D5="","",TRIM(LEFT(D5,FIND(",",D5)-1)))</f>
        <v>11.27254658626432</v>
      </c>
      <c r="F5" s="163" t="str">
        <f>IF(D5="","",TRIM(MID(D5,FIND(",",D5)+1,30)))</f>
        <v>-73.30951554818634</v>
      </c>
      <c r="G5" s="163" t="str">
        <f>IF(C5="","",SUBSTITUTE(SUBSTITUTE(INDEX('MERCADO RURAL'!$B:$B,9),"&amp;","&amp;amp;"),"&lt;","&amp;lt;"))</f>
        <v>Dibulla, sobre Troncal del Caribe, cerca a Ciénaga de Mamavita / La Punta de los Remedios</v>
      </c>
      <c r="H5" s="163"/>
      <c r="I5" s="163" t="s">
        <v>217</v>
      </c>
    </row>
    <row r="6" spans="1:9" x14ac:dyDescent="0.3">
      <c r="A6" s="163" t="str">
        <f>IF(OR(C6="",D6=""),"","&lt;Placemark&gt;&lt;name&gt;"&amp;C6&amp;"&lt;/name&gt;&lt;description&gt;"&amp;G6&amp;"&lt;/description&gt;&lt;Point&gt;&lt;coordinates&gt;"&amp;F6&amp;","&amp;E6&amp;",0&lt;/coordinates&gt;&lt;/Point&gt;&lt;/Placemark&gt;")</f>
        <v>&lt;Placemark&gt;&lt;name&gt;OFERTA 02&lt;/name&gt;&lt;description&gt;Camarones II, sector Cachaca 1, Riohacha – frente a vía principal, ~800 m de la playa&lt;/description&gt;&lt;Point&gt;&lt;coordinates&gt;-72.95441972660828,11.518410410351851,0&lt;/coordinates&gt;&lt;/Point&gt;&lt;/Placemark&gt;</v>
      </c>
      <c r="B6" s="163"/>
      <c r="C6" s="163" t="str">
        <f>IF(10&gt;AUX_COMBINACIONES!$C$3,"",INDEX('MERCADO RURAL'!$Q:$Q,10))</f>
        <v>OFERTA 02</v>
      </c>
      <c r="D6" s="168" t="str">
        <f>IF(10&gt;AUX_COMBINACIONES!$C$3,"",IF(INDEX('MERCADO RURAL'!$C:$C,10)="","",TRIM(INDEX('MERCADO RURAL'!$C:$C,10))))</f>
        <v>11.518410410351851, -72.95441972660828</v>
      </c>
      <c r="E6" s="163" t="str">
        <f>IF(D6="","",TRIM(LEFT(D6,FIND(",",D6)-1)))</f>
        <v>11.518410410351851</v>
      </c>
      <c r="F6" s="163" t="str">
        <f>IF(D6="","",TRIM(MID(D6,FIND(",",D6)+1,30)))</f>
        <v>-72.95441972660828</v>
      </c>
      <c r="G6" s="163" t="str">
        <f>IF(C6="","",SUBSTITUTE(SUBSTITUTE(INDEX('MERCADO RURAL'!$B:$B,10),"&amp;","&amp;amp;"),"&lt;","&amp;lt;"))</f>
        <v>Camarones II, sector Cachaca 1, Riohacha – frente a vía principal, ~800 m de la playa</v>
      </c>
      <c r="H6" s="163"/>
      <c r="I6" s="163"/>
    </row>
    <row r="7" spans="1:9" x14ac:dyDescent="0.3">
      <c r="A7" s="163" t="str">
        <f>IF(OR(C7="",D7=""),"","&lt;Placemark&gt;&lt;name&gt;"&amp;C7&amp;"&lt;/name&gt;&lt;description&gt;"&amp;G7&amp;"&lt;/description&gt;&lt;Point&gt;&lt;coordinates&gt;"&amp;F7&amp;","&amp;E7&amp;",0&lt;/coordinates&gt;&lt;/Point&gt;&lt;/Placemark&gt;")</f>
        <v>&lt;Placemark&gt;&lt;name&gt;OFERTA 03&lt;/name&gt;&lt;description&gt;La Guija, a 5 km de El Retiro, Riohacha (vía destapada)&lt;/description&gt;&lt;Point&gt;&lt;coordinates&gt;-72.95441972660828,11.518410410351851,0&lt;/coordinates&gt;&lt;/Point&gt;&lt;/Placemark&gt;</v>
      </c>
      <c r="B7" s="163"/>
      <c r="C7" s="163" t="str">
        <f>IF(11&gt;AUX_COMBINACIONES!$C$3,"",INDEX('MERCADO RURAL'!$Q:$Q,11))</f>
        <v>OFERTA 03</v>
      </c>
      <c r="D7" s="168" t="str">
        <f>IF(11&gt;AUX_COMBINACIONES!$C$3,"",IF(INDEX('MERCADO RURAL'!$C:$C,11)="","",TRIM(INDEX('MERCADO RURAL'!$C:$C,11))))</f>
        <v>11.518410410351851, -72.95441972660828</v>
      </c>
      <c r="E7" s="163" t="str">
        <f>IF(D7="","",TRIM(LEFT(D7,FIND(",",D7)-1)))</f>
        <v>11.518410410351851</v>
      </c>
      <c r="F7" s="163" t="str">
        <f>IF(D7="","",TRIM(MID(D7,FIND(",",D7)+1,30)))</f>
        <v>-72.95441972660828</v>
      </c>
      <c r="G7" s="163" t="str">
        <f>IF(C7="","",SUBSTITUTE(SUBSTITUTE(INDEX('MERCADO RURAL'!$B:$B,11),"&amp;","&amp;amp;"),"&lt;","&amp;lt;"))</f>
        <v>La Guija, a 5 km de El Retiro, Riohacha (vía destapada)</v>
      </c>
      <c r="H7" s="163"/>
      <c r="I7" s="163"/>
    </row>
    <row r="8" spans="1:9" x14ac:dyDescent="0.3">
      <c r="A8" s="163" t="str">
        <f>IF(OR(C8="",D8=""),"","&lt;Placemark&gt;&lt;name&gt;"&amp;C8&amp;"&lt;/name&gt;&lt;description&gt;"&amp;G8&amp;"&lt;/description&gt;&lt;Point&gt;&lt;coordinates&gt;"&amp;F8&amp;","&amp;E8&amp;",0&lt;/coordinates&gt;&lt;/Point&gt;&lt;/Placemark&gt;")</f>
        <v>&lt;Placemark&gt;&lt;name&gt;OFERTA 04&lt;/name&gt;&lt;description&gt;Riohacha, frente al mar (~40 m de playa)&lt;/description&gt;&lt;Point&gt;&lt;coordinates&gt;-72.95441972660828,11.518410410351851,0&lt;/coordinates&gt;&lt;/Point&gt;&lt;/Placemark&gt;</v>
      </c>
      <c r="B8" s="163"/>
      <c r="C8" s="163" t="str">
        <f>IF(12&gt;AUX_COMBINACIONES!$C$3,"",INDEX('MERCADO RURAL'!$Q:$Q,12))</f>
        <v>OFERTA 04</v>
      </c>
      <c r="D8" s="168" t="str">
        <f>IF(12&gt;AUX_COMBINACIONES!$C$3,"",IF(INDEX('MERCADO RURAL'!$C:$C,12)="","",TRIM(INDEX('MERCADO RURAL'!$C:$C,12))))</f>
        <v>11.518410410351851, -72.95441972660828</v>
      </c>
      <c r="E8" s="163" t="str">
        <f>IF(D8="","",TRIM(LEFT(D8,FIND(",",D8)-1)))</f>
        <v>11.518410410351851</v>
      </c>
      <c r="F8" s="163" t="str">
        <f>IF(D8="","",TRIM(MID(D8,FIND(",",D8)+1,30)))</f>
        <v>-72.95441972660828</v>
      </c>
      <c r="G8" s="163" t="str">
        <f>IF(C8="","",SUBSTITUTE(SUBSTITUTE(INDEX('MERCADO RURAL'!$B:$B,12),"&amp;","&amp;amp;"),"&lt;","&amp;lt;"))</f>
        <v>Riohacha, frente al mar (~40 m de playa)</v>
      </c>
      <c r="H8" s="163"/>
      <c r="I8" s="163"/>
    </row>
    <row r="9" spans="1:9" x14ac:dyDescent="0.3">
      <c r="A9" s="163" t="str">
        <f>IF(OR(C9="",D9=""),"","&lt;Placemark&gt;&lt;name&gt;"&amp;C9&amp;"&lt;/name&gt;&lt;description&gt;"&amp;G9&amp;"&lt;/description&gt;&lt;Point&gt;&lt;coordinates&gt;"&amp;F9&amp;","&amp;E9&amp;",0&lt;/coordinates&gt;&lt;/Point&gt;&lt;/Placemark&gt;")</f>
        <v>&lt;Placemark&gt;&lt;name&gt;OFERTA 05&lt;/name&gt;&lt;description&gt;Chingale / Mingueo, Dibulla – 250 m de frente de playa&lt;/description&gt;&lt;Point&gt;&lt;coordinates&gt;-72.95441972660828,11.518410410351851,0&lt;/coordinates&gt;&lt;/Point&gt;&lt;/Placemark&gt;</v>
      </c>
      <c r="B9" s="163"/>
      <c r="C9" s="163" t="str">
        <f>IF(13&gt;AUX_COMBINACIONES!$C$3,"",INDEX('MERCADO RURAL'!$Q:$Q,13))</f>
        <v>OFERTA 05</v>
      </c>
      <c r="D9" s="168" t="str">
        <f>IF(13&gt;AUX_COMBINACIONES!$C$3,"",IF(INDEX('MERCADO RURAL'!$C:$C,13)="","",TRIM(INDEX('MERCADO RURAL'!$C:$C,13))))</f>
        <v>11.518410410351851, -72.95441972660828</v>
      </c>
      <c r="E9" s="163" t="str">
        <f>IF(D9="","",TRIM(LEFT(D9,FIND(",",D9)-1)))</f>
        <v>11.518410410351851</v>
      </c>
      <c r="F9" s="163" t="str">
        <f>IF(D9="","",TRIM(MID(D9,FIND(",",D9)+1,30)))</f>
        <v>-72.95441972660828</v>
      </c>
      <c r="G9" s="163" t="str">
        <f>IF(C9="","",SUBSTITUTE(SUBSTITUTE(INDEX('MERCADO RURAL'!$B:$B,13),"&amp;","&amp;amp;"),"&lt;","&amp;lt;"))</f>
        <v>Chingale / Mingueo, Dibulla – 250 m de frente de playa</v>
      </c>
      <c r="H9" s="163"/>
      <c r="I9" s="163"/>
    </row>
    <row r="10" spans="1:9" x14ac:dyDescent="0.3">
      <c r="A10" s="163" t="str">
        <f>IF(OR(C10="",D10=""),"","&lt;Placemark&gt;&lt;name&gt;"&amp;C10&amp;"&lt;/name&gt;&lt;description&gt;"&amp;G10&amp;"&lt;/description&gt;&lt;Point&gt;&lt;coordinates&gt;"&amp;F10&amp;","&amp;E10&amp;",0&lt;/coordinates&gt;&lt;/Point&gt;&lt;/Placemark&gt;")</f>
        <v>&lt;Placemark&gt;&lt;name&gt;OFERTA 06&lt;/name&gt;&lt;description&gt;Palomino, Dibulla – 25 m de frente de playa × 400 m&lt;/description&gt;&lt;Point&gt;&lt;coordinates&gt;-72.95441972660828,11.518410410351851,0&lt;/coordinates&gt;&lt;/Point&gt;&lt;/Placemark&gt;</v>
      </c>
      <c r="B10" s="163"/>
      <c r="C10" s="163" t="str">
        <f>IF(14&gt;AUX_COMBINACIONES!$C$3,"",INDEX('MERCADO RURAL'!$Q:$Q,14))</f>
        <v>OFERTA 06</v>
      </c>
      <c r="D10" s="168" t="str">
        <f>IF(14&gt;AUX_COMBINACIONES!$C$3,"",IF(INDEX('MERCADO RURAL'!$C:$C,14)="","",TRIM(INDEX('MERCADO RURAL'!$C:$C,14))))</f>
        <v>11.518410410351851, -72.95441972660828</v>
      </c>
      <c r="E10" s="163" t="str">
        <f>IF(D10="","",TRIM(LEFT(D10,FIND(",",D10)-1)))</f>
        <v>11.518410410351851</v>
      </c>
      <c r="F10" s="163" t="str">
        <f>IF(D10="","",TRIM(MID(D10,FIND(",",D10)+1,30)))</f>
        <v>-72.95441972660828</v>
      </c>
      <c r="G10" s="163" t="str">
        <f>IF(C10="","",SUBSTITUTE(SUBSTITUTE(INDEX('MERCADO RURAL'!$B:$B,14),"&amp;","&amp;amp;"),"&lt;","&amp;lt;"))</f>
        <v>Palomino, Dibulla – 25 m de frente de playa × 400 m</v>
      </c>
      <c r="H10" s="163"/>
      <c r="I10" s="163"/>
    </row>
    <row r="11" spans="1:9" x14ac:dyDescent="0.3">
      <c r="A11" s="163" t="str">
        <f>IF(OR(C11="",D11=""),"","&lt;Placemark&gt;&lt;name&gt;"&amp;C11&amp;"&lt;/name&gt;&lt;description&gt;"&amp;G11&amp;"&lt;/description&gt;&lt;Point&gt;&lt;coordinates&gt;"&amp;F11&amp;","&amp;E11&amp;",0&lt;/coordinates&gt;&lt;/Point&gt;&lt;/Placemark&gt;")</f>
        <v>&lt;Placemark&gt;&lt;name&gt;OFERTA 07&lt;/name&gt;&lt;description&gt;Estribaciones Sierra Nevada, Riohacha – 10 min del mar, riego en 12 ha, 2 casas&lt;/description&gt;&lt;Point&gt;&lt;coordinates&gt;-72.95441972660828,11.518410410351851,0&lt;/coordinates&gt;&lt;/Point&gt;&lt;/Placemark&gt;</v>
      </c>
      <c r="B11" s="163"/>
      <c r="C11" s="163" t="str">
        <f>IF(15&gt;AUX_COMBINACIONES!$C$3,"",INDEX('MERCADO RURAL'!$Q:$Q,15))</f>
        <v>OFERTA 07</v>
      </c>
      <c r="D11" s="168" t="str">
        <f>IF(15&gt;AUX_COMBINACIONES!$C$3,"",IF(INDEX('MERCADO RURAL'!$C:$C,15)="","",TRIM(INDEX('MERCADO RURAL'!$C:$C,15))))</f>
        <v>11.518410410351851, -72.95441972660828</v>
      </c>
      <c r="E11" s="163" t="str">
        <f>IF(D11="","",TRIM(LEFT(D11,FIND(",",D11)-1)))</f>
        <v>11.518410410351851</v>
      </c>
      <c r="F11" s="163" t="str">
        <f>IF(D11="","",TRIM(MID(D11,FIND(",",D11)+1,30)))</f>
        <v>-72.95441972660828</v>
      </c>
      <c r="G11" s="163" t="str">
        <f>IF(C11="","",SUBSTITUTE(SUBSTITUTE(INDEX('MERCADO RURAL'!$B:$B,15),"&amp;","&amp;amp;"),"&lt;","&amp;lt;"))</f>
        <v>Estribaciones Sierra Nevada, Riohacha – 10 min del mar, riego en 12 ha, 2 casas</v>
      </c>
      <c r="H11" s="163"/>
      <c r="I11" s="163"/>
    </row>
    <row r="12" spans="1:9" x14ac:dyDescent="0.3">
      <c r="A12" s="163" t="str">
        <f>IF(OR(C12="",D12=""),"","&lt;Placemark&gt;&lt;name&gt;"&amp;C12&amp;"&lt;/name&gt;&lt;description&gt;"&amp;G12&amp;"&lt;/description&gt;&lt;Point&gt;&lt;coordinates&gt;"&amp;F12&amp;","&amp;E12&amp;",0&lt;/coordinates&gt;&lt;/Point&gt;&lt;/Placemark&gt;")</f>
        <v>&lt;Placemark&gt;&lt;name&gt;OFERTA 08&lt;/name&gt;&lt;description&gt;Riohacha – "lotes para proyectos turísticos", mínimo 50 ha&lt;/description&gt;&lt;Point&gt;&lt;coordinates&gt;-72.95441972660828,11.518410410351851,0&lt;/coordinates&gt;&lt;/Point&gt;&lt;/Placemark&gt;</v>
      </c>
      <c r="B12" s="163"/>
      <c r="C12" s="163" t="str">
        <f>IF(16&gt;AUX_COMBINACIONES!$C$3,"",INDEX('MERCADO RURAL'!$Q:$Q,16))</f>
        <v>OFERTA 08</v>
      </c>
      <c r="D12" s="168" t="str">
        <f>IF(16&gt;AUX_COMBINACIONES!$C$3,"",IF(INDEX('MERCADO RURAL'!$C:$C,16)="","",TRIM(INDEX('MERCADO RURAL'!$C:$C,16))))</f>
        <v>11.518410410351851, -72.95441972660828</v>
      </c>
      <c r="E12" s="163" t="str">
        <f>IF(D12="","",TRIM(LEFT(D12,FIND(",",D12)-1)))</f>
        <v>11.518410410351851</v>
      </c>
      <c r="F12" s="163" t="str">
        <f>IF(D12="","",TRIM(MID(D12,FIND(",",D12)+1,30)))</f>
        <v>-72.95441972660828</v>
      </c>
      <c r="G12" s="163" t="str">
        <f>IF(C12="","",SUBSTITUTE(SUBSTITUTE(INDEX('MERCADO RURAL'!$B:$B,16),"&amp;","&amp;amp;"),"&lt;","&amp;lt;"))</f>
        <v>Riohacha – "lotes para proyectos turísticos", mínimo 50 ha</v>
      </c>
      <c r="H12" s="163"/>
      <c r="I12" s="163"/>
    </row>
    <row r="13" spans="1:9" x14ac:dyDescent="0.3">
      <c r="A13" s="163" t="str">
        <f>IF(OR(C13="",D13=""),"","&lt;Placemark&gt;&lt;name&gt;"&amp;C13&amp;"&lt;/name&gt;&lt;description&gt;"&amp;G13&amp;"&lt;/description&gt;&lt;Point&gt;&lt;coordinates&gt;"&amp;F13&amp;","&amp;E13&amp;",0&lt;/coordinates&gt;&lt;/Point&gt;&lt;/Placemark&gt;")</f>
        <v/>
      </c>
      <c r="B13" s="163"/>
      <c r="C13" s="163">
        <f>IF(17&gt;AUX_COMBINACIONES!$C$3,"",INDEX('MERCADO RURAL'!$Q:$Q,17))</f>
        <v>0</v>
      </c>
      <c r="D13" s="168" t="str">
        <f>IF(17&gt;AUX_COMBINACIONES!$C$3,"",IF(INDEX('MERCADO RURAL'!$C:$C,17)="","",TRIM(INDEX('MERCADO RURAL'!$C:$C,17))))</f>
        <v/>
      </c>
      <c r="E13" s="163" t="str">
        <f>IF(D13="","",TRIM(LEFT(D13,FIND(",",D13)-1)))</f>
        <v/>
      </c>
      <c r="F13" s="163" t="str">
        <f>IF(D13="","",TRIM(MID(D13,FIND(",",D13)+1,30)))</f>
        <v/>
      </c>
      <c r="G13" s="163" t="str">
        <f>IF(C13="","",SUBSTITUTE(SUBSTITUTE(INDEX('MERCADO RURAL'!$B:$B,17),"&amp;","&amp;amp;"),"&lt;","&amp;lt;"))</f>
        <v/>
      </c>
      <c r="H13" s="163"/>
      <c r="I13" s="163"/>
    </row>
    <row r="14" spans="1:9" x14ac:dyDescent="0.3">
      <c r="A14" s="163" t="str">
        <f>IF(OR(C14="",D14=""),"","&lt;Placemark&gt;&lt;name&gt;"&amp;C14&amp;"&lt;/name&gt;&lt;description&gt;"&amp;G14&amp;"&lt;/description&gt;&lt;Point&gt;&lt;coordinates&gt;"&amp;F14&amp;","&amp;E14&amp;",0&lt;/coordinates&gt;&lt;/Point&gt;&lt;/Placemark&gt;")</f>
        <v/>
      </c>
      <c r="B14" s="163"/>
      <c r="C14" s="163" t="str">
        <f>IF(18&gt;AUX_COMBINACIONES!$C$3,"",INDEX('MERCADO RURAL'!$Q:$Q,18))</f>
        <v/>
      </c>
      <c r="D14" s="168" t="str">
        <f>IF(18&gt;AUX_COMBINACIONES!$C$3,"",IF(INDEX('MERCADO RURAL'!$C:$C,18)="","",TRIM(INDEX('MERCADO RURAL'!$C:$C,18))))</f>
        <v/>
      </c>
      <c r="E14" s="163" t="str">
        <f>IF(D14="","",TRIM(LEFT(D14,FIND(",",D14)-1)))</f>
        <v/>
      </c>
      <c r="F14" s="163" t="str">
        <f>IF(D14="","",TRIM(MID(D14,FIND(",",D14)+1,30)))</f>
        <v/>
      </c>
      <c r="G14" s="163" t="str">
        <f>IF(C14="","",SUBSTITUTE(SUBSTITUTE(INDEX('MERCADO RURAL'!$B:$B,18),"&amp;","&amp;amp;"),"&lt;","&amp;lt;"))</f>
        <v/>
      </c>
      <c r="H14" s="163"/>
      <c r="I14" s="163"/>
    </row>
    <row r="15" spans="1:9" x14ac:dyDescent="0.3">
      <c r="A15" s="163" t="str">
        <f>IF(OR(C15="",D15=""),"","&lt;Placemark&gt;&lt;name&gt;"&amp;C15&amp;"&lt;/name&gt;&lt;description&gt;"&amp;G15&amp;"&lt;/description&gt;&lt;Point&gt;&lt;coordinates&gt;"&amp;F15&amp;","&amp;E15&amp;",0&lt;/coordinates&gt;&lt;/Point&gt;&lt;/Placemark&gt;")</f>
        <v/>
      </c>
      <c r="B15" s="163"/>
      <c r="C15" s="163" t="str">
        <f>IF(19&gt;AUX_COMBINACIONES!$C$3,"",INDEX('MERCADO RURAL'!$Q:$Q,19))</f>
        <v/>
      </c>
      <c r="D15" s="168" t="str">
        <f>IF(19&gt;AUX_COMBINACIONES!$C$3,"",IF(INDEX('MERCADO RURAL'!$C:$C,19)="","",TRIM(INDEX('MERCADO RURAL'!$C:$C,19))))</f>
        <v/>
      </c>
      <c r="E15" s="163" t="str">
        <f>IF(D15="","",TRIM(LEFT(D15,FIND(",",D15)-1)))</f>
        <v/>
      </c>
      <c r="F15" s="163" t="str">
        <f>IF(D15="","",TRIM(MID(D15,FIND(",",D15)+1,30)))</f>
        <v/>
      </c>
      <c r="G15" s="163" t="str">
        <f>IF(C15="","",SUBSTITUTE(SUBSTITUTE(INDEX('MERCADO RURAL'!$B:$B,19),"&amp;","&amp;amp;"),"&lt;","&amp;lt;"))</f>
        <v/>
      </c>
      <c r="H15" s="163"/>
      <c r="I15" s="163"/>
    </row>
    <row r="16" spans="1:9" x14ac:dyDescent="0.3">
      <c r="A16" s="163" t="str">
        <f>IF(OR(C16="",D16=""),"","&lt;Placemark&gt;&lt;name&gt;"&amp;C16&amp;"&lt;/name&gt;&lt;description&gt;"&amp;G16&amp;"&lt;/description&gt;&lt;Point&gt;&lt;coordinates&gt;"&amp;F16&amp;","&amp;E16&amp;",0&lt;/coordinates&gt;&lt;/Point&gt;&lt;/Placemark&gt;")</f>
        <v/>
      </c>
      <c r="B16" s="163"/>
      <c r="C16" s="163" t="str">
        <f>IF(20&gt;AUX_COMBINACIONES!$C$3,"",INDEX('MERCADO RURAL'!$Q:$Q,20))</f>
        <v/>
      </c>
      <c r="D16" s="168" t="str">
        <f>IF(20&gt;AUX_COMBINACIONES!$C$3,"",IF(INDEX('MERCADO RURAL'!$C:$C,20)="","",TRIM(INDEX('MERCADO RURAL'!$C:$C,20))))</f>
        <v/>
      </c>
      <c r="E16" s="163" t="str">
        <f>IF(D16="","",TRIM(LEFT(D16,FIND(",",D16)-1)))</f>
        <v/>
      </c>
      <c r="F16" s="163" t="str">
        <f>IF(D16="","",TRIM(MID(D16,FIND(",",D16)+1,30)))</f>
        <v/>
      </c>
      <c r="G16" s="163" t="str">
        <f>IF(C16="","",SUBSTITUTE(SUBSTITUTE(INDEX('MERCADO RURAL'!$B:$B,20),"&amp;","&amp;amp;"),"&lt;","&amp;lt;"))</f>
        <v/>
      </c>
      <c r="H16" s="163"/>
      <c r="I16" s="163"/>
    </row>
    <row r="17" spans="1:9" x14ac:dyDescent="0.3">
      <c r="A17" s="163" t="str">
        <f>IF(OR(C17="",D17=""),"","&lt;Placemark&gt;&lt;name&gt;"&amp;C17&amp;"&lt;/name&gt;&lt;description&gt;"&amp;G17&amp;"&lt;/description&gt;&lt;Point&gt;&lt;coordinates&gt;"&amp;F17&amp;","&amp;E17&amp;",0&lt;/coordinates&gt;&lt;/Point&gt;&lt;/Placemark&gt;")</f>
        <v/>
      </c>
      <c r="B17" s="163"/>
      <c r="C17" s="163" t="str">
        <f>IF(21&gt;AUX_COMBINACIONES!$C$3,"",INDEX('MERCADO RURAL'!$Q:$Q,21))</f>
        <v/>
      </c>
      <c r="D17" s="168" t="str">
        <f>IF(21&gt;AUX_COMBINACIONES!$C$3,"",IF(INDEX('MERCADO RURAL'!$C:$C,21)="","",TRIM(INDEX('MERCADO RURAL'!$C:$C,21))))</f>
        <v/>
      </c>
      <c r="E17" s="163" t="str">
        <f>IF(D17="","",TRIM(LEFT(D17,FIND(",",D17)-1)))</f>
        <v/>
      </c>
      <c r="F17" s="163" t="str">
        <f>IF(D17="","",TRIM(MID(D17,FIND(",",D17)+1,30)))</f>
        <v/>
      </c>
      <c r="G17" s="163" t="str">
        <f>IF(C17="","",SUBSTITUTE(SUBSTITUTE(INDEX('MERCADO RURAL'!$B:$B,21),"&amp;","&amp;amp;"),"&lt;","&amp;lt;"))</f>
        <v/>
      </c>
      <c r="H17" s="163"/>
      <c r="I17" s="163"/>
    </row>
    <row r="18" spans="1:9" x14ac:dyDescent="0.3">
      <c r="A18" s="163" t="str">
        <f>IF(OR(C18="",D18=""),"","&lt;Placemark&gt;&lt;name&gt;"&amp;C18&amp;"&lt;/name&gt;&lt;description&gt;"&amp;G18&amp;"&lt;/description&gt;&lt;Point&gt;&lt;coordinates&gt;"&amp;F18&amp;","&amp;E18&amp;",0&lt;/coordinates&gt;&lt;/Point&gt;&lt;/Placemark&gt;")</f>
        <v/>
      </c>
      <c r="B18" s="163"/>
      <c r="C18" s="163" t="str">
        <f>IF(22&gt;AUX_COMBINACIONES!$C$3,"",INDEX('MERCADO RURAL'!$Q:$Q,22))</f>
        <v/>
      </c>
      <c r="D18" s="168" t="str">
        <f>IF(22&gt;AUX_COMBINACIONES!$C$3,"",IF(INDEX('MERCADO RURAL'!$C:$C,22)="","",TRIM(INDEX('MERCADO RURAL'!$C:$C,22))))</f>
        <v/>
      </c>
      <c r="E18" s="163" t="str">
        <f>IF(D18="","",TRIM(LEFT(D18,FIND(",",D18)-1)))</f>
        <v/>
      </c>
      <c r="F18" s="163" t="str">
        <f>IF(D18="","",TRIM(MID(D18,FIND(",",D18)+1,30)))</f>
        <v/>
      </c>
      <c r="G18" s="163" t="str">
        <f>IF(C18="","",SUBSTITUTE(SUBSTITUTE(INDEX('MERCADO RURAL'!$B:$B,22),"&amp;","&amp;amp;"),"&lt;","&amp;lt;"))</f>
        <v/>
      </c>
      <c r="H18" s="163"/>
      <c r="I18" s="163"/>
    </row>
    <row r="19" spans="1:9" x14ac:dyDescent="0.3">
      <c r="A19" s="163" t="str">
        <f>IF(OR(C19="",D19=""),"","&lt;Placemark&gt;&lt;name&gt;"&amp;C19&amp;"&lt;/name&gt;&lt;description&gt;"&amp;G19&amp;"&lt;/description&gt;&lt;Point&gt;&lt;coordinates&gt;"&amp;F19&amp;","&amp;E19&amp;",0&lt;/coordinates&gt;&lt;/Point&gt;&lt;/Placemark&gt;")</f>
        <v/>
      </c>
      <c r="B19" s="163"/>
      <c r="C19" s="163" t="str">
        <f>IF(23&gt;AUX_COMBINACIONES!$C$3,"",INDEX('MERCADO RURAL'!$Q:$Q,23))</f>
        <v/>
      </c>
      <c r="D19" s="168" t="str">
        <f>IF(23&gt;AUX_COMBINACIONES!$C$3,"",IF(INDEX('MERCADO RURAL'!$C:$C,23)="","",TRIM(INDEX('MERCADO RURAL'!$C:$C,23))))</f>
        <v/>
      </c>
      <c r="E19" s="163" t="str">
        <f>IF(D19="","",TRIM(LEFT(D19,FIND(",",D19)-1)))</f>
        <v/>
      </c>
      <c r="F19" s="163" t="str">
        <f>IF(D19="","",TRIM(MID(D19,FIND(",",D19)+1,30)))</f>
        <v/>
      </c>
      <c r="G19" s="163" t="str">
        <f>IF(C19="","",SUBSTITUTE(SUBSTITUTE(INDEX('MERCADO RURAL'!$B:$B,23),"&amp;","&amp;amp;"),"&lt;","&amp;lt;"))</f>
        <v/>
      </c>
      <c r="H19" s="163"/>
      <c r="I19" s="163"/>
    </row>
    <row r="20" spans="1:9" x14ac:dyDescent="0.3">
      <c r="A20" s="163" t="str">
        <f>IF(OR(C20="",D20=""),"","&lt;Placemark&gt;&lt;name&gt;"&amp;C20&amp;"&lt;/name&gt;&lt;description&gt;"&amp;G20&amp;"&lt;/description&gt;&lt;Point&gt;&lt;coordinates&gt;"&amp;F20&amp;","&amp;E20&amp;",0&lt;/coordinates&gt;&lt;/Point&gt;&lt;/Placemark&gt;")</f>
        <v/>
      </c>
      <c r="B20" s="163"/>
      <c r="C20" s="163" t="str">
        <f>IF(24&gt;AUX_COMBINACIONES!$C$3,"",INDEX('MERCADO RURAL'!$Q:$Q,24))</f>
        <v/>
      </c>
      <c r="D20" s="168" t="str">
        <f>IF(24&gt;AUX_COMBINACIONES!$C$3,"",IF(INDEX('MERCADO RURAL'!$C:$C,24)="","",TRIM(INDEX('MERCADO RURAL'!$C:$C,24))))</f>
        <v/>
      </c>
      <c r="E20" s="163" t="str">
        <f>IF(D20="","",TRIM(LEFT(D20,FIND(",",D20)-1)))</f>
        <v/>
      </c>
      <c r="F20" s="163" t="str">
        <f>IF(D20="","",TRIM(MID(D20,FIND(",",D20)+1,30)))</f>
        <v/>
      </c>
      <c r="G20" s="163" t="str">
        <f>IF(C20="","",SUBSTITUTE(SUBSTITUTE(INDEX('MERCADO RURAL'!$B:$B,24),"&amp;","&amp;amp;"),"&lt;","&amp;lt;"))</f>
        <v/>
      </c>
      <c r="H20" s="163"/>
      <c r="I20" s="163"/>
    </row>
    <row r="21" spans="1:9" x14ac:dyDescent="0.3">
      <c r="A21" s="163" t="str">
        <f>IF(OR(C21="",D21=""),"","&lt;Placemark&gt;&lt;name&gt;"&amp;C21&amp;"&lt;/name&gt;&lt;description&gt;"&amp;G21&amp;"&lt;/description&gt;&lt;Point&gt;&lt;coordinates&gt;"&amp;F21&amp;","&amp;E21&amp;",0&lt;/coordinates&gt;&lt;/Point&gt;&lt;/Placemark&gt;")</f>
        <v/>
      </c>
      <c r="B21" s="163"/>
      <c r="C21" s="163" t="str">
        <f>IF(25&gt;AUX_COMBINACIONES!$C$3,"",INDEX('MERCADO RURAL'!$Q:$Q,25))</f>
        <v/>
      </c>
      <c r="D21" s="168" t="str">
        <f>IF(25&gt;AUX_COMBINACIONES!$C$3,"",IF(INDEX('MERCADO RURAL'!$C:$C,25)="","",TRIM(INDEX('MERCADO RURAL'!$C:$C,25))))</f>
        <v/>
      </c>
      <c r="E21" s="163" t="str">
        <f>IF(D21="","",TRIM(LEFT(D21,FIND(",",D21)-1)))</f>
        <v/>
      </c>
      <c r="F21" s="163" t="str">
        <f>IF(D21="","",TRIM(MID(D21,FIND(",",D21)+1,30)))</f>
        <v/>
      </c>
      <c r="G21" s="163" t="str">
        <f>IF(C21="","",SUBSTITUTE(SUBSTITUTE(INDEX('MERCADO RURAL'!$B:$B,25),"&amp;","&amp;amp;"),"&lt;","&amp;lt;"))</f>
        <v/>
      </c>
      <c r="H21" s="163"/>
      <c r="I21" s="163"/>
    </row>
    <row r="22" spans="1:9" x14ac:dyDescent="0.3">
      <c r="A22" s="163" t="str">
        <f>IF(OR(C22="",D22=""),"","&lt;Placemark&gt;&lt;name&gt;"&amp;C22&amp;"&lt;/name&gt;&lt;description&gt;"&amp;G22&amp;"&lt;/description&gt;&lt;Point&gt;&lt;coordinates&gt;"&amp;F22&amp;","&amp;E22&amp;",0&lt;/coordinates&gt;&lt;/Point&gt;&lt;/Placemark&gt;")</f>
        <v/>
      </c>
      <c r="B22" s="163"/>
      <c r="C22" s="163" t="str">
        <f>IF(26&gt;AUX_COMBINACIONES!$C$3,"",INDEX('MERCADO RURAL'!$Q:$Q,26))</f>
        <v/>
      </c>
      <c r="D22" s="168" t="str">
        <f>IF(26&gt;AUX_COMBINACIONES!$C$3,"",IF(INDEX('MERCADO RURAL'!$C:$C,26)="","",TRIM(INDEX('MERCADO RURAL'!$C:$C,26))))</f>
        <v/>
      </c>
      <c r="E22" s="163" t="str">
        <f>IF(D22="","",TRIM(LEFT(D22,FIND(",",D22)-1)))</f>
        <v/>
      </c>
      <c r="F22" s="163" t="str">
        <f>IF(D22="","",TRIM(MID(D22,FIND(",",D22)+1,30)))</f>
        <v/>
      </c>
      <c r="G22" s="163" t="str">
        <f>IF(C22="","",SUBSTITUTE(SUBSTITUTE(INDEX('MERCADO RURAL'!$B:$B,26),"&amp;","&amp;amp;"),"&lt;","&amp;lt;"))</f>
        <v/>
      </c>
      <c r="H22" s="163"/>
      <c r="I22" s="163"/>
    </row>
    <row r="23" spans="1:9" x14ac:dyDescent="0.3">
      <c r="A23" s="163" t="str">
        <f>IF(OR(C23="",D23=""),"","&lt;Placemark&gt;&lt;name&gt;"&amp;C23&amp;"&lt;/name&gt;&lt;description&gt;"&amp;G23&amp;"&lt;/description&gt;&lt;Point&gt;&lt;coordinates&gt;"&amp;F23&amp;","&amp;E23&amp;",0&lt;/coordinates&gt;&lt;/Point&gt;&lt;/Placemark&gt;")</f>
        <v/>
      </c>
      <c r="B23" s="163"/>
      <c r="C23" s="163" t="str">
        <f>IF(27&gt;AUX_COMBINACIONES!$C$3,"",INDEX('MERCADO RURAL'!$Q:$Q,27))</f>
        <v/>
      </c>
      <c r="D23" s="168" t="str">
        <f>IF(27&gt;AUX_COMBINACIONES!$C$3,"",IF(INDEX('MERCADO RURAL'!$C:$C,27)="","",TRIM(INDEX('MERCADO RURAL'!$C:$C,27))))</f>
        <v/>
      </c>
      <c r="E23" s="163" t="str">
        <f>IF(D23="","",TRIM(LEFT(D23,FIND(",",D23)-1)))</f>
        <v/>
      </c>
      <c r="F23" s="163" t="str">
        <f>IF(D23="","",TRIM(MID(D23,FIND(",",D23)+1,30)))</f>
        <v/>
      </c>
      <c r="G23" s="163" t="str">
        <f>IF(C23="","",SUBSTITUTE(SUBSTITUTE(INDEX('MERCADO RURAL'!$B:$B,27),"&amp;","&amp;amp;"),"&lt;","&amp;lt;"))</f>
        <v/>
      </c>
      <c r="H23" s="163"/>
      <c r="I23" s="163"/>
    </row>
    <row r="24" spans="1:9" x14ac:dyDescent="0.3">
      <c r="A24" s="163" t="str">
        <f>IF(OR(C24="",D24=""),"","&lt;Placemark&gt;&lt;name&gt;"&amp;C24&amp;"&lt;/name&gt;&lt;description&gt;"&amp;G24&amp;"&lt;/description&gt;&lt;Point&gt;&lt;coordinates&gt;"&amp;F24&amp;","&amp;E24&amp;",0&lt;/coordinates&gt;&lt;/Point&gt;&lt;/Placemark&gt;")</f>
        <v/>
      </c>
      <c r="B24" s="163"/>
      <c r="C24" s="163" t="str">
        <f>IF(28&gt;AUX_COMBINACIONES!$C$3,"",INDEX('MERCADO RURAL'!$Q:$Q,28))</f>
        <v/>
      </c>
      <c r="D24" s="168" t="str">
        <f>IF(28&gt;AUX_COMBINACIONES!$C$3,"",IF(INDEX('MERCADO RURAL'!$C:$C,28)="","",TRIM(INDEX('MERCADO RURAL'!$C:$C,28))))</f>
        <v/>
      </c>
      <c r="E24" s="163" t="str">
        <f>IF(D24="","",TRIM(LEFT(D24,FIND(",",D24)-1)))</f>
        <v/>
      </c>
      <c r="F24" s="163" t="str">
        <f>IF(D24="","",TRIM(MID(D24,FIND(",",D24)+1,30)))</f>
        <v/>
      </c>
      <c r="G24" s="163" t="str">
        <f>IF(C24="","",SUBSTITUTE(SUBSTITUTE(INDEX('MERCADO RURAL'!$B:$B,28),"&amp;","&amp;amp;"),"&lt;","&amp;lt;"))</f>
        <v/>
      </c>
      <c r="H24" s="163"/>
      <c r="I24" s="163"/>
    </row>
    <row r="25" spans="1:9" x14ac:dyDescent="0.3">
      <c r="A25" s="163" t="str">
        <f>IF(OR(C25="",D25=""),"","&lt;Placemark&gt;&lt;name&gt;"&amp;C25&amp;"&lt;/name&gt;&lt;description&gt;"&amp;G25&amp;"&lt;/description&gt;&lt;Point&gt;&lt;coordinates&gt;"&amp;F25&amp;","&amp;E25&amp;",0&lt;/coordinates&gt;&lt;/Point&gt;&lt;/Placemark&gt;")</f>
        <v/>
      </c>
      <c r="B25" s="163"/>
      <c r="C25" s="163" t="str">
        <f>IF(29&gt;AUX_COMBINACIONES!$C$3,"",INDEX('MERCADO RURAL'!$Q:$Q,29))</f>
        <v/>
      </c>
      <c r="D25" s="168" t="str">
        <f>IF(29&gt;AUX_COMBINACIONES!$C$3,"",IF(INDEX('MERCADO RURAL'!$C:$C,29)="","",TRIM(INDEX('MERCADO RURAL'!$C:$C,29))))</f>
        <v/>
      </c>
      <c r="E25" s="163" t="str">
        <f>IF(D25="","",TRIM(LEFT(D25,FIND(",",D25)-1)))</f>
        <v/>
      </c>
      <c r="F25" s="163" t="str">
        <f>IF(D25="","",TRIM(MID(D25,FIND(",",D25)+1,30)))</f>
        <v/>
      </c>
      <c r="G25" s="163" t="str">
        <f>IF(C25="","",SUBSTITUTE(SUBSTITUTE(INDEX('MERCADO RURAL'!$B:$B,29),"&amp;","&amp;amp;"),"&lt;","&amp;lt;"))</f>
        <v/>
      </c>
      <c r="H25" s="163"/>
      <c r="I25" s="163"/>
    </row>
    <row r="26" spans="1:9" x14ac:dyDescent="0.3">
      <c r="A26" s="163" t="str">
        <f>IF(OR(C26="",D26=""),"","&lt;Placemark&gt;&lt;name&gt;"&amp;C26&amp;"&lt;/name&gt;&lt;description&gt;"&amp;G26&amp;"&lt;/description&gt;&lt;Point&gt;&lt;coordinates&gt;"&amp;F26&amp;","&amp;E26&amp;",0&lt;/coordinates&gt;&lt;/Point&gt;&lt;/Placemark&gt;")</f>
        <v/>
      </c>
      <c r="B26" s="163"/>
      <c r="C26" s="163" t="str">
        <f>IF(30&gt;AUX_COMBINACIONES!$C$3,"",INDEX('MERCADO RURAL'!$Q:$Q,30))</f>
        <v/>
      </c>
      <c r="D26" s="168" t="str">
        <f>IF(30&gt;AUX_COMBINACIONES!$C$3,"",IF(INDEX('MERCADO RURAL'!$C:$C,30)="","",TRIM(INDEX('MERCADO RURAL'!$C:$C,30))))</f>
        <v/>
      </c>
      <c r="E26" s="163" t="str">
        <f>IF(D26="","",TRIM(LEFT(D26,FIND(",",D26)-1)))</f>
        <v/>
      </c>
      <c r="F26" s="163" t="str">
        <f>IF(D26="","",TRIM(MID(D26,FIND(",",D26)+1,30)))</f>
        <v/>
      </c>
      <c r="G26" s="163" t="str">
        <f>IF(C26="","",SUBSTITUTE(SUBSTITUTE(INDEX('MERCADO RURAL'!$B:$B,30),"&amp;","&amp;amp;"),"&lt;","&amp;lt;"))</f>
        <v/>
      </c>
      <c r="H26" s="163"/>
      <c r="I26" s="163"/>
    </row>
    <row r="27" spans="1:9" x14ac:dyDescent="0.3">
      <c r="A27" s="163" t="str">
        <f>IF(OR(C27="",D27=""),"","&lt;Placemark&gt;&lt;name&gt;"&amp;C27&amp;"&lt;/name&gt;&lt;description&gt;"&amp;G27&amp;"&lt;/description&gt;&lt;Point&gt;&lt;coordinates&gt;"&amp;F27&amp;","&amp;E27&amp;",0&lt;/coordinates&gt;&lt;/Point&gt;&lt;/Placemark&gt;")</f>
        <v/>
      </c>
      <c r="B27" s="163"/>
      <c r="C27" s="163" t="str">
        <f>IF(31&gt;AUX_COMBINACIONES!$C$3,"",INDEX('MERCADO RURAL'!$Q:$Q,31))</f>
        <v/>
      </c>
      <c r="D27" s="168" t="str">
        <f>IF(31&gt;AUX_COMBINACIONES!$C$3,"",IF(INDEX('MERCADO RURAL'!$C:$C,31)="","",TRIM(INDEX('MERCADO RURAL'!$C:$C,31))))</f>
        <v/>
      </c>
      <c r="E27" s="163" t="str">
        <f>IF(D27="","",TRIM(LEFT(D27,FIND(",",D27)-1)))</f>
        <v/>
      </c>
      <c r="F27" s="163" t="str">
        <f>IF(D27="","",TRIM(MID(D27,FIND(",",D27)+1,30)))</f>
        <v/>
      </c>
      <c r="G27" s="163" t="str">
        <f>IF(C27="","",SUBSTITUTE(SUBSTITUTE(INDEX('MERCADO RURAL'!$B:$B,31),"&amp;","&amp;amp;"),"&lt;","&amp;lt;"))</f>
        <v/>
      </c>
      <c r="H27" s="163"/>
      <c r="I27" s="163"/>
    </row>
    <row r="28" spans="1:9" x14ac:dyDescent="0.3">
      <c r="A28" s="163" t="str">
        <f>IF(OR(C28="",D28=""),"","&lt;Placemark&gt;&lt;name&gt;"&amp;C28&amp;"&lt;/name&gt;&lt;description&gt;"&amp;G28&amp;"&lt;/description&gt;&lt;Point&gt;&lt;coordinates&gt;"&amp;F28&amp;","&amp;E28&amp;",0&lt;/coordinates&gt;&lt;/Point&gt;&lt;/Placemark&gt;")</f>
        <v/>
      </c>
      <c r="B28" s="163"/>
      <c r="C28" s="163" t="str">
        <f>IF(32&gt;AUX_COMBINACIONES!$C$3,"",INDEX('MERCADO RURAL'!$Q:$Q,32))</f>
        <v/>
      </c>
      <c r="D28" s="168" t="str">
        <f>IF(32&gt;AUX_COMBINACIONES!$C$3,"",IF(INDEX('MERCADO RURAL'!$C:$C,32)="","",TRIM(INDEX('MERCADO RURAL'!$C:$C,32))))</f>
        <v/>
      </c>
      <c r="E28" s="163" t="str">
        <f>IF(D28="","",TRIM(LEFT(D28,FIND(",",D28)-1)))</f>
        <v/>
      </c>
      <c r="F28" s="163" t="str">
        <f>IF(D28="","",TRIM(MID(D28,FIND(",",D28)+1,30)))</f>
        <v/>
      </c>
      <c r="G28" s="163" t="str">
        <f>IF(C28="","",SUBSTITUTE(SUBSTITUTE(INDEX('MERCADO RURAL'!$B:$B,32),"&amp;","&amp;amp;"),"&lt;","&amp;lt;"))</f>
        <v/>
      </c>
      <c r="H28" s="163"/>
      <c r="I28" s="163"/>
    </row>
    <row r="29" spans="1:9" x14ac:dyDescent="0.3">
      <c r="A29" s="163" t="str">
        <f>IF(OR(C29="",D29=""),"","&lt;Placemark&gt;&lt;name&gt;"&amp;C29&amp;"&lt;/name&gt;&lt;description&gt;"&amp;G29&amp;"&lt;/description&gt;&lt;Point&gt;&lt;coordinates&gt;"&amp;F29&amp;","&amp;E29&amp;",0&lt;/coordinates&gt;&lt;/Point&gt;&lt;/Placemark&gt;")</f>
        <v/>
      </c>
      <c r="B29" s="163"/>
      <c r="C29" s="163" t="str">
        <f>IF(33&gt;AUX_COMBINACIONES!$C$3,"",INDEX('MERCADO RURAL'!$Q:$Q,33))</f>
        <v/>
      </c>
      <c r="D29" s="168" t="str">
        <f>IF(33&gt;AUX_COMBINACIONES!$C$3,"",IF(INDEX('MERCADO RURAL'!$C:$C,33)="","",TRIM(INDEX('MERCADO RURAL'!$C:$C,33))))</f>
        <v/>
      </c>
      <c r="E29" s="163" t="str">
        <f>IF(D29="","",TRIM(LEFT(D29,FIND(",",D29)-1)))</f>
        <v/>
      </c>
      <c r="F29" s="163" t="str">
        <f>IF(D29="","",TRIM(MID(D29,FIND(",",D29)+1,30)))</f>
        <v/>
      </c>
      <c r="G29" s="163" t="str">
        <f>IF(C29="","",SUBSTITUTE(SUBSTITUTE(INDEX('MERCADO RURAL'!$B:$B,33),"&amp;","&amp;amp;"),"&lt;","&amp;lt;"))</f>
        <v/>
      </c>
      <c r="H29" s="163"/>
      <c r="I29" s="163"/>
    </row>
    <row r="30" spans="1:9" x14ac:dyDescent="0.3">
      <c r="A30" s="163" t="str">
        <f>IF(OR(C30="",D30=""),"","&lt;Placemark&gt;&lt;name&gt;"&amp;C30&amp;"&lt;/name&gt;&lt;description&gt;"&amp;G30&amp;"&lt;/description&gt;&lt;Point&gt;&lt;coordinates&gt;"&amp;F30&amp;","&amp;E30&amp;",0&lt;/coordinates&gt;&lt;/Point&gt;&lt;/Placemark&gt;")</f>
        <v/>
      </c>
      <c r="B30" s="163"/>
      <c r="C30" s="163" t="str">
        <f>IF(34&gt;AUX_COMBINACIONES!$C$3,"",INDEX('MERCADO RURAL'!$Q:$Q,34))</f>
        <v/>
      </c>
      <c r="D30" s="168" t="str">
        <f>IF(34&gt;AUX_COMBINACIONES!$C$3,"",IF(INDEX('MERCADO RURAL'!$C:$C,34)="","",TRIM(INDEX('MERCADO RURAL'!$C:$C,34))))</f>
        <v/>
      </c>
      <c r="E30" s="163" t="str">
        <f>IF(D30="","",TRIM(LEFT(D30,FIND(",",D30)-1)))</f>
        <v/>
      </c>
      <c r="F30" s="163" t="str">
        <f>IF(D30="","",TRIM(MID(D30,FIND(",",D30)+1,30)))</f>
        <v/>
      </c>
      <c r="G30" s="163" t="str">
        <f>IF(C30="","",SUBSTITUTE(SUBSTITUTE(INDEX('MERCADO RURAL'!$B:$B,34),"&amp;","&amp;amp;"),"&lt;","&amp;lt;"))</f>
        <v/>
      </c>
      <c r="H30" s="163"/>
      <c r="I30" s="163"/>
    </row>
    <row r="31" spans="1:9" x14ac:dyDescent="0.3">
      <c r="A31" s="163" t="str">
        <f>IF(OR(C31="",D31=""),"","&lt;Placemark&gt;&lt;name&gt;"&amp;C31&amp;"&lt;/name&gt;&lt;description&gt;"&amp;G31&amp;"&lt;/description&gt;&lt;Point&gt;&lt;coordinates&gt;"&amp;F31&amp;","&amp;E31&amp;",0&lt;/coordinates&gt;&lt;/Point&gt;&lt;/Placemark&gt;")</f>
        <v/>
      </c>
      <c r="B31" s="163"/>
      <c r="C31" s="163" t="str">
        <f>IF(35&gt;AUX_COMBINACIONES!$C$3,"",INDEX('MERCADO RURAL'!$Q:$Q,35))</f>
        <v/>
      </c>
      <c r="D31" s="168" t="str">
        <f>IF(35&gt;AUX_COMBINACIONES!$C$3,"",IF(INDEX('MERCADO RURAL'!$C:$C,35)="","",TRIM(INDEX('MERCADO RURAL'!$C:$C,35))))</f>
        <v/>
      </c>
      <c r="E31" s="163" t="str">
        <f>IF(D31="","",TRIM(LEFT(D31,FIND(",",D31)-1)))</f>
        <v/>
      </c>
      <c r="F31" s="163" t="str">
        <f>IF(D31="","",TRIM(MID(D31,FIND(",",D31)+1,30)))</f>
        <v/>
      </c>
      <c r="G31" s="163" t="str">
        <f>IF(C31="","",SUBSTITUTE(SUBSTITUTE(INDEX('MERCADO RURAL'!$B:$B,35),"&amp;","&amp;amp;"),"&lt;","&amp;lt;"))</f>
        <v/>
      </c>
      <c r="H31" s="163"/>
      <c r="I31" s="163"/>
    </row>
    <row r="32" spans="1:9" x14ac:dyDescent="0.3">
      <c r="A32" s="163" t="str">
        <f>IF(OR(C32="",D32=""),"","&lt;Placemark&gt;&lt;name&gt;"&amp;C32&amp;"&lt;/name&gt;&lt;description&gt;"&amp;G32&amp;"&lt;/description&gt;&lt;Point&gt;&lt;coordinates&gt;"&amp;F32&amp;","&amp;E32&amp;",0&lt;/coordinates&gt;&lt;/Point&gt;&lt;/Placemark&gt;")</f>
        <v/>
      </c>
      <c r="B32" s="163"/>
      <c r="C32" s="163" t="str">
        <f>IF(36&gt;AUX_COMBINACIONES!$C$3,"",INDEX('MERCADO RURAL'!$Q:$Q,36))</f>
        <v/>
      </c>
      <c r="D32" s="168" t="str">
        <f>IF(36&gt;AUX_COMBINACIONES!$C$3,"",IF(INDEX('MERCADO RURAL'!$C:$C,36)="","",TRIM(INDEX('MERCADO RURAL'!$C:$C,36))))</f>
        <v/>
      </c>
      <c r="E32" s="163" t="str">
        <f>IF(D32="","",TRIM(LEFT(D32,FIND(",",D32)-1)))</f>
        <v/>
      </c>
      <c r="F32" s="163" t="str">
        <f>IF(D32="","",TRIM(MID(D32,FIND(",",D32)+1,30)))</f>
        <v/>
      </c>
      <c r="G32" s="163" t="str">
        <f>IF(C32="","",SUBSTITUTE(SUBSTITUTE(INDEX('MERCADO RURAL'!$B:$B,36),"&amp;","&amp;amp;"),"&lt;","&amp;lt;"))</f>
        <v/>
      </c>
      <c r="H32" s="163"/>
      <c r="I32" s="163"/>
    </row>
    <row r="33" spans="1:9" x14ac:dyDescent="0.3">
      <c r="A33" s="163" t="str">
        <f>IF(OR(C33="",D33=""),"","&lt;Placemark&gt;&lt;name&gt;"&amp;C33&amp;"&lt;/name&gt;&lt;description&gt;"&amp;G33&amp;"&lt;/description&gt;&lt;Point&gt;&lt;coordinates&gt;"&amp;F33&amp;","&amp;E33&amp;",0&lt;/coordinates&gt;&lt;/Point&gt;&lt;/Placemark&gt;")</f>
        <v/>
      </c>
      <c r="B33" s="163"/>
      <c r="C33" s="163" t="str">
        <f>IF(37&gt;AUX_COMBINACIONES!$C$3,"",INDEX('MERCADO RURAL'!$Q:$Q,37))</f>
        <v/>
      </c>
      <c r="D33" s="168" t="str">
        <f>IF(37&gt;AUX_COMBINACIONES!$C$3,"",IF(INDEX('MERCADO RURAL'!$C:$C,37)="","",TRIM(INDEX('MERCADO RURAL'!$C:$C,37))))</f>
        <v/>
      </c>
      <c r="E33" s="163" t="str">
        <f>IF(D33="","",TRIM(LEFT(D33,FIND(",",D33)-1)))</f>
        <v/>
      </c>
      <c r="F33" s="163" t="str">
        <f>IF(D33="","",TRIM(MID(D33,FIND(",",D33)+1,30)))</f>
        <v/>
      </c>
      <c r="G33" s="163" t="str">
        <f>IF(C33="","",SUBSTITUTE(SUBSTITUTE(INDEX('MERCADO RURAL'!$B:$B,37),"&amp;","&amp;amp;"),"&lt;","&amp;lt;"))</f>
        <v/>
      </c>
      <c r="H33" s="163"/>
      <c r="I33" s="163"/>
    </row>
    <row r="34" spans="1:9" x14ac:dyDescent="0.3">
      <c r="A34" s="163" t="str">
        <f>IF(OR(C34="",D34=""),"","&lt;Placemark&gt;&lt;name&gt;"&amp;C34&amp;"&lt;/name&gt;&lt;description&gt;"&amp;G34&amp;"&lt;/description&gt;&lt;Point&gt;&lt;coordinates&gt;"&amp;F34&amp;","&amp;E34&amp;",0&lt;/coordinates&gt;&lt;/Point&gt;&lt;/Placemark&gt;")</f>
        <v/>
      </c>
      <c r="B34" s="163"/>
      <c r="C34" s="163" t="str">
        <f>IF(38&gt;AUX_COMBINACIONES!$C$3,"",INDEX('MERCADO RURAL'!$Q:$Q,38))</f>
        <v/>
      </c>
      <c r="D34" s="168" t="str">
        <f>IF(38&gt;AUX_COMBINACIONES!$C$3,"",IF(INDEX('MERCADO RURAL'!$C:$C,38)="","",TRIM(INDEX('MERCADO RURAL'!$C:$C,38))))</f>
        <v/>
      </c>
      <c r="E34" s="163" t="str">
        <f>IF(D34="","",TRIM(LEFT(D34,FIND(",",D34)-1)))</f>
        <v/>
      </c>
      <c r="F34" s="163" t="str">
        <f>IF(D34="","",TRIM(MID(D34,FIND(",",D34)+1,30)))</f>
        <v/>
      </c>
      <c r="G34" s="163" t="str">
        <f>IF(C34="","",SUBSTITUTE(SUBSTITUTE(INDEX('MERCADO RURAL'!$B:$B,38),"&amp;","&amp;amp;"),"&lt;","&amp;lt;"))</f>
        <v/>
      </c>
      <c r="H34" s="163"/>
      <c r="I34" s="163"/>
    </row>
    <row r="35" spans="1:9" x14ac:dyDescent="0.3">
      <c r="A35" s="163" t="s">
        <v>213</v>
      </c>
      <c r="B35" s="163"/>
      <c r="C35" s="163"/>
      <c r="D35" s="163"/>
      <c r="E35" s="163"/>
      <c r="F35" s="163"/>
      <c r="G35" s="163"/>
      <c r="H35" s="163"/>
      <c r="I35" s="163"/>
    </row>
    <row r="36" spans="1:9" x14ac:dyDescent="0.3">
      <c r="A36" s="163"/>
      <c r="B36" s="163"/>
      <c r="C36" s="163"/>
      <c r="D36" s="163"/>
      <c r="E36" s="163"/>
      <c r="F36" s="163"/>
      <c r="G36" s="163"/>
      <c r="H36" s="163"/>
      <c r="I36" s="163"/>
    </row>
    <row r="37" spans="1:9" x14ac:dyDescent="0.3">
      <c r="A37" s="163"/>
      <c r="B37" s="163"/>
      <c r="C37" s="163"/>
      <c r="D37" s="163"/>
      <c r="E37" s="163"/>
      <c r="F37" s="163"/>
      <c r="G37" s="163"/>
      <c r="H37" s="163"/>
      <c r="I37" s="163"/>
    </row>
    <row r="38" spans="1:9" x14ac:dyDescent="0.3">
      <c r="A38" s="163"/>
      <c r="B38" s="163"/>
      <c r="C38" s="163"/>
      <c r="D38" s="163"/>
      <c r="E38" s="163"/>
      <c r="F38" s="163"/>
      <c r="G38" s="163"/>
      <c r="H38" s="163"/>
      <c r="I38" s="163"/>
    </row>
    <row r="39" spans="1:9" x14ac:dyDescent="0.3">
      <c r="A39" s="163"/>
      <c r="B39" s="163"/>
      <c r="C39" s="163"/>
      <c r="D39" s="163"/>
      <c r="E39" s="163"/>
      <c r="F39" s="163"/>
      <c r="G39" s="163"/>
      <c r="H39" s="163"/>
      <c r="I39" s="163"/>
    </row>
    <row r="40" spans="1:9" x14ac:dyDescent="0.3">
      <c r="A40" s="163"/>
      <c r="B40" s="163"/>
      <c r="C40" s="163"/>
      <c r="D40" s="163"/>
      <c r="E40" s="163"/>
      <c r="F40" s="163"/>
      <c r="G40" s="163"/>
      <c r="H40" s="163"/>
      <c r="I40" s="1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03AE-CC6B-4A23-8F20-562CFAA9219D}">
  <dimension ref="A1:Z40"/>
  <sheetViews>
    <sheetView showGridLines="0" topLeftCell="A4" workbookViewId="0">
      <selection activeCell="F20" sqref="F20"/>
    </sheetView>
  </sheetViews>
  <sheetFormatPr baseColWidth="10" defaultRowHeight="14.4" x14ac:dyDescent="0.3"/>
  <cols>
    <col min="1" max="1" width="63.88671875" customWidth="1"/>
    <col min="2" max="2" width="19.88671875" customWidth="1"/>
    <col min="3" max="3" width="19.21875" customWidth="1"/>
    <col min="4" max="4" width="13.33203125" customWidth="1"/>
    <col min="5" max="5" width="13.44140625" customWidth="1"/>
    <col min="6" max="6" width="16.33203125" customWidth="1"/>
    <col min="7" max="7" width="13.5546875" customWidth="1"/>
    <col min="8" max="8" width="13.77734375" customWidth="1"/>
    <col min="9" max="9" width="13.5546875" customWidth="1"/>
    <col min="10" max="10" width="14.5546875" customWidth="1"/>
    <col min="11" max="11" width="9.77734375" customWidth="1"/>
    <col min="12" max="12" width="12.5546875" customWidth="1"/>
    <col min="13" max="13" width="19.44140625" customWidth="1"/>
    <col min="14" max="14" width="12.6640625" customWidth="1"/>
    <col min="15" max="15" width="19.6640625" customWidth="1"/>
    <col min="16" max="17" width="19.44140625" customWidth="1"/>
  </cols>
  <sheetData>
    <row r="1" spans="1:26" ht="34.049999999999997" customHeight="1" x14ac:dyDescent="0.3">
      <c r="A1" s="124" t="s">
        <v>176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6"/>
      <c r="P1" s="2"/>
      <c r="Q1" s="2"/>
      <c r="R1" s="45"/>
      <c r="S1" s="45"/>
      <c r="T1" s="45"/>
      <c r="U1" s="45"/>
      <c r="V1" s="45"/>
      <c r="W1" s="45"/>
      <c r="X1" s="45"/>
      <c r="Y1" s="45"/>
      <c r="Z1" s="45"/>
    </row>
    <row r="2" spans="1:26" ht="24" customHeight="1" thickBot="1" x14ac:dyDescent="0.35">
      <c r="A2" s="125" t="s">
        <v>201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7"/>
      <c r="P2" s="2"/>
      <c r="Q2" s="2"/>
      <c r="R2" s="45"/>
      <c r="S2" s="45"/>
      <c r="T2" s="45"/>
      <c r="U2" s="45"/>
      <c r="V2" s="45"/>
      <c r="W2" s="45"/>
      <c r="X2" s="45"/>
      <c r="Y2" s="45"/>
      <c r="Z2" s="45"/>
    </row>
    <row r="3" spans="1:26" x14ac:dyDescent="0.3">
      <c r="A3" s="128" t="s">
        <v>62</v>
      </c>
      <c r="B3" s="135">
        <f>'MERCADO RURAL'!H21</f>
        <v>13801565.239711761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45"/>
      <c r="S3" s="45"/>
      <c r="T3" s="45"/>
      <c r="U3" s="45"/>
      <c r="V3" s="45"/>
      <c r="W3" s="45"/>
      <c r="X3" s="45"/>
      <c r="Y3" s="45"/>
      <c r="Z3" s="45"/>
    </row>
    <row r="4" spans="1:26" x14ac:dyDescent="0.3">
      <c r="A4" s="129" t="s">
        <v>63</v>
      </c>
      <c r="B4" s="136">
        <f>'MERCADO RURAL'!H22</f>
        <v>885442184.76028824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 x14ac:dyDescent="0.3">
      <c r="A5" s="141" t="s">
        <v>177</v>
      </c>
      <c r="B5" s="137">
        <v>0.1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45"/>
      <c r="S5" s="45"/>
      <c r="T5" s="45"/>
      <c r="U5" s="45"/>
      <c r="V5" s="45"/>
      <c r="W5" s="45"/>
      <c r="X5" s="45"/>
      <c r="Y5" s="45"/>
      <c r="Z5" s="45"/>
    </row>
    <row r="6" spans="1:26" ht="26.4" x14ac:dyDescent="0.3">
      <c r="A6" s="129" t="s">
        <v>328</v>
      </c>
      <c r="B6" s="138" t="s">
        <v>178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 x14ac:dyDescent="0.3">
      <c r="A7" s="129" t="s">
        <v>179</v>
      </c>
      <c r="B7" s="139">
        <f>AUX_COMBINACIONES!J2</f>
        <v>6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3">
      <c r="A8" s="129" t="s">
        <v>180</v>
      </c>
      <c r="B8" s="139">
        <f>COUNT(AUX_COMBINACIONES!D5:D34)</f>
        <v>8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3">
      <c r="A9" s="129" t="s">
        <v>195</v>
      </c>
      <c r="B9" s="140">
        <v>3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3">
      <c r="A10" s="129" t="s">
        <v>196</v>
      </c>
      <c r="B10" s="139">
        <f>COUNTIF(AUX_COMBINACIONES!N5:N410,1)</f>
        <v>10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3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61.95" customHeight="1" x14ac:dyDescent="0.3">
      <c r="A12" s="130" t="s">
        <v>64</v>
      </c>
      <c r="B12" s="130" t="s">
        <v>197</v>
      </c>
      <c r="C12" s="130" t="s">
        <v>198</v>
      </c>
      <c r="D12" s="130" t="s">
        <v>199</v>
      </c>
      <c r="E12" s="130" t="s">
        <v>200</v>
      </c>
      <c r="F12" s="130" t="s">
        <v>181</v>
      </c>
      <c r="G12" s="130" t="s">
        <v>65</v>
      </c>
      <c r="H12" s="130" t="s">
        <v>66</v>
      </c>
      <c r="I12" s="130" t="s">
        <v>67</v>
      </c>
      <c r="J12" s="130" t="s">
        <v>68</v>
      </c>
      <c r="K12" s="130" t="s">
        <v>69</v>
      </c>
      <c r="L12" s="130" t="s">
        <v>70</v>
      </c>
      <c r="M12" s="130" t="s">
        <v>182</v>
      </c>
      <c r="N12" s="130" t="s">
        <v>183</v>
      </c>
      <c r="O12" s="131" t="s">
        <v>184</v>
      </c>
      <c r="P12" s="55"/>
      <c r="Q12" s="5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24" customHeight="1" x14ac:dyDescent="0.3">
      <c r="A13" s="133" t="str">
        <f>IF($O13="","—","Combinación 1")</f>
        <v>Combinación 1</v>
      </c>
      <c r="B13" s="110">
        <f>IF($O13="","",INDEX(AUX_COMBINACIONES!$M$5:$M$410,$O13))</f>
        <v>3</v>
      </c>
      <c r="C13" s="111" t="str">
        <f>IF($O13="","",_xlfn.TEXTJOIN(", ",TRUE,INDEX(AUX_COMBINACIONES!$I$5:$I$34,INDEX(AUX_COMBINACIONES!$L$5:$L$410,$O13)):INDEX(AUX_COMBINACIONES!$I$5:$I$34,INDEX(AUX_COMBINACIONES!$L$5:$L$410,$O13)+$B13-1)))</f>
        <v>3, 4, 6</v>
      </c>
      <c r="D13" s="112">
        <f>IF($O13="","",MIN(INDEX(AUX_COMBINACIONES!$J$5:$J$34,INDEX(AUX_COMBINACIONES!$L$5:$L$410,$O13)):INDEX(AUX_COMBINACIONES!$J$5:$J$34,INDEX(AUX_COMBINACIONES!$L$5:$L$410,$O13)+$B13-1)))</f>
        <v>495000000</v>
      </c>
      <c r="E13" s="112">
        <f>IF($O13="","",MAX(INDEX(AUX_COMBINACIONES!$J$5:$J$34,INDEX(AUX_COMBINACIONES!$L$5:$L$410,$O13)):INDEX(AUX_COMBINACIONES!$J$5:$J$34,INDEX(AUX_COMBINACIONES!$L$5:$L$410,$O13)+$B13-1)))</f>
        <v>720000000</v>
      </c>
      <c r="F13" s="112">
        <f>IF($O13="","",AVERAGE(INDEX(AUX_COMBINACIONES!$J$5:$J$34,INDEX(AUX_COMBINACIONES!$L$5:$L$410,$O13)):INDEX(AUX_COMBINACIONES!$J$5:$J$34,INDEX(AUX_COMBINACIONES!$L$5:$L$410,$O13)+$B13-1)))</f>
        <v>630000000</v>
      </c>
      <c r="G13" s="112">
        <f>IF($O13="","",_xlfn.STDEV.S(INDEX(AUX_COMBINACIONES!$J$5:$J$34,INDEX(AUX_COMBINACIONES!$L$5:$L$410,$O13)):INDEX(AUX_COMBINACIONES!$J$5:$J$34,INDEX(AUX_COMBINACIONES!$L$5:$L$410,$O13)+$B13-1)))</f>
        <v>119058808.99790658</v>
      </c>
      <c r="H13" s="113">
        <f>IF($O13="","",G13/F13)</f>
        <v>0.18898223650461363</v>
      </c>
      <c r="I13" s="112">
        <f>IF($O13="","",F13-G13)</f>
        <v>510941191.00209343</v>
      </c>
      <c r="J13" s="112">
        <f>IF($O13="","",F13+G13)</f>
        <v>749058808.99790657</v>
      </c>
      <c r="K13" s="114">
        <f>IF($O13="","",SKEW(INDEX(AUX_COMBINACIONES!$J$5:$J$34,INDEX(AUX_COMBINACIONES!$L$5:$L$410,$O13)):INDEX(AUX_COMBINACIONES!$J$5:$J$34,INDEX(AUX_COMBINACIONES!$L$5:$L$410,$O13)+$B13-1)))</f>
        <v>-1.457862967321305</v>
      </c>
      <c r="L13" s="110" t="str">
        <f>IF($O13="","",IF(H13&lt;=$B$5,"SÍ","NO"))</f>
        <v>NO</v>
      </c>
      <c r="M13" s="132">
        <f>IF($O13="","",ROUND(F13,-2))</f>
        <v>630000000</v>
      </c>
      <c r="N13" s="132">
        <f>IF($O13="","",M13/10000)</f>
        <v>63000</v>
      </c>
      <c r="O13" s="115">
        <f>IFERROR(MATCH(SMALL(AUX_COMBINACIONES!$Q$5:$Q$410,ROWS($A$13:$A13)),AUX_COMBINACIONES!$Q$5:$Q$410,0),"")</f>
        <v>82</v>
      </c>
      <c r="P13" s="55"/>
      <c r="Q13" s="5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24" customHeight="1" x14ac:dyDescent="0.3">
      <c r="A14" s="133" t="str">
        <f>IF($O14="","—","Combinación 2")</f>
        <v>Combinación 2</v>
      </c>
      <c r="B14" s="110">
        <f>IF($O14="","",INDEX(AUX_COMBINACIONES!$M$5:$M$410,$O14))</f>
        <v>4</v>
      </c>
      <c r="C14" s="111" t="str">
        <f>IF($O14="","",_xlfn.TEXTJOIN(", ",TRUE,INDEX(AUX_COMBINACIONES!$I$5:$I$34,INDEX(AUX_COMBINACIONES!$L$5:$L$410,$O14)):INDEX(AUX_COMBINACIONES!$I$5:$I$34,INDEX(AUX_COMBINACIONES!$L$5:$L$410,$O14)+$B14-1)))</f>
        <v>5, 3, 4, 6</v>
      </c>
      <c r="D14" s="112">
        <f>IF($O14="","",MIN(INDEX(AUX_COMBINACIONES!$J$5:$J$34,INDEX(AUX_COMBINACIONES!$L$5:$L$410,$O14)):INDEX(AUX_COMBINACIONES!$J$5:$J$34,INDEX(AUX_COMBINACIONES!$L$5:$L$410,$O14)+$B14-1)))</f>
        <v>405000000</v>
      </c>
      <c r="E14" s="112">
        <f>IF($O14="","",MAX(INDEX(AUX_COMBINACIONES!$J$5:$J$34,INDEX(AUX_COMBINACIONES!$L$5:$L$410,$O14)):INDEX(AUX_COMBINACIONES!$J$5:$J$34,INDEX(AUX_COMBINACIONES!$L$5:$L$410,$O14)+$B14-1)))</f>
        <v>720000000</v>
      </c>
      <c r="F14" s="112">
        <f>IF($O14="","",AVERAGE(INDEX(AUX_COMBINACIONES!$J$5:$J$34,INDEX(AUX_COMBINACIONES!$L$5:$L$410,$O14)):INDEX(AUX_COMBINACIONES!$J$5:$J$34,INDEX(AUX_COMBINACIONES!$L$5:$L$410,$O14)+$B14-1)))</f>
        <v>573750000</v>
      </c>
      <c r="G14" s="112">
        <f>IF($O14="","",_xlfn.STDEV.S(INDEX(AUX_COMBINACIONES!$J$5:$J$34,INDEX(AUX_COMBINACIONES!$L$5:$L$410,$O14)):INDEX(AUX_COMBINACIONES!$J$5:$J$34,INDEX(AUX_COMBINACIONES!$L$5:$L$410,$O14)+$B14-1)))</f>
        <v>148681707.01199257</v>
      </c>
      <c r="H14" s="113">
        <f>IF($O14="","",G14/F14)</f>
        <v>0.25914023008626158</v>
      </c>
      <c r="I14" s="112">
        <f>IF($O14="","",F14-G14)</f>
        <v>425068292.98800743</v>
      </c>
      <c r="J14" s="112">
        <f>IF($O14="","",F14+G14)</f>
        <v>722431707.01199257</v>
      </c>
      <c r="K14" s="114">
        <f>IF($O14="","",SKEW(INDEX(AUX_COMBINACIONES!$J$5:$J$34,INDEX(AUX_COMBINACIONES!$L$5:$L$410,$O14)):INDEX(AUX_COMBINACIONES!$J$5:$J$34,INDEX(AUX_COMBINACIONES!$L$5:$L$410,$O14)+$B14-1)))</f>
        <v>-0.22872775858729733</v>
      </c>
      <c r="L14" s="110" t="str">
        <f>IF($O14="","",IF(H14&lt;=$B$5,"SÍ","NO"))</f>
        <v>NO</v>
      </c>
      <c r="M14" s="132">
        <f>IF($O14="","",ROUND(F14,-2))</f>
        <v>573750000</v>
      </c>
      <c r="N14" s="132">
        <f>IF($O14="","",M14/10000)</f>
        <v>57375</v>
      </c>
      <c r="O14" s="115">
        <f>IFERROR(MATCH(SMALL(AUX_COMBINACIONES!$Q$5:$Q$410,ROWS($A$13:$A14)),AUX_COMBINACIONES!$Q$5:$Q$410,0),"")</f>
        <v>57</v>
      </c>
      <c r="P14" s="55"/>
      <c r="Q14" s="5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24" customHeight="1" x14ac:dyDescent="0.3">
      <c r="A15" s="133" t="str">
        <f>IF($O15="","—","Combinación 3")</f>
        <v>Combinación 3</v>
      </c>
      <c r="B15" s="110">
        <f>IF($O15="","",INDEX(AUX_COMBINACIONES!$M$5:$M$410,$O15))</f>
        <v>3</v>
      </c>
      <c r="C15" s="111" t="str">
        <f>IF($O15="","",_xlfn.TEXTJOIN(", ",TRUE,INDEX(AUX_COMBINACIONES!$I$5:$I$34,INDEX(AUX_COMBINACIONES!$L$5:$L$410,$O15)):INDEX(AUX_COMBINACIONES!$I$5:$I$34,INDEX(AUX_COMBINACIONES!$L$5:$L$410,$O15)+$B15-1)))</f>
        <v>5, 3, 4</v>
      </c>
      <c r="D15" s="112">
        <f>IF($O15="","",MIN(INDEX(AUX_COMBINACIONES!$J$5:$J$34,INDEX(AUX_COMBINACIONES!$L$5:$L$410,$O15)):INDEX(AUX_COMBINACIONES!$J$5:$J$34,INDEX(AUX_COMBINACIONES!$L$5:$L$410,$O15)+$B15-1)))</f>
        <v>405000000</v>
      </c>
      <c r="E15" s="112">
        <f>IF($O15="","",MAX(INDEX(AUX_COMBINACIONES!$J$5:$J$34,INDEX(AUX_COMBINACIONES!$L$5:$L$410,$O15)):INDEX(AUX_COMBINACIONES!$J$5:$J$34,INDEX(AUX_COMBINACIONES!$L$5:$L$410,$O15)+$B15-1)))</f>
        <v>675000000</v>
      </c>
      <c r="F15" s="112">
        <f>IF($O15="","",AVERAGE(INDEX(AUX_COMBINACIONES!$J$5:$J$34,INDEX(AUX_COMBINACIONES!$L$5:$L$410,$O15)):INDEX(AUX_COMBINACIONES!$J$5:$J$34,INDEX(AUX_COMBINACIONES!$L$5:$L$410,$O15)+$B15-1)))</f>
        <v>525000000</v>
      </c>
      <c r="G15" s="112">
        <f>IF($O15="","",_xlfn.STDEV.S(INDEX(AUX_COMBINACIONES!$J$5:$J$34,INDEX(AUX_COMBINACIONES!$L$5:$L$410,$O15)):INDEX(AUX_COMBINACIONES!$J$5:$J$34,INDEX(AUX_COMBINACIONES!$L$5:$L$410,$O15)+$B15-1)))</f>
        <v>137477270.84867519</v>
      </c>
      <c r="H15" s="113">
        <f>IF($O15="","",G15/F15)</f>
        <v>0.26186146828319085</v>
      </c>
      <c r="I15" s="112">
        <f>IF($O15="","",F15-G15)</f>
        <v>387522729.15132481</v>
      </c>
      <c r="J15" s="112">
        <f>IF($O15="","",F15+G15)</f>
        <v>662477270.84867525</v>
      </c>
      <c r="K15" s="114">
        <f>IF($O15="","",SKEW(INDEX(AUX_COMBINACIONES!$J$5:$J$34,INDEX(AUX_COMBINACIONES!$L$5:$L$410,$O15)):INDEX(AUX_COMBINACIONES!$J$5:$J$34,INDEX(AUX_COMBINACIONES!$L$5:$L$410,$O15)+$B15-1)))</f>
        <v>0.93521952958282495</v>
      </c>
      <c r="L15" s="110" t="str">
        <f>IF($O15="","",IF(H15&lt;=$B$5,"SÍ","NO"))</f>
        <v>NO</v>
      </c>
      <c r="M15" s="132">
        <f>IF($O15="","",ROUND(F15,-2))</f>
        <v>525000000</v>
      </c>
      <c r="N15" s="132">
        <f>IF($O15="","",M15/10000)</f>
        <v>52500</v>
      </c>
      <c r="O15" s="115">
        <f>IFERROR(MATCH(SMALL(AUX_COMBINACIONES!$Q$5:$Q$410,ROWS($A$13:$A15)),AUX_COMBINACIONES!$Q$5:$Q$410,0),"")</f>
        <v>56</v>
      </c>
      <c r="P15" s="55"/>
      <c r="Q15" s="5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3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33.6" customHeight="1" x14ac:dyDescent="0.3">
      <c r="A17" s="116" t="s">
        <v>202</v>
      </c>
      <c r="B17" s="116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3">
      <c r="A18" s="134" t="s">
        <v>64</v>
      </c>
      <c r="B18" s="117" t="s">
        <v>71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3">
      <c r="A19" s="134" t="s">
        <v>185</v>
      </c>
      <c r="B19" s="118" t="str">
        <f>IFERROR(IF(INDEX($O$13:$O$15,MATCH($B$18,$A$13:$A$15,0))="","Muestra insuficiente (mínimo 3 ofertas elegibles)",INDEX($C$13:$C$15,MATCH($B$18,$A$13:$A$15,0))&amp;" ("&amp;INDEX($B$13:$B$15,MATCH($B$18,$A$13:$A$15,0))&amp;" ofertas)"),"Seleccione una combinación")</f>
        <v>5, 3, 4 (3 ofertas)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3">
      <c r="A20" s="134" t="s">
        <v>186</v>
      </c>
      <c r="B20" s="119">
        <f>IFERROR(INDEX($H$13:$H$15,MATCH($B$18,$A$13:$A$15,0)),"")</f>
        <v>0.26186146828319085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45"/>
      <c r="S20" s="45"/>
      <c r="T20" s="45"/>
      <c r="U20" s="45"/>
      <c r="V20" s="45"/>
      <c r="W20" s="45"/>
      <c r="X20" s="45"/>
      <c r="Y20" s="45"/>
      <c r="Z20" s="45"/>
    </row>
    <row r="21" spans="1:26" x14ac:dyDescent="0.3">
      <c r="A21" s="134" t="s">
        <v>187</v>
      </c>
      <c r="B21" s="120" t="str">
        <f>IFERROR(INDEX($L$13:$L$15,MATCH($B$18,$A$13:$A$15,0)),"")</f>
        <v>NO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45"/>
      <c r="S21" s="45"/>
      <c r="T21" s="45"/>
      <c r="U21" s="45"/>
      <c r="V21" s="45"/>
      <c r="W21" s="45"/>
      <c r="X21" s="45"/>
      <c r="Y21" s="45"/>
      <c r="Z21" s="45"/>
    </row>
    <row r="22" spans="1:26" x14ac:dyDescent="0.3">
      <c r="A22" s="134" t="s">
        <v>188</v>
      </c>
      <c r="B22" s="121">
        <f>IFERROR(INDEX($M$13:$M$15,MATCH($B$18,$A$13:$A$15,0)),"")</f>
        <v>525000000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45"/>
      <c r="S22" s="45"/>
      <c r="T22" s="45"/>
      <c r="U22" s="45"/>
      <c r="V22" s="45"/>
      <c r="W22" s="45"/>
      <c r="X22" s="45"/>
      <c r="Y22" s="45"/>
      <c r="Z22" s="45"/>
    </row>
    <row r="23" spans="1:26" x14ac:dyDescent="0.3">
      <c r="A23" s="134" t="s">
        <v>189</v>
      </c>
      <c r="B23" s="121">
        <f>IFERROR(INDEX($N$13:$N$15,MATCH($B$18,$A$13:$A$15,0)),"")</f>
        <v>52500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45"/>
      <c r="S23" s="45"/>
      <c r="T23" s="45"/>
      <c r="U23" s="45"/>
      <c r="V23" s="45"/>
      <c r="W23" s="45"/>
      <c r="X23" s="45"/>
      <c r="Y23" s="45"/>
      <c r="Z23" s="45"/>
    </row>
    <row r="24" spans="1:26" x14ac:dyDescent="0.3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61.95" customHeight="1" x14ac:dyDescent="0.3">
      <c r="A25" s="108" t="s">
        <v>329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2"/>
      <c r="Q25" s="2"/>
      <c r="R25" s="45"/>
      <c r="S25" s="45"/>
      <c r="T25" s="45"/>
      <c r="U25" s="45"/>
      <c r="V25" s="45"/>
      <c r="W25" s="45"/>
      <c r="X25" s="45"/>
      <c r="Y25" s="45"/>
      <c r="Z25" s="45"/>
    </row>
    <row r="26" spans="1:26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</sheetData>
  <mergeCells count="4">
    <mergeCell ref="A25:O25"/>
    <mergeCell ref="A17:B17"/>
    <mergeCell ref="A1:O1"/>
    <mergeCell ref="A2:O2"/>
  </mergeCells>
  <dataValidations count="2">
    <dataValidation type="list" allowBlank="1" showInputMessage="1" showErrorMessage="1" sqref="B6" xr:uid="{E7DE5EC3-2B37-4732-A528-0DB688506437}">
      <formula1>"SÍ,NO"</formula1>
    </dataValidation>
    <dataValidation type="list" allowBlank="1" showInputMessage="1" showErrorMessage="1" errorTitle="Combinación no válida" error="Seleccione una combinación de la lista." promptTitle="Seleccione la combinación" prompt="Elija Combinación 1, 2 o 3 para ver su valor por hectárea y por m²." sqref="B18" xr:uid="{346C4C7A-2A87-4AC8-9341-6730589796A8}">
      <formula1>$A$13:$A$15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7919A-BE6D-4C09-978F-7293B85F5EB5}">
  <dimension ref="A1:T43"/>
  <sheetViews>
    <sheetView showGridLines="0" tabSelected="1" workbookViewId="0">
      <pane ySplit="4" topLeftCell="A5" activePane="bottomLeft" state="frozen"/>
      <selection pane="bottomLeft" activeCell="B19" sqref="B19:E26"/>
    </sheetView>
  </sheetViews>
  <sheetFormatPr baseColWidth="10" defaultRowHeight="14.4" x14ac:dyDescent="0.3"/>
  <cols>
    <col min="1" max="1" width="9.6640625" customWidth="1"/>
    <col min="2" max="2" width="15.109375" customWidth="1"/>
    <col min="3" max="3" width="8.21875" customWidth="1"/>
    <col min="4" max="4" width="9.44140625" customWidth="1"/>
    <col min="5" max="5" width="13.6640625" customWidth="1"/>
    <col min="6" max="6" width="15.21875" customWidth="1"/>
    <col min="7" max="7" width="8.5546875" customWidth="1"/>
    <col min="8" max="9" width="17.5546875" customWidth="1"/>
    <col min="10" max="10" width="15.21875" customWidth="1"/>
    <col min="11" max="11" width="13.6640625" customWidth="1"/>
    <col min="12" max="12" width="15.21875" customWidth="1"/>
    <col min="13" max="13" width="16.5546875" customWidth="1"/>
    <col min="14" max="14" width="13.21875" customWidth="1"/>
    <col min="15" max="15" width="15.77734375" customWidth="1"/>
    <col min="16" max="17" width="19.44140625" customWidth="1"/>
    <col min="18" max="18" width="3.6640625" customWidth="1"/>
    <col min="19" max="19" width="15.77734375" customWidth="1"/>
    <col min="20" max="20" width="17.5546875" customWidth="1"/>
  </cols>
  <sheetData>
    <row r="1" spans="1:20" ht="48" customHeight="1" thickBot="1" x14ac:dyDescent="0.35">
      <c r="A1" s="94" t="s">
        <v>73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</row>
    <row r="2" spans="1:20" ht="19.95" customHeight="1" x14ac:dyDescent="0.3">
      <c r="A2" s="178" t="s">
        <v>74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20" ht="19.95" customHeight="1" x14ac:dyDescent="0.3">
      <c r="A3" s="95" t="s">
        <v>75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20" ht="61.95" customHeight="1" x14ac:dyDescent="0.3">
      <c r="A4" s="81" t="s">
        <v>76</v>
      </c>
      <c r="B4" s="81" t="s">
        <v>77</v>
      </c>
      <c r="C4" s="81" t="s">
        <v>78</v>
      </c>
      <c r="D4" s="81" t="s">
        <v>79</v>
      </c>
      <c r="E4" s="81" t="s">
        <v>80</v>
      </c>
      <c r="F4" s="81" t="s">
        <v>81</v>
      </c>
      <c r="G4" s="81" t="s">
        <v>82</v>
      </c>
      <c r="H4" s="81" t="s">
        <v>83</v>
      </c>
      <c r="I4" s="81" t="s">
        <v>84</v>
      </c>
      <c r="J4" s="81" t="s">
        <v>85</v>
      </c>
      <c r="K4" s="81" t="s">
        <v>86</v>
      </c>
      <c r="L4" s="81" t="s">
        <v>87</v>
      </c>
      <c r="M4" s="81" t="s">
        <v>88</v>
      </c>
      <c r="N4" s="81" t="s">
        <v>36</v>
      </c>
      <c r="O4" s="107" t="s">
        <v>222</v>
      </c>
      <c r="P4" s="107" t="s">
        <v>223</v>
      </c>
      <c r="Q4" s="107" t="s">
        <v>224</v>
      </c>
      <c r="S4" s="96" t="s">
        <v>96</v>
      </c>
      <c r="T4" s="96"/>
    </row>
    <row r="5" spans="1:20" ht="21" customHeight="1" x14ac:dyDescent="0.3">
      <c r="A5" s="82"/>
      <c r="B5" s="83" t="s">
        <v>89</v>
      </c>
      <c r="C5" s="84">
        <v>30</v>
      </c>
      <c r="D5" s="84">
        <v>70</v>
      </c>
      <c r="E5" s="85">
        <v>2.5</v>
      </c>
      <c r="F5" s="86">
        <v>1131400</v>
      </c>
      <c r="G5" s="88">
        <f>IF($B5="","",C5/D5)</f>
        <v>0.42857142857142855</v>
      </c>
      <c r="H5" s="89">
        <f>IF($B5="","",1-0.5*(G5+G5^2))</f>
        <v>0.69387755102040816</v>
      </c>
      <c r="I5" s="89">
        <f>IF($B5="","",1-INDEX($T$6:$T$14,MATCH(E5,$S$6:$S$14,0)))</f>
        <v>0.91910000000000003</v>
      </c>
      <c r="J5" s="89">
        <f>IF($B5="","",1-H5*I5)</f>
        <v>0.36225714285714283</v>
      </c>
      <c r="K5" s="87">
        <f>IF($B5="","",F5*J5)</f>
        <v>409857.73142857139</v>
      </c>
      <c r="L5" s="89">
        <f>IF($B5="","",I5*H5)</f>
        <v>0.63774285714285717</v>
      </c>
      <c r="M5" s="87">
        <f>IF($B5="","",F5*L5)</f>
        <v>721542.26857142861</v>
      </c>
      <c r="N5" s="93">
        <f>IF($B5="","",MROUND(M5,1000))</f>
        <v>722000</v>
      </c>
      <c r="O5" s="170">
        <v>97</v>
      </c>
      <c r="P5" s="171">
        <f>IF($B5="","",MROUND(N5*O5,100))</f>
        <v>70034000</v>
      </c>
      <c r="Q5" s="172">
        <f>IF(AND($B5&lt;&gt;"",$A5=""),COUNTIFS($A$5:$A5,"",$B$5:$B5,"&lt;&gt;"),"")</f>
        <v>1</v>
      </c>
      <c r="S5" s="81" t="s">
        <v>97</v>
      </c>
      <c r="T5" s="81" t="s">
        <v>98</v>
      </c>
    </row>
    <row r="6" spans="1:20" ht="21" customHeight="1" x14ac:dyDescent="0.3">
      <c r="A6" s="82"/>
      <c r="B6" s="83" t="s">
        <v>90</v>
      </c>
      <c r="C6" s="84">
        <v>30</v>
      </c>
      <c r="D6" s="84">
        <v>70</v>
      </c>
      <c r="E6" s="85">
        <v>3.5</v>
      </c>
      <c r="F6" s="86">
        <v>1131400</v>
      </c>
      <c r="G6" s="88">
        <f>IF($B6="","",C6/D6)</f>
        <v>0.42857142857142855</v>
      </c>
      <c r="H6" s="89">
        <f>IF($B6="","",1-0.5*(G6+G6^2))</f>
        <v>0.69387755102040816</v>
      </c>
      <c r="I6" s="89">
        <f>IF($B6="","",1-INDEX($T$6:$T$14,MATCH(E6,$S$6:$S$14,0)))</f>
        <v>0.66799999999999993</v>
      </c>
      <c r="J6" s="89">
        <f>IF($B6="","",1-H6*I6)</f>
        <v>0.53648979591836743</v>
      </c>
      <c r="K6" s="87">
        <f>IF($B6="","",F6*J6)</f>
        <v>606984.55510204087</v>
      </c>
      <c r="L6" s="89">
        <f>IF($B6="","",I6*H6)</f>
        <v>0.46351020408163257</v>
      </c>
      <c r="M6" s="87">
        <f>IF($B6="","",F6*L6)</f>
        <v>524415.44489795913</v>
      </c>
      <c r="N6" s="93">
        <f>IF($B6="","",MROUND(M6,1000))</f>
        <v>524000</v>
      </c>
      <c r="O6" s="170">
        <v>70</v>
      </c>
      <c r="P6" s="171">
        <f>IF($B6="","",MROUND(N6*O6,100))</f>
        <v>36680000</v>
      </c>
      <c r="Q6" s="172">
        <f>IF(AND($B6&lt;&gt;"",$A6=""),COUNTIFS($A$5:$A6,"",$B$5:$B6,"&lt;&gt;"),"")</f>
        <v>2</v>
      </c>
      <c r="S6" s="85">
        <v>1</v>
      </c>
      <c r="T6" s="90">
        <v>0</v>
      </c>
    </row>
    <row r="7" spans="1:20" ht="21" customHeight="1" x14ac:dyDescent="0.3">
      <c r="A7" s="82"/>
      <c r="B7" s="83" t="s">
        <v>91</v>
      </c>
      <c r="C7" s="84">
        <v>25</v>
      </c>
      <c r="D7" s="84">
        <v>70</v>
      </c>
      <c r="E7" s="85">
        <v>3.5</v>
      </c>
      <c r="F7" s="86">
        <v>1131400</v>
      </c>
      <c r="G7" s="88">
        <f>IF($B7="","",C7/D7)</f>
        <v>0.35714285714285715</v>
      </c>
      <c r="H7" s="89">
        <f>IF($B7="","",1-0.5*(G7+G7^2))</f>
        <v>0.75765306122448983</v>
      </c>
      <c r="I7" s="89">
        <f>IF($B7="","",1-INDEX($T$6:$T$14,MATCH(E7,$S$6:$S$14,0)))</f>
        <v>0.66799999999999993</v>
      </c>
      <c r="J7" s="89">
        <f>IF($B7="","",1-H7*I7)</f>
        <v>0.49388775510204086</v>
      </c>
      <c r="K7" s="87">
        <f>IF($B7="","",F7*J7)</f>
        <v>558784.60612244904</v>
      </c>
      <c r="L7" s="89">
        <f>IF($B7="","",I7*H7)</f>
        <v>0.50611224489795914</v>
      </c>
      <c r="M7" s="87">
        <f>IF($B7="","",F7*L7)</f>
        <v>572615.39387755096</v>
      </c>
      <c r="N7" s="93">
        <f>IF($B7="","",MROUND(M7,1000))</f>
        <v>573000</v>
      </c>
      <c r="O7" s="173">
        <v>53</v>
      </c>
      <c r="P7" s="174">
        <f>IF($B7="","",MROUND(N7*O7,100))</f>
        <v>30369000</v>
      </c>
      <c r="Q7" s="106">
        <f>IF(AND($B7&lt;&gt;"",$A7=""),COUNTIFS($A$5:$A7,"",$B$5:$B7,"&lt;&gt;"),"")</f>
        <v>3</v>
      </c>
      <c r="S7" s="85">
        <v>1.5</v>
      </c>
      <c r="T7" s="90">
        <v>3.2000000000000003E-4</v>
      </c>
    </row>
    <row r="8" spans="1:20" ht="21" customHeight="1" x14ac:dyDescent="0.3">
      <c r="A8" s="82"/>
      <c r="B8" s="83" t="s">
        <v>92</v>
      </c>
      <c r="C8" s="84">
        <v>30</v>
      </c>
      <c r="D8" s="84">
        <v>70</v>
      </c>
      <c r="E8" s="85">
        <v>4</v>
      </c>
      <c r="F8" s="86">
        <v>1286778</v>
      </c>
      <c r="G8" s="88">
        <f>IF($B8="","",C8/D8)</f>
        <v>0.42857142857142855</v>
      </c>
      <c r="H8" s="89">
        <f>IF($B8="","",1-0.5*(G8+G8^2))</f>
        <v>0.69387755102040816</v>
      </c>
      <c r="I8" s="89">
        <f>IF($B8="","",1-INDEX($T$6:$T$14,MATCH(E8,$S$6:$S$14,0)))</f>
        <v>0.47399999999999998</v>
      </c>
      <c r="J8" s="89">
        <f>IF($B8="","",1-H8*I8)</f>
        <v>0.67110204081632663</v>
      </c>
      <c r="K8" s="87">
        <f>IF($B8="","",F8*J8)</f>
        <v>863559.34187755117</v>
      </c>
      <c r="L8" s="89">
        <f>IF($B8="","",I8*H8)</f>
        <v>0.32889795918367343</v>
      </c>
      <c r="M8" s="87">
        <f>IF($B8="","",F8*L8)</f>
        <v>423218.65812244895</v>
      </c>
      <c r="N8" s="93">
        <f>IF($B8="","",MROUND(M8,1000))</f>
        <v>423000</v>
      </c>
      <c r="O8" s="175">
        <v>35</v>
      </c>
      <c r="P8" s="171">
        <f>IF($B8="","",MROUND(N8*O8,100))</f>
        <v>14805000</v>
      </c>
      <c r="Q8" s="172">
        <f>IF(AND($B8&lt;&gt;"",$A8=""),COUNTIFS($A$5:$A8,"",$B$5:$B8,"&lt;&gt;"),"")</f>
        <v>4</v>
      </c>
      <c r="S8" s="85">
        <v>2</v>
      </c>
      <c r="T8" s="90">
        <v>2.52E-2</v>
      </c>
    </row>
    <row r="9" spans="1:20" ht="21" customHeight="1" x14ac:dyDescent="0.3">
      <c r="A9" s="82"/>
      <c r="B9" s="83" t="s">
        <v>93</v>
      </c>
      <c r="C9" s="84">
        <v>30</v>
      </c>
      <c r="D9" s="84">
        <v>50</v>
      </c>
      <c r="E9" s="85">
        <v>4</v>
      </c>
      <c r="F9" s="86">
        <v>1286778</v>
      </c>
      <c r="G9" s="88">
        <f>IF($B9="","",C9/D9)</f>
        <v>0.6</v>
      </c>
      <c r="H9" s="89">
        <f>IF($B9="","",1-0.5*(G9+G9^2))</f>
        <v>0.52</v>
      </c>
      <c r="I9" s="89">
        <f>IF($B9="","",1-INDEX($T$6:$T$14,MATCH(E9,$S$6:$S$14,0)))</f>
        <v>0.47399999999999998</v>
      </c>
      <c r="J9" s="89">
        <f>IF($B9="","",1-H9*I9)</f>
        <v>0.75351999999999997</v>
      </c>
      <c r="K9" s="87">
        <f>IF($B9="","",F9*J9)</f>
        <v>969612.95855999994</v>
      </c>
      <c r="L9" s="89">
        <f>IF($B9="","",I9*H9)</f>
        <v>0.24648</v>
      </c>
      <c r="M9" s="87">
        <f>IF($B9="","",F9*L9)</f>
        <v>317165.04144</v>
      </c>
      <c r="N9" s="93">
        <f>IF($B9="","",MROUND(M9,1000))</f>
        <v>317000</v>
      </c>
      <c r="O9" s="193">
        <v>28</v>
      </c>
      <c r="P9" s="194">
        <f>IF($B9="","",MROUND(N9*O9,100))</f>
        <v>8876000</v>
      </c>
      <c r="Q9" s="195">
        <f>IF(AND($B9&lt;&gt;"",$A9=""),COUNTIFS($A$5:$A9,"",$B$5:$B9,"&lt;&gt;"),"")</f>
        <v>5</v>
      </c>
      <c r="S9" s="85">
        <v>2.5</v>
      </c>
      <c r="T9" s="90">
        <v>8.09E-2</v>
      </c>
    </row>
    <row r="10" spans="1:20" ht="21" customHeight="1" x14ac:dyDescent="0.3">
      <c r="A10" s="82"/>
      <c r="B10" s="83" t="s">
        <v>94</v>
      </c>
      <c r="C10" s="84">
        <v>30</v>
      </c>
      <c r="D10" s="84">
        <v>70</v>
      </c>
      <c r="E10" s="85">
        <v>3</v>
      </c>
      <c r="F10" s="86">
        <v>1231701</v>
      </c>
      <c r="G10" s="88">
        <f>IF($B10="","",C10/D10)</f>
        <v>0.42857142857142855</v>
      </c>
      <c r="H10" s="89">
        <f>IF($B10="","",1-0.5*(G10+G10^2))</f>
        <v>0.69387755102040816</v>
      </c>
      <c r="I10" s="89">
        <f>IF($B10="","",1-INDEX($T$6:$T$14,MATCH(E10,$S$6:$S$14,0)))</f>
        <v>0.81899999999999995</v>
      </c>
      <c r="J10" s="89">
        <f>IF($B10="","",1-H10*I10)</f>
        <v>0.43171428571428572</v>
      </c>
      <c r="K10" s="87">
        <f>IF($B10="","",F10*J10)</f>
        <v>531742.91742857138</v>
      </c>
      <c r="L10" s="89">
        <f>IF($B10="","",I10*H10)</f>
        <v>0.56828571428571428</v>
      </c>
      <c r="M10" s="87">
        <f>IF($B10="","",F10*L10)</f>
        <v>699958.08257142862</v>
      </c>
      <c r="N10" s="93">
        <f>IF($B10="","",MROUND(M10,1000))</f>
        <v>700000</v>
      </c>
      <c r="O10" s="193">
        <v>17</v>
      </c>
      <c r="P10" s="194">
        <f>IF($B10="","",MROUND(N10*O10,100))</f>
        <v>11900000</v>
      </c>
      <c r="Q10" s="195">
        <f>IF(AND($B10&lt;&gt;"",$A10=""),COUNTIFS($A$5:$A10,"",$B$5:$B10,"&lt;&gt;"),"")</f>
        <v>6</v>
      </c>
      <c r="S10" s="85">
        <v>3</v>
      </c>
      <c r="T10" s="90">
        <v>0.18099999999999999</v>
      </c>
    </row>
    <row r="11" spans="1:20" ht="21" customHeight="1" x14ac:dyDescent="0.3">
      <c r="A11" s="82"/>
      <c r="B11" s="83"/>
      <c r="C11" s="84"/>
      <c r="D11" s="84"/>
      <c r="E11" s="85"/>
      <c r="F11" s="86"/>
      <c r="G11" s="88" t="str">
        <f>IF($B11="","",C11/D11)</f>
        <v/>
      </c>
      <c r="H11" s="89" t="str">
        <f>IF($B11="","",1-0.5*(G11+G11^2))</f>
        <v/>
      </c>
      <c r="I11" s="89" t="str">
        <f>IF($B11="","",1-INDEX($T$6:$T$14,MATCH(E11,$S$6:$S$14,0)))</f>
        <v/>
      </c>
      <c r="J11" s="89" t="str">
        <f>IF($B11="","",1-H11*I11)</f>
        <v/>
      </c>
      <c r="K11" s="87" t="str">
        <f>IF($B11="","",F11*J11)</f>
        <v/>
      </c>
      <c r="L11" s="89" t="str">
        <f>IF($B11="","",I11*H11)</f>
        <v/>
      </c>
      <c r="M11" s="87" t="str">
        <f>IF($B11="","",F11*L11)</f>
        <v/>
      </c>
      <c r="N11" s="93" t="str">
        <f>IF($B11="","",MROUND(M11,1000))</f>
        <v/>
      </c>
      <c r="O11" s="193"/>
      <c r="P11" s="194" t="str">
        <f>IF($B11="","",MROUND(N11*O11,100))</f>
        <v/>
      </c>
      <c r="Q11" s="195" t="str">
        <f>IF(AND($B11&lt;&gt;"",$A11=""),COUNTIFS($A$5:$A11,"",$B$5:$B11,"&lt;&gt;"),"")</f>
        <v/>
      </c>
      <c r="S11" s="85">
        <v>3.5</v>
      </c>
      <c r="T11" s="90">
        <v>0.33200000000000002</v>
      </c>
    </row>
    <row r="12" spans="1:20" ht="21" customHeight="1" x14ac:dyDescent="0.3">
      <c r="A12" s="82"/>
      <c r="B12" s="83"/>
      <c r="C12" s="84"/>
      <c r="D12" s="84"/>
      <c r="E12" s="85"/>
      <c r="F12" s="86"/>
      <c r="G12" s="88" t="str">
        <f>IF($B12="","",C12/D12)</f>
        <v/>
      </c>
      <c r="H12" s="89" t="str">
        <f>IF($B12="","",1-0.5*(G12+G12^2))</f>
        <v/>
      </c>
      <c r="I12" s="89" t="str">
        <f>IF($B12="","",1-INDEX($T$6:$T$14,MATCH(E12,$S$6:$S$14,0)))</f>
        <v/>
      </c>
      <c r="J12" s="89" t="str">
        <f>IF($B12="","",1-H12*I12)</f>
        <v/>
      </c>
      <c r="K12" s="87" t="str">
        <f>IF($B12="","",F12*J12)</f>
        <v/>
      </c>
      <c r="L12" s="89" t="str">
        <f>IF($B12="","",I12*H12)</f>
        <v/>
      </c>
      <c r="M12" s="87" t="str">
        <f>IF($B12="","",F12*L12)</f>
        <v/>
      </c>
      <c r="N12" s="93" t="str">
        <f>IF($B12="","",MROUND(M12,1000))</f>
        <v/>
      </c>
      <c r="O12" s="193"/>
      <c r="P12" s="194" t="str">
        <f>IF($B12="","",MROUND(N12*O12,100))</f>
        <v/>
      </c>
      <c r="Q12" s="195" t="str">
        <f>IF(AND($B12&lt;&gt;"",$A12=""),COUNTIFS($A$5:$A12,"",$B$5:$B12,"&lt;&gt;"),"")</f>
        <v/>
      </c>
      <c r="S12" s="85">
        <v>4</v>
      </c>
      <c r="T12" s="90">
        <v>0.52600000000000002</v>
      </c>
    </row>
    <row r="13" spans="1:20" ht="21" customHeight="1" x14ac:dyDescent="0.3">
      <c r="A13" s="82"/>
      <c r="B13" s="83"/>
      <c r="C13" s="84"/>
      <c r="D13" s="84"/>
      <c r="E13" s="85"/>
      <c r="F13" s="86"/>
      <c r="G13" s="88" t="str">
        <f>IF($B13="","",C13/D13)</f>
        <v/>
      </c>
      <c r="H13" s="89" t="str">
        <f>IF($B13="","",1-0.5*(G13+G13^2))</f>
        <v/>
      </c>
      <c r="I13" s="89" t="str">
        <f>IF($B13="","",1-INDEX($T$6:$T$14,MATCH(E13,$S$6:$S$14,0)))</f>
        <v/>
      </c>
      <c r="J13" s="89" t="str">
        <f>IF($B13="","",1-H13*I13)</f>
        <v/>
      </c>
      <c r="K13" s="87" t="str">
        <f>IF($B13="","",F13*J13)</f>
        <v/>
      </c>
      <c r="L13" s="89" t="str">
        <f>IF($B13="","",I13*H13)</f>
        <v/>
      </c>
      <c r="M13" s="87" t="str">
        <f>IF($B13="","",F13*L13)</f>
        <v/>
      </c>
      <c r="N13" s="93" t="str">
        <f>IF($B13="","",MROUND(M13,1000))</f>
        <v/>
      </c>
      <c r="O13" s="193"/>
      <c r="P13" s="194" t="str">
        <f>IF($B13="","",MROUND(N13*O13,100))</f>
        <v/>
      </c>
      <c r="Q13" s="195" t="str">
        <f>IF(AND($B13&lt;&gt;"",$A13=""),COUNTIFS($A$5:$A13,"",$B$5:$B13,"&lt;&gt;"),"")</f>
        <v/>
      </c>
      <c r="S13" s="85">
        <v>4.5</v>
      </c>
      <c r="T13" s="90">
        <v>0.752</v>
      </c>
    </row>
    <row r="14" spans="1:20" ht="21" customHeight="1" x14ac:dyDescent="0.3">
      <c r="A14" s="82"/>
      <c r="B14" s="83"/>
      <c r="C14" s="84"/>
      <c r="D14" s="84"/>
      <c r="E14" s="85"/>
      <c r="F14" s="86"/>
      <c r="G14" s="88" t="str">
        <f>IF($B14="","",C14/D14)</f>
        <v/>
      </c>
      <c r="H14" s="89" t="str">
        <f>IF($B14="","",1-0.5*(G14+G14^2))</f>
        <v/>
      </c>
      <c r="I14" s="89" t="str">
        <f>IF($B14="","",1-INDEX($T$6:$T$14,MATCH(E14,$S$6:$S$14,0)))</f>
        <v/>
      </c>
      <c r="J14" s="89" t="str">
        <f>IF($B14="","",1-H14*I14)</f>
        <v/>
      </c>
      <c r="K14" s="87" t="str">
        <f>IF($B14="","",F14*J14)</f>
        <v/>
      </c>
      <c r="L14" s="89" t="str">
        <f>IF($B14="","",I14*H14)</f>
        <v/>
      </c>
      <c r="M14" s="87" t="str">
        <f>IF($B14="","",F14*L14)</f>
        <v/>
      </c>
      <c r="N14" s="93" t="str">
        <f>IF($B14="","",MROUND(M14,1000))</f>
        <v/>
      </c>
      <c r="O14" s="193"/>
      <c r="P14" s="194" t="str">
        <f>IF($B14="","",MROUND(N14*O14,100))</f>
        <v/>
      </c>
      <c r="Q14" s="195" t="str">
        <f>IF(AND($B14&lt;&gt;"",$A14=""),COUNTIFS($A$5:$A14,"",$B$5:$B14,"&lt;&gt;"),"")</f>
        <v/>
      </c>
      <c r="S14" s="85">
        <v>5</v>
      </c>
      <c r="T14" s="90">
        <v>1</v>
      </c>
    </row>
    <row r="15" spans="1:20" ht="21" customHeight="1" x14ac:dyDescent="0.3">
      <c r="A15" s="176" t="s">
        <v>95</v>
      </c>
      <c r="B15" s="177"/>
      <c r="C15" s="177"/>
      <c r="D15" s="177"/>
      <c r="E15" s="177"/>
      <c r="F15" s="92">
        <f>SUM(F5:F14)</f>
        <v>7199457</v>
      </c>
      <c r="G15" s="91"/>
      <c r="H15" s="91"/>
      <c r="I15" s="91"/>
      <c r="J15" s="91"/>
      <c r="K15" s="92">
        <f>SUM(K5:K14)</f>
        <v>3940542.1105191833</v>
      </c>
      <c r="L15" s="91"/>
      <c r="M15" s="92">
        <f>SUM(M5:M14)</f>
        <v>3258914.8894808162</v>
      </c>
      <c r="N15" s="92">
        <f>SUM(N5:N14)</f>
        <v>3259000</v>
      </c>
      <c r="O15" s="196"/>
      <c r="P15" s="197">
        <f>SUM(P5:P14)</f>
        <v>172664000</v>
      </c>
      <c r="Q15" s="196"/>
    </row>
    <row r="16" spans="1:20" x14ac:dyDescent="0.3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19.95" customHeight="1" x14ac:dyDescent="0.3">
      <c r="A17" s="80" t="s">
        <v>225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79"/>
      <c r="P17" s="79"/>
      <c r="Q17" s="79"/>
    </row>
    <row r="18" spans="1:17" ht="34.049999999999997" customHeight="1" x14ac:dyDescent="0.3">
      <c r="A18" s="169" t="s">
        <v>11</v>
      </c>
      <c r="B18" s="97" t="s">
        <v>12</v>
      </c>
      <c r="C18" s="97"/>
      <c r="D18" s="97"/>
      <c r="E18" s="97"/>
      <c r="F18" s="169" t="s">
        <v>99</v>
      </c>
      <c r="G18" s="97" t="s">
        <v>226</v>
      </c>
      <c r="H18" s="97"/>
      <c r="I18" s="97"/>
      <c r="J18" s="97" t="s">
        <v>227</v>
      </c>
      <c r="K18" s="97"/>
      <c r="L18" s="97"/>
      <c r="M18" s="97" t="s">
        <v>18</v>
      </c>
      <c r="N18" s="97"/>
    </row>
    <row r="19" spans="1:17" ht="22.05" customHeight="1" x14ac:dyDescent="0.3">
      <c r="A19" s="181">
        <f>IF((ROWS($A$19:$A19)+8)&gt;AUX_COMBINACIONES!$C$3,"",IF(INDEX('MERCADO RURAL'!$A:$A,(ROWS($A$19:$A19)+8))="","",INDEX('MERCADO RURAL'!$A:$A,(ROWS($A$19:$A19)+8))))</f>
        <v>1</v>
      </c>
      <c r="B19" s="265" t="str">
        <f>IF($A19="","",INDEX('MERCADO RURAL'!$B:$B,(ROWS($A$19:$A19)+8)))</f>
        <v>Dibulla, sobre Troncal del Caribe, cerca a Ciénaga de Mamavita / La Punta de los Remedios</v>
      </c>
      <c r="C19" s="266"/>
      <c r="D19" s="266"/>
      <c r="E19" s="266"/>
      <c r="F19" s="139">
        <f>IF($A19="","",COUNTIFS($A$5:$A$14,$A19,$B$5:$B$14,"&lt;&gt;"))</f>
        <v>0</v>
      </c>
      <c r="G19" s="184">
        <f>IF($A19="","",SUMPRODUCT(($A$5:$A$14=$A19)*$F$5:$F$14*$O$5:$O$14))</f>
        <v>0</v>
      </c>
      <c r="H19" s="183"/>
      <c r="I19" s="183"/>
      <c r="J19" s="184">
        <f>IF($A19="","",G19-M19)</f>
        <v>0</v>
      </c>
      <c r="K19" s="183"/>
      <c r="L19" s="183"/>
      <c r="M19" s="185">
        <f>IF($A19="","",SUMIFS($P$5:$P$14,$A$5:$A$14,$A19))</f>
        <v>0</v>
      </c>
      <c r="N19" s="186"/>
    </row>
    <row r="20" spans="1:17" ht="22.05" customHeight="1" x14ac:dyDescent="0.3">
      <c r="A20" s="181">
        <f>IF((ROWS($A$19:$A20)+8)&gt;AUX_COMBINACIONES!$C$3,"",IF(INDEX('MERCADO RURAL'!$A:$A,(ROWS($A$19:$A20)+8))="","",INDEX('MERCADO RURAL'!$A:$A,(ROWS($A$19:$A20)+8))))</f>
        <v>2</v>
      </c>
      <c r="B20" s="265" t="str">
        <f>IF($A20="","",INDEX('MERCADO RURAL'!$B:$B,(ROWS($A$19:$A20)+8)))</f>
        <v>Camarones II, sector Cachaca 1, Riohacha – frente a vía principal, ~800 m de la playa</v>
      </c>
      <c r="C20" s="266"/>
      <c r="D20" s="266"/>
      <c r="E20" s="266"/>
      <c r="F20" s="139">
        <f>IF($A20="","",COUNTIFS($A$5:$A$14,$A20,$B$5:$B$14,"&lt;&gt;"))</f>
        <v>0</v>
      </c>
      <c r="G20" s="184">
        <f>IF($A20="","",SUMPRODUCT(($A$5:$A$14=$A20)*$F$5:$F$14*$O$5:$O$14))</f>
        <v>0</v>
      </c>
      <c r="H20" s="183"/>
      <c r="I20" s="183"/>
      <c r="J20" s="184">
        <f>IF($A20="","",G20-M20)</f>
        <v>0</v>
      </c>
      <c r="K20" s="183"/>
      <c r="L20" s="183"/>
      <c r="M20" s="185">
        <f>IF($A20="","",SUMIFS($P$5:$P$14,$A$5:$A$14,$A20))</f>
        <v>0</v>
      </c>
      <c r="N20" s="186"/>
    </row>
    <row r="21" spans="1:17" ht="22.05" customHeight="1" x14ac:dyDescent="0.3">
      <c r="A21" s="181">
        <f>IF((ROWS($A$19:$A21)+8)&gt;AUX_COMBINACIONES!$C$3,"",IF(INDEX('MERCADO RURAL'!$A:$A,(ROWS($A$19:$A21)+8))="","",INDEX('MERCADO RURAL'!$A:$A,(ROWS($A$19:$A21)+8))))</f>
        <v>3</v>
      </c>
      <c r="B21" s="265" t="str">
        <f>IF($A21="","",INDEX('MERCADO RURAL'!$B:$B,(ROWS($A$19:$A21)+8)))</f>
        <v>La Guija, a 5 km de El Retiro, Riohacha (vía destapada)</v>
      </c>
      <c r="C21" s="266"/>
      <c r="D21" s="266"/>
      <c r="E21" s="266"/>
      <c r="F21" s="139">
        <f>IF($A21="","",COUNTIFS($A$5:$A$14,$A21,$B$5:$B$14,"&lt;&gt;"))</f>
        <v>0</v>
      </c>
      <c r="G21" s="184">
        <f>IF($A21="","",SUMPRODUCT(($A$5:$A$14=$A21)*$F$5:$F$14*$O$5:$O$14))</f>
        <v>0</v>
      </c>
      <c r="H21" s="183"/>
      <c r="I21" s="183"/>
      <c r="J21" s="184">
        <f>IF($A21="","",G21-M21)</f>
        <v>0</v>
      </c>
      <c r="K21" s="183"/>
      <c r="L21" s="183"/>
      <c r="M21" s="185">
        <f>IF($A21="","",SUMIFS($P$5:$P$14,$A$5:$A$14,$A21))</f>
        <v>0</v>
      </c>
      <c r="N21" s="186"/>
    </row>
    <row r="22" spans="1:17" ht="22.05" customHeight="1" x14ac:dyDescent="0.3">
      <c r="A22" s="181">
        <f>IF((ROWS($A$19:$A22)+8)&gt;AUX_COMBINACIONES!$C$3,"",IF(INDEX('MERCADO RURAL'!$A:$A,(ROWS($A$19:$A22)+8))="","",INDEX('MERCADO RURAL'!$A:$A,(ROWS($A$19:$A22)+8))))</f>
        <v>4</v>
      </c>
      <c r="B22" s="265" t="str">
        <f>IF($A22="","",INDEX('MERCADO RURAL'!$B:$B,(ROWS($A$19:$A22)+8)))</f>
        <v>Riohacha, frente al mar (~40 m de playa)</v>
      </c>
      <c r="C22" s="266"/>
      <c r="D22" s="266"/>
      <c r="E22" s="266"/>
      <c r="F22" s="139">
        <f>IF($A22="","",COUNTIFS($A$5:$A$14,$A22,$B$5:$B$14,"&lt;&gt;"))</f>
        <v>0</v>
      </c>
      <c r="G22" s="184">
        <f>IF($A22="","",SUMPRODUCT(($A$5:$A$14=$A22)*$F$5:$F$14*$O$5:$O$14))</f>
        <v>0</v>
      </c>
      <c r="H22" s="183"/>
      <c r="I22" s="183"/>
      <c r="J22" s="184">
        <f>IF($A22="","",G22-M22)</f>
        <v>0</v>
      </c>
      <c r="K22" s="183"/>
      <c r="L22" s="183"/>
      <c r="M22" s="185">
        <f>IF($A22="","",SUMIFS($P$5:$P$14,$A$5:$A$14,$A22))</f>
        <v>0</v>
      </c>
      <c r="N22" s="186"/>
    </row>
    <row r="23" spans="1:17" ht="22.05" customHeight="1" x14ac:dyDescent="0.3">
      <c r="A23" s="181">
        <f>IF((ROWS($A$19:$A23)+8)&gt;AUX_COMBINACIONES!$C$3,"",IF(INDEX('MERCADO RURAL'!$A:$A,(ROWS($A$19:$A23)+8))="","",INDEX('MERCADO RURAL'!$A:$A,(ROWS($A$19:$A23)+8))))</f>
        <v>5</v>
      </c>
      <c r="B23" s="265" t="str">
        <f>IF($A23="","",INDEX('MERCADO RURAL'!$B:$B,(ROWS($A$19:$A23)+8)))</f>
        <v>Chingale / Mingueo, Dibulla – 250 m de frente de playa</v>
      </c>
      <c r="C23" s="266"/>
      <c r="D23" s="266"/>
      <c r="E23" s="266"/>
      <c r="F23" s="139">
        <f>IF($A23="","",COUNTIFS($A$5:$A$14,$A23,$B$5:$B$14,"&lt;&gt;"))</f>
        <v>0</v>
      </c>
      <c r="G23" s="187">
        <f>IF($A23="","",SUMPRODUCT(($A$5:$A$14=$A23)*$F$5:$F$14*$O$5:$O$14))</f>
        <v>0</v>
      </c>
      <c r="H23" s="188"/>
      <c r="I23" s="188"/>
      <c r="J23" s="187">
        <f>IF($A23="","",G23-M23)</f>
        <v>0</v>
      </c>
      <c r="K23" s="188"/>
      <c r="L23" s="188"/>
      <c r="M23" s="185">
        <f>IF($A23="","",SUMIFS($P$5:$P$14,$A$5:$A$14,$A23))</f>
        <v>0</v>
      </c>
      <c r="N23" s="186"/>
    </row>
    <row r="24" spans="1:17" ht="22.05" customHeight="1" x14ac:dyDescent="0.3">
      <c r="A24" s="181">
        <f>IF((ROWS($A$19:$A24)+8)&gt;AUX_COMBINACIONES!$C$3,"",IF(INDEX('MERCADO RURAL'!$A:$A,(ROWS($A$19:$A24)+8))="","",INDEX('MERCADO RURAL'!$A:$A,(ROWS($A$19:$A24)+8))))</f>
        <v>6</v>
      </c>
      <c r="B24" s="265" t="str">
        <f>IF($A24="","",INDEX('MERCADO RURAL'!$B:$B,(ROWS($A$19:$A24)+8)))</f>
        <v>Palomino, Dibulla – 25 m de frente de playa × 400 m</v>
      </c>
      <c r="C24" s="266"/>
      <c r="D24" s="266"/>
      <c r="E24" s="266"/>
      <c r="F24" s="139">
        <f>IF($A24="","",COUNTIFS($A$5:$A$14,$A24,$B$5:$B$14,"&lt;&gt;"))</f>
        <v>0</v>
      </c>
      <c r="G24" s="187">
        <f>IF($A24="","",SUMPRODUCT(($A$5:$A$14=$A24)*$F$5:$F$14*$O$5:$O$14))</f>
        <v>0</v>
      </c>
      <c r="H24" s="188"/>
      <c r="I24" s="188"/>
      <c r="J24" s="187">
        <f>IF($A24="","",G24-M24)</f>
        <v>0</v>
      </c>
      <c r="K24" s="188"/>
      <c r="L24" s="188"/>
      <c r="M24" s="185">
        <f>IF($A24="","",SUMIFS($P$5:$P$14,$A$5:$A$14,$A24))</f>
        <v>0</v>
      </c>
      <c r="N24" s="186"/>
    </row>
    <row r="25" spans="1:17" ht="22.05" customHeight="1" x14ac:dyDescent="0.3">
      <c r="A25" s="181">
        <f>IF((ROWS($A$19:$A25)+8)&gt;AUX_COMBINACIONES!$C$3,"",IF(INDEX('MERCADO RURAL'!$A:$A,(ROWS($A$19:$A25)+8))="","",INDEX('MERCADO RURAL'!$A:$A,(ROWS($A$19:$A25)+8))))</f>
        <v>7</v>
      </c>
      <c r="B25" s="265" t="str">
        <f>IF($A25="","",INDEX('MERCADO RURAL'!$B:$B,(ROWS($A$19:$A25)+8)))</f>
        <v>Estribaciones Sierra Nevada, Riohacha – 10 min del mar, riego en 12 ha, 2 casas</v>
      </c>
      <c r="C25" s="266"/>
      <c r="D25" s="266"/>
      <c r="E25" s="266"/>
      <c r="F25" s="139">
        <f>IF($A25="","",COUNTIFS($A$5:$A$14,$A25,$B$5:$B$14,"&lt;&gt;"))</f>
        <v>0</v>
      </c>
      <c r="G25" s="187">
        <f>IF($A25="","",SUMPRODUCT(($A$5:$A$14=$A25)*$F$5:$F$14*$O$5:$O$14))</f>
        <v>0</v>
      </c>
      <c r="H25" s="188"/>
      <c r="I25" s="188"/>
      <c r="J25" s="187">
        <f>IF($A25="","",G25-M25)</f>
        <v>0</v>
      </c>
      <c r="K25" s="188"/>
      <c r="L25" s="188"/>
      <c r="M25" s="185">
        <f>IF($A25="","",SUMIFS($P$5:$P$14,$A$5:$A$14,$A25))</f>
        <v>0</v>
      </c>
      <c r="N25" s="186"/>
    </row>
    <row r="26" spans="1:17" ht="22.05" customHeight="1" x14ac:dyDescent="0.3">
      <c r="A26" s="181">
        <f>IF((ROWS($A$19:$A26)+8)&gt;AUX_COMBINACIONES!$C$3,"",IF(INDEX('MERCADO RURAL'!$A:$A,(ROWS($A$19:$A26)+8))="","",INDEX('MERCADO RURAL'!$A:$A,(ROWS($A$19:$A26)+8))))</f>
        <v>8</v>
      </c>
      <c r="B26" s="265" t="str">
        <f>IF($A26="","",INDEX('MERCADO RURAL'!$B:$B,(ROWS($A$19:$A26)+8)))</f>
        <v>Riohacha – "lotes para proyectos turísticos", mínimo 50 ha</v>
      </c>
      <c r="C26" s="266"/>
      <c r="D26" s="266"/>
      <c r="E26" s="266"/>
      <c r="F26" s="139">
        <f>IF($A26="","",COUNTIFS($A$5:$A$14,$A26,$B$5:$B$14,"&lt;&gt;"))</f>
        <v>0</v>
      </c>
      <c r="G26" s="187">
        <f>IF($A26="","",SUMPRODUCT(($A$5:$A$14=$A26)*$F$5:$F$14*$O$5:$O$14))</f>
        <v>0</v>
      </c>
      <c r="H26" s="188"/>
      <c r="I26" s="188"/>
      <c r="J26" s="187">
        <f>IF($A26="","",G26-M26)</f>
        <v>0</v>
      </c>
      <c r="K26" s="188"/>
      <c r="L26" s="188"/>
      <c r="M26" s="185">
        <f>IF($A26="","",SUMIFS($P$5:$P$14,$A$5:$A$14,$A26))</f>
        <v>0</v>
      </c>
      <c r="N26" s="186"/>
    </row>
    <row r="27" spans="1:17" ht="22.05" customHeight="1" x14ac:dyDescent="0.3">
      <c r="A27" s="181" t="str">
        <f>IF((ROWS($A$19:$A27)+8)&gt;AUX_COMBINACIONES!$C$3,"",IF(INDEX('MERCADO RURAL'!$A:$A,(ROWS($A$19:$A27)+8))="","",INDEX('MERCADO RURAL'!$A:$A,(ROWS($A$19:$A27)+8))))</f>
        <v/>
      </c>
      <c r="B27" s="182" t="str">
        <f>IF($A27="","",INDEX('MERCADO RURAL'!$B:$B,(ROWS($A$19:$A27)+8)))</f>
        <v/>
      </c>
      <c r="C27" s="183"/>
      <c r="D27" s="183"/>
      <c r="E27" s="183"/>
      <c r="F27" s="139" t="str">
        <f>IF($A27="","",COUNTIFS($A$5:$A$14,$A27,$B$5:$B$14,"&lt;&gt;"))</f>
        <v/>
      </c>
      <c r="G27" s="187" t="str">
        <f>IF($A27="","",SUMPRODUCT(($A$5:$A$14=$A27)*$F$5:$F$14*$O$5:$O$14))</f>
        <v/>
      </c>
      <c r="H27" s="188"/>
      <c r="I27" s="188"/>
      <c r="J27" s="187" t="str">
        <f>IF($A27="","",G27-M27)</f>
        <v/>
      </c>
      <c r="K27" s="188"/>
      <c r="L27" s="188"/>
      <c r="M27" s="185" t="str">
        <f>IF($A27="","",SUMIFS($P$5:$P$14,$A$5:$A$14,$A27))</f>
        <v/>
      </c>
      <c r="N27" s="186"/>
    </row>
    <row r="28" spans="1:17" ht="22.05" customHeight="1" x14ac:dyDescent="0.3">
      <c r="A28" s="181" t="str">
        <f>IF((ROWS($A$19:$A28)+8)&gt;AUX_COMBINACIONES!$C$3,"",IF(INDEX('MERCADO RURAL'!$A:$A,(ROWS($A$19:$A28)+8))="","",INDEX('MERCADO RURAL'!$A:$A,(ROWS($A$19:$A28)+8))))</f>
        <v/>
      </c>
      <c r="B28" s="182" t="str">
        <f>IF($A28="","",INDEX('MERCADO RURAL'!$B:$B,(ROWS($A$19:$A28)+8)))</f>
        <v/>
      </c>
      <c r="C28" s="183"/>
      <c r="D28" s="183"/>
      <c r="E28" s="183"/>
      <c r="F28" s="139" t="str">
        <f>IF($A28="","",COUNTIFS($A$5:$A$14,$A28,$B$5:$B$14,"&lt;&gt;"))</f>
        <v/>
      </c>
      <c r="G28" s="187" t="str">
        <f>IF($A28="","",SUMPRODUCT(($A$5:$A$14=$A28)*$F$5:$F$14*$O$5:$O$14))</f>
        <v/>
      </c>
      <c r="H28" s="188"/>
      <c r="I28" s="188"/>
      <c r="J28" s="187" t="str">
        <f>IF($A28="","",G28-M28)</f>
        <v/>
      </c>
      <c r="K28" s="188"/>
      <c r="L28" s="188"/>
      <c r="M28" s="185" t="str">
        <f>IF($A28="","",SUMIFS($P$5:$P$14,$A$5:$A$14,$A28))</f>
        <v/>
      </c>
      <c r="N28" s="186"/>
    </row>
    <row r="29" spans="1:17" ht="22.05" customHeight="1" x14ac:dyDescent="0.3">
      <c r="A29" s="181" t="str">
        <f>IF((ROWS($A$19:$A29)+8)&gt;AUX_COMBINACIONES!$C$3,"",IF(INDEX('MERCADO RURAL'!$A:$A,(ROWS($A$19:$A29)+8))="","",INDEX('MERCADO RURAL'!$A:$A,(ROWS($A$19:$A29)+8))))</f>
        <v/>
      </c>
      <c r="B29" s="182" t="str">
        <f>IF($A29="","",INDEX('MERCADO RURAL'!$B:$B,(ROWS($A$19:$A29)+8)))</f>
        <v/>
      </c>
      <c r="C29" s="183"/>
      <c r="D29" s="183"/>
      <c r="E29" s="183"/>
      <c r="F29" s="139" t="str">
        <f>IF($A29="","",COUNTIFS($A$5:$A$14,$A29,$B$5:$B$14,"&lt;&gt;"))</f>
        <v/>
      </c>
      <c r="G29" s="187" t="str">
        <f>IF($A29="","",SUMPRODUCT(($A$5:$A$14=$A29)*$F$5:$F$14*$O$5:$O$14))</f>
        <v/>
      </c>
      <c r="H29" s="188"/>
      <c r="I29" s="188"/>
      <c r="J29" s="187" t="str">
        <f>IF($A29="","",G29-M29)</f>
        <v/>
      </c>
      <c r="K29" s="188"/>
      <c r="L29" s="188"/>
      <c r="M29" s="185" t="str">
        <f>IF($A29="","",SUMIFS($P$5:$P$14,$A$5:$A$14,$A29))</f>
        <v/>
      </c>
      <c r="N29" s="186"/>
    </row>
    <row r="30" spans="1:17" ht="22.05" customHeight="1" x14ac:dyDescent="0.3">
      <c r="A30" s="181" t="str">
        <f>IF((ROWS($A$19:$A30)+8)&gt;AUX_COMBINACIONES!$C$3,"",IF(INDEX('MERCADO RURAL'!$A:$A,(ROWS($A$19:$A30)+8))="","",INDEX('MERCADO RURAL'!$A:$A,(ROWS($A$19:$A30)+8))))</f>
        <v/>
      </c>
      <c r="B30" s="182" t="str">
        <f>IF($A30="","",INDEX('MERCADO RURAL'!$B:$B,(ROWS($A$19:$A30)+8)))</f>
        <v/>
      </c>
      <c r="C30" s="183"/>
      <c r="D30" s="183"/>
      <c r="E30" s="183"/>
      <c r="F30" s="139" t="str">
        <f>IF($A30="","",COUNTIFS($A$5:$A$14,$A30,$B$5:$B$14,"&lt;&gt;"))</f>
        <v/>
      </c>
      <c r="G30" s="187" t="str">
        <f>IF($A30="","",SUMPRODUCT(($A$5:$A$14=$A30)*$F$5:$F$14*$O$5:$O$14))</f>
        <v/>
      </c>
      <c r="H30" s="188"/>
      <c r="I30" s="188"/>
      <c r="J30" s="187" t="str">
        <f>IF($A30="","",G30-M30)</f>
        <v/>
      </c>
      <c r="K30" s="188"/>
      <c r="L30" s="188"/>
      <c r="M30" s="185" t="str">
        <f>IF($A30="","",SUMIFS($P$5:$P$14,$A$5:$A$14,$A30))</f>
        <v/>
      </c>
      <c r="N30" s="186"/>
    </row>
    <row r="31" spans="1:17" ht="22.05" customHeight="1" x14ac:dyDescent="0.3">
      <c r="A31" s="181" t="str">
        <f>IF((ROWS($A$19:$A31)+8)&gt;AUX_COMBINACIONES!$C$3,"",IF(INDEX('MERCADO RURAL'!$A:$A,(ROWS($A$19:$A31)+8))="","",INDEX('MERCADO RURAL'!$A:$A,(ROWS($A$19:$A31)+8))))</f>
        <v/>
      </c>
      <c r="B31" s="182" t="str">
        <f>IF($A31="","",INDEX('MERCADO RURAL'!$B:$B,(ROWS($A$19:$A31)+8)))</f>
        <v/>
      </c>
      <c r="C31" s="183"/>
      <c r="D31" s="183"/>
      <c r="E31" s="183"/>
      <c r="F31" s="139" t="str">
        <f>IF($A31="","",COUNTIFS($A$5:$A$14,$A31,$B$5:$B$14,"&lt;&gt;"))</f>
        <v/>
      </c>
      <c r="G31" s="187" t="str">
        <f>IF($A31="","",SUMPRODUCT(($A$5:$A$14=$A31)*$F$5:$F$14*$O$5:$O$14))</f>
        <v/>
      </c>
      <c r="H31" s="188"/>
      <c r="I31" s="188"/>
      <c r="J31" s="187" t="str">
        <f>IF($A31="","",G31-M31)</f>
        <v/>
      </c>
      <c r="K31" s="188"/>
      <c r="L31" s="188"/>
      <c r="M31" s="185" t="str">
        <f>IF($A31="","",SUMIFS($P$5:$P$14,$A$5:$A$14,$A31))</f>
        <v/>
      </c>
      <c r="N31" s="186"/>
    </row>
    <row r="32" spans="1:17" ht="22.05" customHeight="1" x14ac:dyDescent="0.3">
      <c r="A32" s="181" t="str">
        <f>IF((ROWS($A$19:$A32)+8)&gt;AUX_COMBINACIONES!$C$3,"",IF(INDEX('MERCADO RURAL'!$A:$A,(ROWS($A$19:$A32)+8))="","",INDEX('MERCADO RURAL'!$A:$A,(ROWS($A$19:$A32)+8))))</f>
        <v/>
      </c>
      <c r="B32" s="182" t="str">
        <f>IF($A32="","",INDEX('MERCADO RURAL'!$B:$B,(ROWS($A$19:$A32)+8)))</f>
        <v/>
      </c>
      <c r="C32" s="183"/>
      <c r="D32" s="183"/>
      <c r="E32" s="183"/>
      <c r="F32" s="139" t="str">
        <f>IF($A32="","",COUNTIFS($A$5:$A$14,$A32,$B$5:$B$14,"&lt;&gt;"))</f>
        <v/>
      </c>
      <c r="G32" s="187" t="str">
        <f>IF($A32="","",SUMPRODUCT(($A$5:$A$14=$A32)*$F$5:$F$14*$O$5:$O$14))</f>
        <v/>
      </c>
      <c r="H32" s="188"/>
      <c r="I32" s="188"/>
      <c r="J32" s="187" t="str">
        <f>IF($A32="","",G32-M32)</f>
        <v/>
      </c>
      <c r="K32" s="188"/>
      <c r="L32" s="188"/>
      <c r="M32" s="185" t="str">
        <f>IF($A32="","",SUMIFS($P$5:$P$14,$A$5:$A$14,$A32))</f>
        <v/>
      </c>
      <c r="N32" s="186"/>
    </row>
    <row r="33" spans="1:17" ht="22.05" customHeight="1" x14ac:dyDescent="0.3">
      <c r="A33" s="181" t="str">
        <f>IF((ROWS($A$19:$A33)+8)&gt;AUX_COMBINACIONES!$C$3,"",IF(INDEX('MERCADO RURAL'!$A:$A,(ROWS($A$19:$A33)+8))="","",INDEX('MERCADO RURAL'!$A:$A,(ROWS($A$19:$A33)+8))))</f>
        <v/>
      </c>
      <c r="B33" s="182" t="str">
        <f>IF($A33="","",INDEX('MERCADO RURAL'!$B:$B,(ROWS($A$19:$A33)+8)))</f>
        <v/>
      </c>
      <c r="C33" s="183"/>
      <c r="D33" s="183"/>
      <c r="E33" s="183"/>
      <c r="F33" s="139" t="str">
        <f>IF($A33="","",COUNTIFS($A$5:$A$14,$A33,$B$5:$B$14,"&lt;&gt;"))</f>
        <v/>
      </c>
      <c r="G33" s="187" t="str">
        <f>IF($A33="","",SUMPRODUCT(($A$5:$A$14=$A33)*$F$5:$F$14*$O$5:$O$14))</f>
        <v/>
      </c>
      <c r="H33" s="188"/>
      <c r="I33" s="188"/>
      <c r="J33" s="187" t="str">
        <f>IF($A33="","",G33-M33)</f>
        <v/>
      </c>
      <c r="K33" s="188"/>
      <c r="L33" s="188"/>
      <c r="M33" s="185" t="str">
        <f>IF($A33="","",SUMIFS($P$5:$P$14,$A$5:$A$14,$A33))</f>
        <v/>
      </c>
      <c r="N33" s="186"/>
    </row>
    <row r="34" spans="1:17" ht="22.05" customHeight="1" x14ac:dyDescent="0.3">
      <c r="A34" s="181" t="str">
        <f>IF((ROWS($A$19:$A34)+8)&gt;AUX_COMBINACIONES!$C$3,"",IF(INDEX('MERCADO RURAL'!$A:$A,(ROWS($A$19:$A34)+8))="","",INDEX('MERCADO RURAL'!$A:$A,(ROWS($A$19:$A34)+8))))</f>
        <v/>
      </c>
      <c r="B34" s="182" t="str">
        <f>IF($A34="","",INDEX('MERCADO RURAL'!$B:$B,(ROWS($A$19:$A34)+8)))</f>
        <v/>
      </c>
      <c r="C34" s="183"/>
      <c r="D34" s="183"/>
      <c r="E34" s="183"/>
      <c r="F34" s="139" t="str">
        <f>IF($A34="","",COUNTIFS($A$5:$A$14,$A34,$B$5:$B$14,"&lt;&gt;"))</f>
        <v/>
      </c>
      <c r="G34" s="187" t="str">
        <f>IF($A34="","",SUMPRODUCT(($A$5:$A$14=$A34)*$F$5:$F$14*$O$5:$O$14))</f>
        <v/>
      </c>
      <c r="H34" s="188"/>
      <c r="I34" s="188"/>
      <c r="J34" s="187" t="str">
        <f>IF($A34="","",G34-M34)</f>
        <v/>
      </c>
      <c r="K34" s="188"/>
      <c r="L34" s="188"/>
      <c r="M34" s="185" t="str">
        <f>IF($A34="","",SUMIFS($P$5:$P$14,$A$5:$A$14,$A34))</f>
        <v/>
      </c>
      <c r="N34" s="186"/>
    </row>
    <row r="35" spans="1:17" ht="22.05" customHeight="1" x14ac:dyDescent="0.3">
      <c r="A35" s="181" t="str">
        <f>IF((ROWS($A$19:$A35)+8)&gt;AUX_COMBINACIONES!$C$3,"",IF(INDEX('MERCADO RURAL'!$A:$A,(ROWS($A$19:$A35)+8))="","",INDEX('MERCADO RURAL'!$A:$A,(ROWS($A$19:$A35)+8))))</f>
        <v/>
      </c>
      <c r="B35" s="182" t="str">
        <f>IF($A35="","",INDEX('MERCADO RURAL'!$B:$B,(ROWS($A$19:$A35)+8)))</f>
        <v/>
      </c>
      <c r="C35" s="183"/>
      <c r="D35" s="183"/>
      <c r="E35" s="183"/>
      <c r="F35" s="139" t="str">
        <f>IF($A35="","",COUNTIFS($A$5:$A$14,$A35,$B$5:$B$14,"&lt;&gt;"))</f>
        <v/>
      </c>
      <c r="G35" s="187" t="str">
        <f>IF($A35="","",SUMPRODUCT(($A$5:$A$14=$A35)*$F$5:$F$14*$O$5:$O$14))</f>
        <v/>
      </c>
      <c r="H35" s="188"/>
      <c r="I35" s="188"/>
      <c r="J35" s="187" t="str">
        <f>IF($A35="","",G35-M35)</f>
        <v/>
      </c>
      <c r="K35" s="188"/>
      <c r="L35" s="188"/>
      <c r="M35" s="185" t="str">
        <f>IF($A35="","",SUMIFS($P$5:$P$14,$A$5:$A$14,$A35))</f>
        <v/>
      </c>
      <c r="N35" s="186"/>
    </row>
    <row r="36" spans="1:17" ht="22.05" customHeight="1" x14ac:dyDescent="0.3">
      <c r="A36" s="181" t="str">
        <f>IF((ROWS($A$19:$A36)+8)&gt;AUX_COMBINACIONES!$C$3,"",IF(INDEX('MERCADO RURAL'!$A:$A,(ROWS($A$19:$A36)+8))="","",INDEX('MERCADO RURAL'!$A:$A,(ROWS($A$19:$A36)+8))))</f>
        <v/>
      </c>
      <c r="B36" s="182" t="str">
        <f>IF($A36="","",INDEX('MERCADO RURAL'!$B:$B,(ROWS($A$19:$A36)+8)))</f>
        <v/>
      </c>
      <c r="C36" s="183"/>
      <c r="D36" s="183"/>
      <c r="E36" s="183"/>
      <c r="F36" s="139" t="str">
        <f>IF($A36="","",COUNTIFS($A$5:$A$14,$A36,$B$5:$B$14,"&lt;&gt;"))</f>
        <v/>
      </c>
      <c r="G36" s="187" t="str">
        <f>IF($A36="","",SUMPRODUCT(($A$5:$A$14=$A36)*$F$5:$F$14*$O$5:$O$14))</f>
        <v/>
      </c>
      <c r="H36" s="188"/>
      <c r="I36" s="188"/>
      <c r="J36" s="187" t="str">
        <f>IF($A36="","",G36-M36)</f>
        <v/>
      </c>
      <c r="K36" s="188"/>
      <c r="L36" s="188"/>
      <c r="M36" s="185" t="str">
        <f>IF($A36="","",SUMIFS($P$5:$P$14,$A$5:$A$14,$A36))</f>
        <v/>
      </c>
      <c r="N36" s="186"/>
    </row>
    <row r="37" spans="1:17" ht="22.05" customHeight="1" x14ac:dyDescent="0.3">
      <c r="A37" s="181" t="str">
        <f>IF((ROWS($A$19:$A37)+8)&gt;AUX_COMBINACIONES!$C$3,"",IF(INDEX('MERCADO RURAL'!$A:$A,(ROWS($A$19:$A37)+8))="","",INDEX('MERCADO RURAL'!$A:$A,(ROWS($A$19:$A37)+8))))</f>
        <v/>
      </c>
      <c r="B37" s="182" t="str">
        <f>IF($A37="","",INDEX('MERCADO RURAL'!$B:$B,(ROWS($A$19:$A37)+8)))</f>
        <v/>
      </c>
      <c r="C37" s="183"/>
      <c r="D37" s="183"/>
      <c r="E37" s="183"/>
      <c r="F37" s="139" t="str">
        <f>IF($A37="","",COUNTIFS($A$5:$A$14,$A37,$B$5:$B$14,"&lt;&gt;"))</f>
        <v/>
      </c>
      <c r="G37" s="187" t="str">
        <f>IF($A37="","",SUMPRODUCT(($A$5:$A$14=$A37)*$F$5:$F$14*$O$5:$O$14))</f>
        <v/>
      </c>
      <c r="H37" s="188"/>
      <c r="I37" s="188"/>
      <c r="J37" s="187" t="str">
        <f>IF($A37="","",G37-M37)</f>
        <v/>
      </c>
      <c r="K37" s="188"/>
      <c r="L37" s="188"/>
      <c r="M37" s="185" t="str">
        <f>IF($A37="","",SUMIFS($P$5:$P$14,$A$5:$A$14,$A37))</f>
        <v/>
      </c>
      <c r="N37" s="186"/>
    </row>
    <row r="38" spans="1:17" ht="22.05" customHeight="1" x14ac:dyDescent="0.3">
      <c r="A38" s="181" t="str">
        <f>IF((ROWS($A$19:$A38)+8)&gt;AUX_COMBINACIONES!$C$3,"",IF(INDEX('MERCADO RURAL'!$A:$A,(ROWS($A$19:$A38)+8))="","",INDEX('MERCADO RURAL'!$A:$A,(ROWS($A$19:$A38)+8))))</f>
        <v/>
      </c>
      <c r="B38" s="182" t="str">
        <f>IF($A38="","",INDEX('MERCADO RURAL'!$B:$B,(ROWS($A$19:$A38)+8)))</f>
        <v/>
      </c>
      <c r="C38" s="183"/>
      <c r="D38" s="183"/>
      <c r="E38" s="183"/>
      <c r="F38" s="139" t="str">
        <f>IF($A38="","",COUNTIFS($A$5:$A$14,$A38,$B$5:$B$14,"&lt;&gt;"))</f>
        <v/>
      </c>
      <c r="G38" s="187" t="str">
        <f>IF($A38="","",SUMPRODUCT(($A$5:$A$14=$A38)*$F$5:$F$14*$O$5:$O$14))</f>
        <v/>
      </c>
      <c r="H38" s="188"/>
      <c r="I38" s="188"/>
      <c r="J38" s="187" t="str">
        <f>IF($A38="","",G38-M38)</f>
        <v/>
      </c>
      <c r="K38" s="188"/>
      <c r="L38" s="188"/>
      <c r="M38" s="185" t="str">
        <f>IF($A38="","",SUMIFS($P$5:$P$14,$A$5:$A$14,$A38))</f>
        <v/>
      </c>
      <c r="N38" s="186"/>
    </row>
    <row r="39" spans="1:17" ht="19.95" customHeight="1" x14ac:dyDescent="0.3">
      <c r="A39" s="189" t="s">
        <v>100</v>
      </c>
      <c r="B39" s="189"/>
      <c r="C39" s="189"/>
      <c r="D39" s="189"/>
      <c r="E39" s="189"/>
      <c r="F39" s="190">
        <f>SUM(F19:F38)</f>
        <v>0</v>
      </c>
      <c r="G39" s="191">
        <f>SUM(G19:G38)</f>
        <v>0</v>
      </c>
      <c r="H39" s="189"/>
      <c r="I39" s="189"/>
      <c r="J39" s="191">
        <f>SUM(J19:J38)</f>
        <v>0</v>
      </c>
      <c r="K39" s="189"/>
      <c r="L39" s="189"/>
      <c r="M39" s="191">
        <f>SUM(M19:M38)</f>
        <v>0</v>
      </c>
      <c r="N39" s="189"/>
    </row>
    <row r="40" spans="1:17" ht="19.95" customHeight="1" x14ac:dyDescent="0.3">
      <c r="A40" s="192" t="s">
        <v>228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91">
        <f>SUMIFS($P$5:$P$14,$A$5:$A$14,"",$B$5:$B$14,"&lt;&gt;")</f>
        <v>172664000</v>
      </c>
      <c r="N40" s="189"/>
    </row>
    <row r="41" spans="1:17" ht="19.95" customHeight="1" x14ac:dyDescent="0.3">
      <c r="A41" s="192" t="s">
        <v>229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91">
        <f>P15-M39-M40</f>
        <v>0</v>
      </c>
      <c r="N41" s="189"/>
    </row>
    <row r="43" spans="1:17" ht="61.95" customHeight="1" x14ac:dyDescent="0.3">
      <c r="A43" s="108" t="s">
        <v>230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</sheetData>
  <mergeCells count="99">
    <mergeCell ref="A41:L41"/>
    <mergeCell ref="M41:N41"/>
    <mergeCell ref="A43:Q43"/>
    <mergeCell ref="A39:E39"/>
    <mergeCell ref="G39:I39"/>
    <mergeCell ref="J39:L39"/>
    <mergeCell ref="M39:N39"/>
    <mergeCell ref="A40:L40"/>
    <mergeCell ref="M40:N40"/>
    <mergeCell ref="B37:E37"/>
    <mergeCell ref="G37:I37"/>
    <mergeCell ref="J37:L37"/>
    <mergeCell ref="M37:N37"/>
    <mergeCell ref="B38:E38"/>
    <mergeCell ref="G38:I38"/>
    <mergeCell ref="J38:L38"/>
    <mergeCell ref="M38:N38"/>
    <mergeCell ref="B35:E35"/>
    <mergeCell ref="G35:I35"/>
    <mergeCell ref="J35:L35"/>
    <mergeCell ref="M35:N35"/>
    <mergeCell ref="B36:E36"/>
    <mergeCell ref="G36:I36"/>
    <mergeCell ref="J36:L36"/>
    <mergeCell ref="M36:N36"/>
    <mergeCell ref="B33:E33"/>
    <mergeCell ref="G33:I33"/>
    <mergeCell ref="J33:L33"/>
    <mergeCell ref="M33:N33"/>
    <mergeCell ref="B34:E34"/>
    <mergeCell ref="G34:I34"/>
    <mergeCell ref="J34:L34"/>
    <mergeCell ref="M34:N34"/>
    <mergeCell ref="B31:E31"/>
    <mergeCell ref="G31:I31"/>
    <mergeCell ref="J31:L31"/>
    <mergeCell ref="M31:N31"/>
    <mergeCell ref="B32:E32"/>
    <mergeCell ref="G32:I32"/>
    <mergeCell ref="J32:L32"/>
    <mergeCell ref="M32:N32"/>
    <mergeCell ref="G29:I29"/>
    <mergeCell ref="J29:L29"/>
    <mergeCell ref="M29:N29"/>
    <mergeCell ref="B30:E30"/>
    <mergeCell ref="G30:I30"/>
    <mergeCell ref="J30:L30"/>
    <mergeCell ref="M30:N30"/>
    <mergeCell ref="A1:Q1"/>
    <mergeCell ref="A2:Q2"/>
    <mergeCell ref="A3:Q3"/>
    <mergeCell ref="A17:Q17"/>
    <mergeCell ref="B27:E27"/>
    <mergeCell ref="B28:E28"/>
    <mergeCell ref="G28:I28"/>
    <mergeCell ref="J28:L28"/>
    <mergeCell ref="B29:E29"/>
    <mergeCell ref="G27:I27"/>
    <mergeCell ref="J27:L27"/>
    <mergeCell ref="M27:N27"/>
    <mergeCell ref="M28:N28"/>
    <mergeCell ref="B25:E25"/>
    <mergeCell ref="G25:I25"/>
    <mergeCell ref="J25:L25"/>
    <mergeCell ref="M25:N25"/>
    <mergeCell ref="B26:E26"/>
    <mergeCell ref="G26:I26"/>
    <mergeCell ref="J26:L26"/>
    <mergeCell ref="M26:N26"/>
    <mergeCell ref="B23:E23"/>
    <mergeCell ref="G23:I23"/>
    <mergeCell ref="J23:L23"/>
    <mergeCell ref="M23:N23"/>
    <mergeCell ref="B24:E24"/>
    <mergeCell ref="G24:I24"/>
    <mergeCell ref="J24:L24"/>
    <mergeCell ref="M24:N24"/>
    <mergeCell ref="B21:E21"/>
    <mergeCell ref="G21:I21"/>
    <mergeCell ref="J21:L21"/>
    <mergeCell ref="M21:N21"/>
    <mergeCell ref="B22:E22"/>
    <mergeCell ref="G22:I22"/>
    <mergeCell ref="J22:L22"/>
    <mergeCell ref="M22:N22"/>
    <mergeCell ref="B19:E19"/>
    <mergeCell ref="G19:I19"/>
    <mergeCell ref="J19:L19"/>
    <mergeCell ref="M19:N19"/>
    <mergeCell ref="B20:E20"/>
    <mergeCell ref="G20:I20"/>
    <mergeCell ref="J20:L20"/>
    <mergeCell ref="M20:N20"/>
    <mergeCell ref="S4:T4"/>
    <mergeCell ref="B18:E18"/>
    <mergeCell ref="G18:I18"/>
    <mergeCell ref="J18:L18"/>
    <mergeCell ref="M18:N18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449C-CF12-4C29-B258-338225B6953F}">
  <dimension ref="A1:O44"/>
  <sheetViews>
    <sheetView showGridLines="0" topLeftCell="A16" workbookViewId="0">
      <selection activeCell="B29" sqref="B29"/>
    </sheetView>
  </sheetViews>
  <sheetFormatPr baseColWidth="10" defaultRowHeight="14.4" x14ac:dyDescent="0.3"/>
  <cols>
    <col min="1" max="1" width="2.5546875" customWidth="1"/>
    <col min="2" max="2" width="53.6640625" customWidth="1"/>
    <col min="3" max="3" width="14.77734375" customWidth="1"/>
    <col min="4" max="4" width="17.5546875" customWidth="1"/>
    <col min="5" max="5" width="22.33203125" customWidth="1"/>
    <col min="6" max="6" width="29.21875" customWidth="1"/>
    <col min="7" max="7" width="3.6640625" customWidth="1"/>
    <col min="8" max="8" width="18.44140625" customWidth="1"/>
    <col min="9" max="9" width="18.5546875" customWidth="1"/>
    <col min="10" max="10" width="16.5546875" customWidth="1"/>
    <col min="11" max="11" width="13.6640625" customWidth="1"/>
    <col min="12" max="13" width="3.6640625" customWidth="1"/>
    <col min="14" max="15" width="17.44140625" customWidth="1"/>
  </cols>
  <sheetData>
    <row r="1" spans="1:15" ht="15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15" ht="19.95" customHeight="1" x14ac:dyDescent="0.3">
      <c r="A2" s="98"/>
      <c r="B2" s="149" t="s">
        <v>101</v>
      </c>
      <c r="C2" s="147"/>
      <c r="D2" s="147"/>
      <c r="E2" s="147"/>
      <c r="F2" s="153"/>
      <c r="G2" s="98"/>
      <c r="H2" s="98"/>
      <c r="I2" s="98"/>
      <c r="J2" s="98"/>
      <c r="K2" s="98"/>
      <c r="L2" s="98"/>
      <c r="M2" s="98"/>
      <c r="N2" s="98"/>
      <c r="O2" s="98"/>
    </row>
    <row r="3" spans="1:15" ht="18" customHeight="1" x14ac:dyDescent="0.3">
      <c r="A3" s="98"/>
      <c r="B3" s="159" t="s">
        <v>102</v>
      </c>
      <c r="C3" s="160"/>
      <c r="D3" s="160"/>
      <c r="E3" s="160"/>
      <c r="F3" s="161"/>
      <c r="G3" s="98"/>
      <c r="H3" s="145" t="s">
        <v>115</v>
      </c>
      <c r="I3" s="145"/>
      <c r="J3" s="145"/>
      <c r="K3" s="145"/>
      <c r="L3" s="98"/>
      <c r="M3" s="98"/>
      <c r="N3" s="98"/>
      <c r="O3" s="98"/>
    </row>
    <row r="4" spans="1:15" ht="25.95" customHeight="1" x14ac:dyDescent="0.3">
      <c r="A4" s="98"/>
      <c r="B4" s="150" t="s">
        <v>103</v>
      </c>
      <c r="C4" s="143" t="s">
        <v>104</v>
      </c>
      <c r="D4" s="143" t="s">
        <v>105</v>
      </c>
      <c r="E4" s="143" t="s">
        <v>106</v>
      </c>
      <c r="F4" s="154" t="s">
        <v>107</v>
      </c>
      <c r="G4" s="98"/>
      <c r="H4" s="146" t="s">
        <v>116</v>
      </c>
      <c r="I4" s="146" t="s">
        <v>117</v>
      </c>
      <c r="J4" s="146" t="s">
        <v>118</v>
      </c>
      <c r="K4" s="146" t="s">
        <v>119</v>
      </c>
      <c r="L4" s="98"/>
      <c r="M4" s="98"/>
      <c r="N4" s="146" t="s">
        <v>126</v>
      </c>
      <c r="O4" s="146" t="s">
        <v>127</v>
      </c>
    </row>
    <row r="5" spans="1:15" ht="43.95" customHeight="1" thickBot="1" x14ac:dyDescent="0.35">
      <c r="A5" s="98"/>
      <c r="B5" s="151" t="str">
        <f>'MERCADO RURAL'!E4</f>
        <v>Predio rural, sector Puente Bomba – El Ebanal (corr. Tigreras). Coord. 11.251133, -73.127307</v>
      </c>
      <c r="C5" s="100" t="s">
        <v>108</v>
      </c>
      <c r="D5" s="101">
        <v>2</v>
      </c>
      <c r="E5" s="102">
        <f>'MERCADO RURAL'!H24</f>
        <v>449621900</v>
      </c>
      <c r="F5" s="155">
        <f>MROUND(D5*E5,100)</f>
        <v>899243800</v>
      </c>
      <c r="G5" s="98"/>
      <c r="H5" s="103" t="s">
        <v>120</v>
      </c>
      <c r="I5" s="104">
        <f>ROUND(F22,0)</f>
        <v>1071907800</v>
      </c>
      <c r="J5" s="103"/>
      <c r="K5" s="103"/>
      <c r="L5" s="98"/>
      <c r="M5" s="98"/>
      <c r="N5" s="99" t="s">
        <v>128</v>
      </c>
      <c r="O5" s="99" t="s">
        <v>157</v>
      </c>
    </row>
    <row r="6" spans="1:15" ht="18" customHeight="1" x14ac:dyDescent="0.3">
      <c r="A6" s="98"/>
      <c r="B6" s="149" t="s">
        <v>109</v>
      </c>
      <c r="C6" s="147"/>
      <c r="D6" s="147"/>
      <c r="E6" s="147"/>
      <c r="F6" s="153"/>
      <c r="G6" s="98"/>
      <c r="H6" s="103" t="s">
        <v>121</v>
      </c>
      <c r="I6" s="104">
        <f>INT(I5/10^6)</f>
        <v>1071</v>
      </c>
      <c r="J6" s="103"/>
      <c r="K6" s="103"/>
      <c r="L6" s="98"/>
      <c r="M6" s="98"/>
      <c r="N6" s="99" t="s">
        <v>129</v>
      </c>
      <c r="O6" s="99" t="s">
        <v>158</v>
      </c>
    </row>
    <row r="7" spans="1:15" ht="25.95" customHeight="1" x14ac:dyDescent="0.3">
      <c r="A7" s="98"/>
      <c r="B7" s="150" t="s">
        <v>103</v>
      </c>
      <c r="C7" s="143" t="s">
        <v>104</v>
      </c>
      <c r="D7" s="143" t="s">
        <v>105</v>
      </c>
      <c r="E7" s="143" t="s">
        <v>106</v>
      </c>
      <c r="F7" s="154" t="s">
        <v>107</v>
      </c>
      <c r="G7" s="98"/>
      <c r="H7" s="103" t="s">
        <v>122</v>
      </c>
      <c r="I7" s="104">
        <f>INT(I6/1000)</f>
        <v>1</v>
      </c>
      <c r="J7" s="103" t="str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>UNO</v>
      </c>
      <c r="K7" s="103" t="str">
        <f>IF(RIGHT(J7,9)="VEINTIUNO",LEFT(J7,LEN(J7)-9)&amp;"VEINTIÚN",IF(RIGHT(J7,3)="UNO",LEFT(J7,LEN(J7)-1),J7))</f>
        <v>UN</v>
      </c>
      <c r="L7" s="98"/>
      <c r="M7" s="98"/>
      <c r="N7" s="99" t="s">
        <v>130</v>
      </c>
      <c r="O7" s="99" t="s">
        <v>159</v>
      </c>
    </row>
    <row r="8" spans="1:15" ht="19.95" customHeight="1" x14ac:dyDescent="0.3">
      <c r="A8" s="98"/>
      <c r="B8" s="151" t="str">
        <f>IFERROR(UPPER(INDEX(DEPRECIACIÓN!$B$5:$B$14,MATCH(1,DEPRECIACIÓN!$Q$5:$Q$14,0))),"")</f>
        <v>CASA PRINCIPAL</v>
      </c>
      <c r="C8" s="100" t="str">
        <f>IF(B8="","","m²")</f>
        <v>m²</v>
      </c>
      <c r="D8" s="198">
        <f>IF(B8="","",INDEX(DEPRECIACIÓN!$O$5:$O$14,MATCH(1,DEPRECIACIÓN!$Q$5:$Q$14,0)))</f>
        <v>97</v>
      </c>
      <c r="E8" s="102">
        <f>IF(B8="","",INDEX(DEPRECIACIÓN!$N$5:$N$14,MATCH(1,DEPRECIACIÓN!$Q$5:$Q$14,0)))</f>
        <v>722000</v>
      </c>
      <c r="F8" s="155">
        <f>IF(B8="","",MROUND(D8*E8,100))</f>
        <v>70034000</v>
      </c>
      <c r="G8" s="98"/>
      <c r="H8" s="103" t="s">
        <v>123</v>
      </c>
      <c r="I8" s="104">
        <f>MOD(I6,1000)</f>
        <v>71</v>
      </c>
      <c r="J8" s="103" t="str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>SETENTA Y UNO</v>
      </c>
      <c r="K8" s="103" t="str">
        <f>IF(RIGHT(J8,9)="VEINTIUNO",LEFT(J8,LEN(J8)-9)&amp;"VEINTIÚN",IF(RIGHT(J8,3)="UNO",LEFT(J8,LEN(J8)-1),J8))</f>
        <v>SETENTA Y UN</v>
      </c>
      <c r="L8" s="98"/>
      <c r="M8" s="98"/>
      <c r="N8" s="99" t="s">
        <v>131</v>
      </c>
      <c r="O8" s="99" t="s">
        <v>160</v>
      </c>
    </row>
    <row r="9" spans="1:15" ht="22.05" customHeight="1" thickBot="1" x14ac:dyDescent="0.35">
      <c r="A9" s="98"/>
      <c r="B9" s="162" t="s">
        <v>110</v>
      </c>
      <c r="C9" s="160"/>
      <c r="D9" s="160"/>
      <c r="E9" s="160"/>
      <c r="F9" s="155">
        <f>SUM(F8:F8)</f>
        <v>70034000</v>
      </c>
      <c r="G9" s="98"/>
      <c r="H9" s="103" t="s">
        <v>124</v>
      </c>
      <c r="I9" s="104">
        <f>INT(MOD(I5,10^6)/1000)</f>
        <v>907</v>
      </c>
      <c r="J9" s="103" t="str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>NOVECIENTOS SIETE</v>
      </c>
      <c r="K9" s="103" t="str">
        <f>IF(RIGHT(J9,9)="VEINTIUNO",LEFT(J9,LEN(J9)-9)&amp;"VEINTIÚN",IF(RIGHT(J9,3)="UNO",LEFT(J9,LEN(J9)-1),J9))</f>
        <v>NOVECIENTOS SIETE</v>
      </c>
      <c r="L9" s="98"/>
      <c r="M9" s="98"/>
      <c r="N9" s="99" t="s">
        <v>132</v>
      </c>
      <c r="O9" s="99" t="s">
        <v>161</v>
      </c>
    </row>
    <row r="10" spans="1:15" ht="18" customHeight="1" x14ac:dyDescent="0.3">
      <c r="A10" s="98"/>
      <c r="B10" s="149" t="s">
        <v>111</v>
      </c>
      <c r="C10" s="147"/>
      <c r="D10" s="147"/>
      <c r="E10" s="147"/>
      <c r="F10" s="153"/>
      <c r="G10" s="98"/>
      <c r="H10" s="103" t="s">
        <v>125</v>
      </c>
      <c r="I10" s="104">
        <f>MOD(I5,1000)</f>
        <v>800</v>
      </c>
      <c r="J10" s="103" t="str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>OCHOCIENTOS</v>
      </c>
      <c r="K10" s="103"/>
      <c r="L10" s="98"/>
      <c r="M10" s="98"/>
      <c r="N10" s="99" t="s">
        <v>133</v>
      </c>
      <c r="O10" s="99" t="s">
        <v>162</v>
      </c>
    </row>
    <row r="11" spans="1:15" ht="25.95" customHeight="1" x14ac:dyDescent="0.3">
      <c r="A11" s="98"/>
      <c r="B11" s="150" t="s">
        <v>103</v>
      </c>
      <c r="C11" s="143" t="s">
        <v>104</v>
      </c>
      <c r="D11" s="143" t="s">
        <v>105</v>
      </c>
      <c r="E11" s="143" t="s">
        <v>106</v>
      </c>
      <c r="F11" s="154" t="s">
        <v>107</v>
      </c>
      <c r="G11" s="98"/>
      <c r="H11" s="98"/>
      <c r="I11" s="98"/>
      <c r="J11" s="98"/>
      <c r="K11" s="98"/>
      <c r="L11" s="98"/>
      <c r="M11" s="98"/>
      <c r="N11" s="99" t="s">
        <v>134</v>
      </c>
      <c r="O11" s="99" t="s">
        <v>163</v>
      </c>
    </row>
    <row r="12" spans="1:15" ht="19.95" customHeight="1" x14ac:dyDescent="0.3">
      <c r="A12" s="98"/>
      <c r="B12" s="241" t="str">
        <f>IFERROR(UPPER(INDEX(DEPRECIACIÓN!$B$5:$B$14,MATCH((ROWS($B$12:$B12)+1),DEPRECIACIÓN!$Q$5:$Q$14,0))),"")</f>
        <v>CASA MAYORDOMO</v>
      </c>
      <c r="C12" s="201" t="str">
        <f>IF(B12="","","m²")</f>
        <v>m²</v>
      </c>
      <c r="D12" s="198">
        <f>IF(B12="","",INDEX(DEPRECIACIÓN!$O$5:$O$14,MATCH((ROWS($B$12:$B12)+1),DEPRECIACIÓN!$Q$5:$Q$14,0)))</f>
        <v>70</v>
      </c>
      <c r="E12" s="102">
        <f>IF(B12="","",INDEX(DEPRECIACIÓN!$N$5:$N$14,MATCH((ROWS($B$12:$B12)+1),DEPRECIACIÓN!$Q$5:$Q$14,0)))</f>
        <v>524000</v>
      </c>
      <c r="F12" s="155">
        <f>IF(B12="","",MROUND(D12*E12,100))</f>
        <v>36680000</v>
      </c>
      <c r="G12" s="98"/>
      <c r="H12" s="98"/>
      <c r="I12" s="98"/>
      <c r="J12" s="98"/>
      <c r="K12" s="98"/>
      <c r="L12" s="98"/>
      <c r="M12" s="98"/>
      <c r="N12" s="99" t="s">
        <v>135</v>
      </c>
      <c r="O12" s="99"/>
    </row>
    <row r="13" spans="1:15" ht="19.95" customHeight="1" x14ac:dyDescent="0.3">
      <c r="A13" s="98"/>
      <c r="B13" s="241" t="str">
        <f>IFERROR(UPPER(INDEX(DEPRECIACIÓN!$B$5:$B$14,MATCH((ROWS($B$12:$B13)+1),DEPRECIACIÓN!$Q$5:$Q$14,0))),"")</f>
        <v>CASA PEQUEÑA</v>
      </c>
      <c r="C13" s="201" t="str">
        <f>IF(B13="","","m²")</f>
        <v>m²</v>
      </c>
      <c r="D13" s="198">
        <f>IF(B13="","",INDEX(DEPRECIACIÓN!$O$5:$O$14,MATCH((ROWS($B$12:$B13)+1),DEPRECIACIÓN!$Q$5:$Q$14,0)))</f>
        <v>53</v>
      </c>
      <c r="E13" s="102">
        <f>IF(B13="","",INDEX(DEPRECIACIÓN!$N$5:$N$14,MATCH((ROWS($B$12:$B13)+1),DEPRECIACIÓN!$Q$5:$Q$14,0)))</f>
        <v>573000</v>
      </c>
      <c r="F13" s="155">
        <f>IF(B13="","",MROUND(D13*E13,100))</f>
        <v>30369000</v>
      </c>
      <c r="G13" s="98"/>
      <c r="H13" s="98"/>
      <c r="I13" s="98"/>
      <c r="J13" s="98"/>
      <c r="K13" s="98"/>
      <c r="L13" s="98"/>
      <c r="M13" s="98"/>
      <c r="N13" s="99" t="s">
        <v>136</v>
      </c>
      <c r="O13" s="99"/>
    </row>
    <row r="14" spans="1:15" ht="19.95" customHeight="1" x14ac:dyDescent="0.3">
      <c r="A14" s="98"/>
      <c r="B14" s="241" t="str">
        <f>IFERROR(UPPER(INDEX(DEPRECIACIÓN!$B$5:$B$14,MATCH((ROWS($B$12:$B14)+1),DEPRECIACIÓN!$Q$5:$Q$14,0))),"")</f>
        <v>BODEGA PRINCIPAL</v>
      </c>
      <c r="C14" s="201" t="str">
        <f>IF(B14="","","m²")</f>
        <v>m²</v>
      </c>
      <c r="D14" s="198">
        <f>IF(B14="","",INDEX(DEPRECIACIÓN!$O$5:$O$14,MATCH((ROWS($B$12:$B14)+1),DEPRECIACIÓN!$Q$5:$Q$14,0)))</f>
        <v>35</v>
      </c>
      <c r="E14" s="102">
        <f>IF(B14="","",INDEX(DEPRECIACIÓN!$N$5:$N$14,MATCH((ROWS($B$12:$B14)+1),DEPRECIACIÓN!$Q$5:$Q$14,0)))</f>
        <v>423000</v>
      </c>
      <c r="F14" s="155">
        <f>IF(B14="","",MROUND(D14*E14,100))</f>
        <v>14805000</v>
      </c>
      <c r="G14" s="98"/>
      <c r="H14" s="98"/>
      <c r="I14" s="98"/>
      <c r="J14" s="98"/>
      <c r="K14" s="98"/>
      <c r="L14" s="98"/>
      <c r="M14" s="98"/>
      <c r="N14" s="99" t="s">
        <v>137</v>
      </c>
      <c r="O14" s="99"/>
    </row>
    <row r="15" spans="1:15" ht="19.95" customHeight="1" x14ac:dyDescent="0.3">
      <c r="A15" s="98"/>
      <c r="B15" s="241" t="str">
        <f>IFERROR(UPPER(INDEX(DEPRECIACIÓN!$B$5:$B$14,MATCH((ROWS($B$12:$B15)+1),DEPRECIACIÓN!$Q$5:$Q$14,0))),"")</f>
        <v>BODEGA AUXILIAR</v>
      </c>
      <c r="C15" s="201" t="str">
        <f>IF(B15="","","m²")</f>
        <v>m²</v>
      </c>
      <c r="D15" s="198">
        <f>IF(B15="","",INDEX(DEPRECIACIÓN!$O$5:$O$14,MATCH((ROWS($B$12:$B15)+1),DEPRECIACIÓN!$Q$5:$Q$14,0)))</f>
        <v>28</v>
      </c>
      <c r="E15" s="102">
        <f>IF(B15="","",INDEX(DEPRECIACIÓN!$N$5:$N$14,MATCH((ROWS($B$12:$B15)+1),DEPRECIACIÓN!$Q$5:$Q$14,0)))</f>
        <v>317000</v>
      </c>
      <c r="F15" s="155">
        <f>IF(B15="","",MROUND(D15*E15,100))</f>
        <v>8876000</v>
      </c>
      <c r="G15" s="98"/>
      <c r="H15" s="98"/>
      <c r="I15" s="98"/>
      <c r="J15" s="98"/>
      <c r="K15" s="98"/>
      <c r="L15" s="98"/>
      <c r="M15" s="98"/>
      <c r="N15" s="99" t="s">
        <v>138</v>
      </c>
      <c r="O15" s="99"/>
    </row>
    <row r="16" spans="1:15" ht="19.95" customHeight="1" x14ac:dyDescent="0.3">
      <c r="A16" s="98"/>
      <c r="B16" s="241" t="str">
        <f>IFERROR(UPPER(INDEX(DEPRECIACIÓN!$B$5:$B$14,MATCH((ROWS($B$12:$B16)+1),DEPRECIACIÓN!$Q$5:$Q$14,0))),"")</f>
        <v>CUARTO ÚTIL</v>
      </c>
      <c r="C16" s="201" t="str">
        <f>IF(B16="","","m²")</f>
        <v>m²</v>
      </c>
      <c r="D16" s="198">
        <f>IF(B16="","",INDEX(DEPRECIACIÓN!$O$5:$O$14,MATCH((ROWS($B$12:$B16)+1),DEPRECIACIÓN!$Q$5:$Q$14,0)))</f>
        <v>17</v>
      </c>
      <c r="E16" s="102">
        <f>IF(B16="","",INDEX(DEPRECIACIÓN!$N$5:$N$14,MATCH((ROWS($B$12:$B16)+1),DEPRECIACIÓN!$Q$5:$Q$14,0)))</f>
        <v>700000</v>
      </c>
      <c r="F16" s="155">
        <f>IF(B16="","",MROUND(D16*E16,100))</f>
        <v>11900000</v>
      </c>
      <c r="G16" s="98"/>
      <c r="H16" s="98"/>
      <c r="I16" s="98"/>
      <c r="J16" s="98"/>
      <c r="K16" s="98"/>
      <c r="L16" s="98"/>
      <c r="M16" s="98"/>
      <c r="N16" s="99" t="s">
        <v>139</v>
      </c>
      <c r="O16" s="99"/>
    </row>
    <row r="17" spans="1:15" ht="19.95" customHeight="1" x14ac:dyDescent="0.3">
      <c r="A17" s="98"/>
      <c r="B17" s="203" t="str">
        <f>IFERROR(UPPER(INDEX(DEPRECIACIÓN!$B$5:$B$14,MATCH((ROWS($B$12:$B17)+1),DEPRECIACIÓN!$Q$5:$Q$14,0))),"")</f>
        <v/>
      </c>
      <c r="C17" s="202" t="str">
        <f>IF(B17="","","m²")</f>
        <v/>
      </c>
      <c r="D17" s="199" t="str">
        <f>IF(B17="","",INDEX(DEPRECIACIÓN!$O$5:$O$14,MATCH((ROWS($B$12:$B17)+1),DEPRECIACIÓN!$Q$5:$Q$14,0)))</f>
        <v/>
      </c>
      <c r="E17" s="200" t="str">
        <f>IF(B17="","",INDEX(DEPRECIACIÓN!$N$5:$N$14,MATCH((ROWS($B$12:$B17)+1),DEPRECIACIÓN!$Q$5:$Q$14,0)))</f>
        <v/>
      </c>
      <c r="F17" s="204" t="str">
        <f>IF(B17="","",MROUND(D17*E17,100))</f>
        <v/>
      </c>
      <c r="G17" s="98"/>
      <c r="H17" s="98"/>
      <c r="I17" s="98"/>
      <c r="J17" s="98"/>
      <c r="K17" s="98"/>
      <c r="L17" s="98"/>
      <c r="M17" s="98"/>
      <c r="N17" s="99" t="s">
        <v>140</v>
      </c>
      <c r="O17" s="99"/>
    </row>
    <row r="18" spans="1:15" ht="19.95" customHeight="1" x14ac:dyDescent="0.3">
      <c r="A18" s="98"/>
      <c r="B18" s="203" t="str">
        <f>IFERROR(UPPER(INDEX(DEPRECIACIÓN!$B$5:$B$14,MATCH((ROWS($B$12:$B18)+1),DEPRECIACIÓN!$Q$5:$Q$14,0))),"")</f>
        <v/>
      </c>
      <c r="C18" s="202" t="str">
        <f>IF(B18="","","m²")</f>
        <v/>
      </c>
      <c r="D18" s="199" t="str">
        <f>IF(B18="","",INDEX(DEPRECIACIÓN!$O$5:$O$14,MATCH((ROWS($B$12:$B18)+1),DEPRECIACIÓN!$Q$5:$Q$14,0)))</f>
        <v/>
      </c>
      <c r="E18" s="200" t="str">
        <f>IF(B18="","",INDEX(DEPRECIACIÓN!$N$5:$N$14,MATCH((ROWS($B$12:$B18)+1),DEPRECIACIÓN!$Q$5:$Q$14,0)))</f>
        <v/>
      </c>
      <c r="F18" s="204" t="str">
        <f>IF(B18="","",MROUND(D18*E18,100))</f>
        <v/>
      </c>
      <c r="G18" s="98"/>
      <c r="H18" s="98"/>
      <c r="I18" s="98"/>
      <c r="J18" s="98"/>
      <c r="K18" s="98"/>
      <c r="L18" s="98"/>
      <c r="M18" s="98"/>
      <c r="N18" s="99" t="s">
        <v>141</v>
      </c>
      <c r="O18" s="99"/>
    </row>
    <row r="19" spans="1:15" ht="19.95" customHeight="1" x14ac:dyDescent="0.3">
      <c r="A19" s="98"/>
      <c r="B19" s="203" t="str">
        <f>IFERROR(UPPER(INDEX(DEPRECIACIÓN!$B$5:$B$14,MATCH((ROWS($B$12:$B19)+1),DEPRECIACIÓN!$Q$5:$Q$14,0))),"")</f>
        <v/>
      </c>
      <c r="C19" s="202" t="str">
        <f>IF(B19="","","m²")</f>
        <v/>
      </c>
      <c r="D19" s="199" t="str">
        <f>IF(B19="","",INDEX(DEPRECIACIÓN!$O$5:$O$14,MATCH((ROWS($B$12:$B19)+1),DEPRECIACIÓN!$Q$5:$Q$14,0)))</f>
        <v/>
      </c>
      <c r="E19" s="200" t="str">
        <f>IF(B19="","",INDEX(DEPRECIACIÓN!$N$5:$N$14,MATCH((ROWS($B$12:$B19)+1),DEPRECIACIÓN!$Q$5:$Q$14,0)))</f>
        <v/>
      </c>
      <c r="F19" s="204" t="str">
        <f>IF(B19="","",MROUND(D19*E19,100))</f>
        <v/>
      </c>
      <c r="G19" s="98"/>
      <c r="H19" s="98"/>
      <c r="I19" s="98"/>
      <c r="J19" s="98"/>
      <c r="K19" s="98"/>
      <c r="L19" s="98"/>
      <c r="M19" s="98"/>
      <c r="N19" s="99" t="s">
        <v>142</v>
      </c>
      <c r="O19" s="99"/>
    </row>
    <row r="20" spans="1:15" ht="19.95" customHeight="1" x14ac:dyDescent="0.3">
      <c r="A20" s="98"/>
      <c r="B20" s="203" t="str">
        <f>IFERROR(UPPER(INDEX(DEPRECIACIÓN!$B$5:$B$14,MATCH((ROWS($B$12:$B20)+1),DEPRECIACIÓN!$Q$5:$Q$14,0))),"")</f>
        <v/>
      </c>
      <c r="C20" s="202" t="str">
        <f>IF(B20="","","m²")</f>
        <v/>
      </c>
      <c r="D20" s="199" t="str">
        <f>IF(B20="","",INDEX(DEPRECIACIÓN!$O$5:$O$14,MATCH((ROWS($B$12:$B20)+1),DEPRECIACIÓN!$Q$5:$Q$14,0)))</f>
        <v/>
      </c>
      <c r="E20" s="200" t="str">
        <f>IF(B20="","",INDEX(DEPRECIACIÓN!$N$5:$N$14,MATCH((ROWS($B$12:$B20)+1),DEPRECIACIÓN!$Q$5:$Q$14,0)))</f>
        <v/>
      </c>
      <c r="F20" s="204" t="str">
        <f>IF(B20="","",MROUND(D20*E20,100))</f>
        <v/>
      </c>
      <c r="G20" s="98"/>
      <c r="H20" s="98"/>
      <c r="I20" s="98"/>
      <c r="J20" s="98"/>
      <c r="K20" s="98"/>
      <c r="L20" s="98"/>
      <c r="M20" s="98"/>
      <c r="N20" s="99" t="s">
        <v>143</v>
      </c>
      <c r="O20" s="99"/>
    </row>
    <row r="21" spans="1:15" ht="22.05" customHeight="1" x14ac:dyDescent="0.3">
      <c r="A21" s="98"/>
      <c r="B21" s="162" t="s">
        <v>112</v>
      </c>
      <c r="C21" s="160"/>
      <c r="D21" s="160"/>
      <c r="E21" s="160"/>
      <c r="F21" s="155">
        <f>MROUND(SUM(F12:F20),100)</f>
        <v>102630000</v>
      </c>
      <c r="G21" s="98"/>
      <c r="H21" s="98"/>
      <c r="I21" s="98"/>
      <c r="J21" s="98"/>
      <c r="K21" s="98"/>
      <c r="L21" s="98"/>
      <c r="M21" s="98"/>
      <c r="N21" s="99" t="s">
        <v>144</v>
      </c>
      <c r="O21" s="99"/>
    </row>
    <row r="22" spans="1:15" x14ac:dyDescent="0.3">
      <c r="A22" s="98"/>
      <c r="B22" s="152" t="s">
        <v>113</v>
      </c>
      <c r="C22" s="142"/>
      <c r="D22" s="142"/>
      <c r="E22" s="142"/>
      <c r="F22" s="156">
        <f>MROUND(F5+F9+F21,100)</f>
        <v>1071907800</v>
      </c>
      <c r="G22" s="98"/>
      <c r="H22" s="98"/>
      <c r="I22" s="98"/>
      <c r="J22" s="98"/>
      <c r="K22" s="98"/>
      <c r="L22" s="98"/>
      <c r="M22" s="98"/>
      <c r="N22" s="99" t="s">
        <v>145</v>
      </c>
      <c r="O22" s="99"/>
    </row>
    <row r="23" spans="1:15" ht="61.95" customHeight="1" x14ac:dyDescent="0.3">
      <c r="A23" s="98"/>
      <c r="B23" s="242" t="s">
        <v>114</v>
      </c>
      <c r="C23" s="144" t="str">
        <f>TRIM(IF(I6=0,"",IF(I7=0,"",IF(I7=1,"",K7&amp;" ")&amp;"MIL ")&amp;IF(I8=0,"",K8&amp;" ")&amp;IF(I6=1,"MILLÓN ","MILLONES "))&amp;IF(I9=0,"",IF(I9=1,"",K9&amp;" ")&amp;"MIL ")&amp;J10)&amp;IF(I5=0,"CERO","")&amp;" PESOS MLV"</f>
        <v>MIL SETENTA Y UN MILLONES NOVECIENTOS SIETE MIL OCHOCIENTOS PESOS MLV</v>
      </c>
      <c r="D23" s="144"/>
      <c r="E23" s="144"/>
      <c r="F23" s="157"/>
      <c r="G23" s="98"/>
      <c r="H23" s="98"/>
      <c r="I23" s="98"/>
      <c r="J23" s="98"/>
      <c r="K23" s="98"/>
      <c r="L23" s="98"/>
      <c r="M23" s="98"/>
      <c r="N23" s="99" t="s">
        <v>146</v>
      </c>
      <c r="O23" s="99"/>
    </row>
    <row r="24" spans="1:15" x14ac:dyDescent="0.3">
      <c r="A24" s="98"/>
      <c r="B24" s="242"/>
      <c r="C24" s="144"/>
      <c r="D24" s="144"/>
      <c r="E24" s="144"/>
      <c r="F24" s="157"/>
      <c r="G24" s="98"/>
      <c r="H24" s="98"/>
      <c r="I24" s="98"/>
      <c r="J24" s="98"/>
      <c r="K24" s="98"/>
      <c r="L24" s="98"/>
      <c r="M24" s="98"/>
      <c r="N24" s="99" t="s">
        <v>147</v>
      </c>
      <c r="O24" s="99"/>
    </row>
    <row r="25" spans="1:15" ht="15" thickBot="1" x14ac:dyDescent="0.35">
      <c r="A25" s="98"/>
      <c r="B25" s="243"/>
      <c r="C25" s="148"/>
      <c r="D25" s="148"/>
      <c r="E25" s="148"/>
      <c r="F25" s="158"/>
      <c r="G25" s="98"/>
      <c r="H25" s="98"/>
      <c r="I25" s="98"/>
      <c r="J25" s="98"/>
      <c r="K25" s="98"/>
      <c r="L25" s="98"/>
      <c r="M25" s="98"/>
      <c r="N25" s="99" t="s">
        <v>148</v>
      </c>
      <c r="O25" s="99"/>
    </row>
    <row r="26" spans="1:15" x14ac:dyDescent="0.3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9" t="s">
        <v>149</v>
      </c>
      <c r="O26" s="99"/>
    </row>
    <row r="27" spans="1:15" ht="36" customHeight="1" x14ac:dyDescent="0.3">
      <c r="A27" s="98"/>
      <c r="B27" s="244" t="s">
        <v>231</v>
      </c>
      <c r="C27" s="245"/>
      <c r="D27" s="245"/>
      <c r="E27" s="245"/>
      <c r="F27" s="246"/>
      <c r="G27" s="98"/>
      <c r="H27" s="98"/>
      <c r="I27" s="98"/>
      <c r="J27" s="98"/>
      <c r="K27" s="98"/>
      <c r="L27" s="98"/>
      <c r="M27" s="98"/>
      <c r="N27" s="99" t="s">
        <v>150</v>
      </c>
      <c r="O27" s="99"/>
    </row>
    <row r="28" spans="1:15" x14ac:dyDescent="0.3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9" t="s">
        <v>151</v>
      </c>
      <c r="O28" s="99"/>
    </row>
    <row r="29" spans="1:15" x14ac:dyDescent="0.3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9" t="s">
        <v>152</v>
      </c>
      <c r="O29" s="99"/>
    </row>
    <row r="30" spans="1:15" x14ac:dyDescent="0.3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9" t="s">
        <v>153</v>
      </c>
      <c r="O30" s="99"/>
    </row>
    <row r="31" spans="1:15" x14ac:dyDescent="0.3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9" t="s">
        <v>154</v>
      </c>
      <c r="O31" s="99"/>
    </row>
    <row r="32" spans="1:15" x14ac:dyDescent="0.3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9" t="s">
        <v>155</v>
      </c>
      <c r="O32" s="99"/>
    </row>
    <row r="33" spans="1:15" x14ac:dyDescent="0.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9" t="s">
        <v>156</v>
      </c>
      <c r="O33" s="99"/>
    </row>
    <row r="34" spans="1:15" x14ac:dyDescent="0.3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</row>
    <row r="35" spans="1:15" x14ac:dyDescent="0.3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</row>
    <row r="36" spans="1:15" x14ac:dyDescent="0.3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spans="1:15" x14ac:dyDescent="0.3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</row>
    <row r="38" spans="1:15" x14ac:dyDescent="0.3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</row>
    <row r="39" spans="1:15" x14ac:dyDescent="0.3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</row>
    <row r="40" spans="1:15" x14ac:dyDescent="0.3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</row>
    <row r="41" spans="1:15" x14ac:dyDescent="0.3">
      <c r="B41" s="98"/>
      <c r="C41" s="98"/>
      <c r="D41" s="98"/>
      <c r="E41" s="98"/>
      <c r="F41" s="98"/>
    </row>
    <row r="42" spans="1:15" x14ac:dyDescent="0.3">
      <c r="B42" s="98"/>
      <c r="C42" s="98"/>
      <c r="D42" s="98"/>
      <c r="E42" s="98"/>
      <c r="F42" s="98"/>
    </row>
    <row r="43" spans="1:15" x14ac:dyDescent="0.3">
      <c r="B43" s="98"/>
      <c r="C43" s="98"/>
      <c r="D43" s="98"/>
      <c r="E43" s="98"/>
      <c r="F43" s="98"/>
    </row>
    <row r="44" spans="1:15" x14ac:dyDescent="0.3">
      <c r="B44" s="98"/>
      <c r="C44" s="98"/>
      <c r="D44" s="98"/>
      <c r="E44" s="98"/>
      <c r="F44" s="98"/>
    </row>
  </sheetData>
  <mergeCells count="11">
    <mergeCell ref="B22:E22"/>
    <mergeCell ref="B23:B25"/>
    <mergeCell ref="C23:F25"/>
    <mergeCell ref="H3:K3"/>
    <mergeCell ref="B27:F27"/>
    <mergeCell ref="B2:F2"/>
    <mergeCell ref="B3:F3"/>
    <mergeCell ref="B6:F6"/>
    <mergeCell ref="B9:E9"/>
    <mergeCell ref="B10:F10"/>
    <mergeCell ref="B21:E2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A31C8-FC1F-49AF-A88B-87EAA46AF718}">
  <dimension ref="A1:Q410"/>
  <sheetViews>
    <sheetView workbookViewId="0">
      <pane ySplit="4" topLeftCell="A5" activePane="bottomLeft" state="frozen"/>
      <selection pane="bottomLeft"/>
    </sheetView>
  </sheetViews>
  <sheetFormatPr baseColWidth="10" defaultRowHeight="14.4" x14ac:dyDescent="0.3"/>
  <cols>
    <col min="1" max="1" width="27.77734375" customWidth="1"/>
    <col min="2" max="10" width="16.6640625" customWidth="1"/>
    <col min="11" max="11" width="3.6640625" customWidth="1"/>
    <col min="12" max="20" width="16.6640625" customWidth="1"/>
  </cols>
  <sheetData>
    <row r="1" spans="1:17" x14ac:dyDescent="0.3">
      <c r="A1" s="59" t="s">
        <v>194</v>
      </c>
    </row>
    <row r="2" spans="1:17" x14ac:dyDescent="0.3">
      <c r="A2" t="s">
        <v>164</v>
      </c>
      <c r="C2">
        <f>MATCH("PROMEDIO",'MERCADO RURAL'!F:F,0)</f>
        <v>18</v>
      </c>
      <c r="H2" t="s">
        <v>166</v>
      </c>
      <c r="J2">
        <f>COUNT(J5:J34)</f>
        <v>6</v>
      </c>
    </row>
    <row r="3" spans="1:17" x14ac:dyDescent="0.3">
      <c r="A3" t="s">
        <v>165</v>
      </c>
      <c r="C3">
        <f>C2-1</f>
        <v>17</v>
      </c>
      <c r="H3" t="s">
        <v>327</v>
      </c>
      <c r="J3" s="60">
        <f>IFERROR(INDEX('MERCADO RURAL'!$H:$H,$C$2+2),0)</f>
        <v>0.96930406190821616</v>
      </c>
    </row>
    <row r="4" spans="1:17" x14ac:dyDescent="0.3">
      <c r="A4" s="105" t="s">
        <v>167</v>
      </c>
      <c r="B4" s="105" t="s">
        <v>168</v>
      </c>
      <c r="C4" s="105" t="s">
        <v>169</v>
      </c>
      <c r="D4" s="105" t="s">
        <v>170</v>
      </c>
      <c r="E4" s="105" t="s">
        <v>171</v>
      </c>
      <c r="F4" s="105" t="s">
        <v>172</v>
      </c>
      <c r="G4" s="105" t="s">
        <v>175</v>
      </c>
      <c r="H4" s="105" t="s">
        <v>190</v>
      </c>
      <c r="I4" s="105" t="s">
        <v>169</v>
      </c>
      <c r="J4" s="105" t="s">
        <v>170</v>
      </c>
      <c r="L4" t="s">
        <v>191</v>
      </c>
      <c r="M4" t="s">
        <v>192</v>
      </c>
      <c r="N4" t="s">
        <v>173</v>
      </c>
      <c r="O4" t="s">
        <v>174</v>
      </c>
      <c r="P4" t="s">
        <v>193</v>
      </c>
      <c r="Q4" t="s">
        <v>175</v>
      </c>
    </row>
    <row r="5" spans="1:17" x14ac:dyDescent="0.3">
      <c r="A5">
        <v>1</v>
      </c>
      <c r="B5">
        <f>8+A5</f>
        <v>9</v>
      </c>
      <c r="C5">
        <f>IF(B5&lt;=$C$3,IF(ISNUMBER(INDEX('MERCADO RURAL'!$H:$H,B5)),IF(ISNUMBER(INDEX('MERCADO RURAL'!$A:$A,B5)),INDEX('MERCADO RURAL'!$A:$A,B5),B5-8),""),"")</f>
        <v>1</v>
      </c>
      <c r="D5" s="1">
        <f>IF(C5="","",INDEX('MERCADO RURAL'!$H:$H,B5))</f>
        <v>23400000</v>
      </c>
      <c r="E5">
        <f>IF(C5="",0,IF(OR(COMBINACIONES!$B$6="NO",$J$3&lt;=COMBINACIONES!$B$5),1,IF(AND(D5&gt;=COMBINACIONES!$B$3,D5&lt;=COMBINACIONES!$B$4),1,0)))</f>
        <v>1</v>
      </c>
      <c r="F5">
        <f>IF(E5=1,SUM(E$5:E5),"")</f>
        <v>1</v>
      </c>
      <c r="G5">
        <f>IF(E5=1,D5+A5*0.000000001,"")</f>
        <v>23400000</v>
      </c>
      <c r="H5">
        <v>1</v>
      </c>
      <c r="I5">
        <f>IFERROR(INDEX($C$5:$C$34,MATCH(SMALL($G$5:$G$34,H5),$G$5:$G$34,0)),"")</f>
        <v>1</v>
      </c>
      <c r="J5" s="1">
        <f>IFERROR(INDEX($D$5:$D$34,MATCH(SMALL($G$5:$G$34,H5),$G$5:$G$34,0)),"")</f>
        <v>23400000</v>
      </c>
      <c r="L5">
        <v>1</v>
      </c>
      <c r="M5">
        <v>3</v>
      </c>
      <c r="N5">
        <f>IF(L5+M5-1&lt;=$J$2,1,0)</f>
        <v>1</v>
      </c>
      <c r="O5">
        <f>IF(N5=1,_xlfn.STDEV.S(INDEX($J$5:$J$34,L5):INDEX($J$5:$J$34,L5+M5-1))/AVERAGE(INDEX($J$5:$J$34,L5):INDEX($J$5:$J$34,L5+M5-1)),"")</f>
        <v>1.4445653491976784</v>
      </c>
      <c r="P5">
        <f>IF(N5=1,IF(O5&lt;=COMBINACIONES!$B$5,1,0),"")</f>
        <v>0</v>
      </c>
      <c r="Q5">
        <f>IF(N5=1,IF(P5=1,-M5,100)+O5+ROW()*0.000000000001,"")</f>
        <v>101.44456534920268</v>
      </c>
    </row>
    <row r="6" spans="1:17" x14ac:dyDescent="0.3">
      <c r="A6">
        <v>2</v>
      </c>
      <c r="B6">
        <f>8+A6</f>
        <v>10</v>
      </c>
      <c r="C6">
        <f>IF(B6&lt;=$C$3,IF(ISNUMBER(INDEX('MERCADO RURAL'!$H:$H,B6)),IF(ISNUMBER(INDEX('MERCADO RURAL'!$A:$A,B6)),INDEX('MERCADO RURAL'!$A:$A,B6),B6-8),""),"")</f>
        <v>2</v>
      </c>
      <c r="D6" s="1">
        <f>IF(C6="","",INDEX('MERCADO RURAL'!$H:$H,B6))</f>
        <v>1250000000</v>
      </c>
      <c r="E6">
        <f>IF(C6="",0,IF(OR(COMBINACIONES!$B$6="NO",$J$3&lt;=COMBINACIONES!$B$5),1,IF(AND(D6&gt;=COMBINACIONES!$B$3,D6&lt;=COMBINACIONES!$B$4),1,0)))</f>
        <v>0</v>
      </c>
      <c r="F6" t="str">
        <f>IF(E6=1,SUM(E$5:E6),"")</f>
        <v/>
      </c>
      <c r="G6" t="str">
        <f>IF(E6=1,D6+A6*0.000000001,"")</f>
        <v/>
      </c>
      <c r="H6">
        <v>2</v>
      </c>
      <c r="I6">
        <f>IFERROR(INDEX($C$5:$C$34,MATCH(SMALL($G$5:$G$34,H6),$G$5:$G$34,0)),"")</f>
        <v>7</v>
      </c>
      <c r="J6" s="1">
        <f>IFERROR(INDEX($D$5:$D$34,MATCH(SMALL($G$5:$G$34,H6),$G$5:$G$34,0)),"")</f>
        <v>27000000</v>
      </c>
      <c r="L6">
        <v>1</v>
      </c>
      <c r="M6">
        <v>4</v>
      </c>
      <c r="N6">
        <f>IF(L6+M6-1&lt;=$J$2,1,0)</f>
        <v>1</v>
      </c>
      <c r="O6">
        <f>IF(N6=1,_xlfn.STDEV.S(INDEX($J$5:$J$34,L6):INDEX($J$5:$J$34,L6+M6-1))/AVERAGE(INDEX($J$5:$J$34,L6):INDEX($J$5:$J$34,L6+M6-1)),"")</f>
        <v>1.0437696861075128</v>
      </c>
      <c r="P6">
        <f>IF(N6=1,IF(O6&lt;=COMBINACIONES!$B$5,1,0),"")</f>
        <v>0</v>
      </c>
      <c r="Q6">
        <f>IF(N6=1,IF(P6=1,-M6,100)+O6+ROW()*0.000000000001,"")</f>
        <v>101.04376968611351</v>
      </c>
    </row>
    <row r="7" spans="1:17" x14ac:dyDescent="0.3">
      <c r="A7">
        <v>3</v>
      </c>
      <c r="B7">
        <f>8+A7</f>
        <v>11</v>
      </c>
      <c r="C7">
        <f>IF(B7&lt;=$C$3,IF(ISNUMBER(INDEX('MERCADO RURAL'!$H:$H,B7)),IF(ISNUMBER(INDEX('MERCADO RURAL'!$A:$A,B7)),INDEX('MERCADO RURAL'!$A:$A,B7),B7-8),""),"")</f>
        <v>3</v>
      </c>
      <c r="D7" s="1">
        <f>IF(C7="","",INDEX('MERCADO RURAL'!$H:$H,B7))</f>
        <v>495000000</v>
      </c>
      <c r="E7">
        <f>IF(C7="",0,IF(OR(COMBINACIONES!$B$6="NO",$J$3&lt;=COMBINACIONES!$B$5),1,IF(AND(D7&gt;=COMBINACIONES!$B$3,D7&lt;=COMBINACIONES!$B$4),1,0)))</f>
        <v>1</v>
      </c>
      <c r="F7">
        <f>IF(E7=1,SUM(E$5:E7),"")</f>
        <v>2</v>
      </c>
      <c r="G7">
        <f>IF(E7=1,D7+A7*0.000000001,"")</f>
        <v>495000000</v>
      </c>
      <c r="H7">
        <v>3</v>
      </c>
      <c r="I7">
        <f>IFERROR(INDEX($C$5:$C$34,MATCH(SMALL($G$5:$G$34,H7),$G$5:$G$34,0)),"")</f>
        <v>5</v>
      </c>
      <c r="J7" s="1">
        <f>IFERROR(INDEX($D$5:$D$34,MATCH(SMALL($G$5:$G$34,H7),$G$5:$G$34,0)),"")</f>
        <v>405000000</v>
      </c>
      <c r="L7">
        <v>1</v>
      </c>
      <c r="M7">
        <v>5</v>
      </c>
      <c r="N7">
        <f>IF(L7+M7-1&lt;=$J$2,1,0)</f>
        <v>1</v>
      </c>
      <c r="O7">
        <f>IF(N7=1,_xlfn.STDEV.S(INDEX($J$5:$J$34,L7):INDEX($J$5:$J$34,L7+M7-1))/AVERAGE(INDEX($J$5:$J$34,L7):INDEX($J$5:$J$34,L7+M7-1)),"")</f>
        <v>0.89363350143887277</v>
      </c>
      <c r="P7">
        <f>IF(N7=1,IF(O7&lt;=COMBINACIONES!$B$5,1,0),"")</f>
        <v>0</v>
      </c>
      <c r="Q7">
        <f>IF(N7=1,IF(P7=1,-M7,100)+O7+ROW()*0.000000000001,"")</f>
        <v>100.89363350144588</v>
      </c>
    </row>
    <row r="8" spans="1:17" x14ac:dyDescent="0.3">
      <c r="A8">
        <v>4</v>
      </c>
      <c r="B8">
        <f>8+A8</f>
        <v>12</v>
      </c>
      <c r="C8">
        <f>IF(B8&lt;=$C$3,IF(ISNUMBER(INDEX('MERCADO RURAL'!$H:$H,B8)),IF(ISNUMBER(INDEX('MERCADO RURAL'!$A:$A,B8)),INDEX('MERCADO RURAL'!$A:$A,B8),B8-8),""),"")</f>
        <v>4</v>
      </c>
      <c r="D8" s="1">
        <f>IF(C8="","",INDEX('MERCADO RURAL'!$H:$H,B8))</f>
        <v>675000000</v>
      </c>
      <c r="E8">
        <f>IF(C8="",0,IF(OR(COMBINACIONES!$B$6="NO",$J$3&lt;=COMBINACIONES!$B$5),1,IF(AND(D8&gt;=COMBINACIONES!$B$3,D8&lt;=COMBINACIONES!$B$4),1,0)))</f>
        <v>1</v>
      </c>
      <c r="F8">
        <f>IF(E8=1,SUM(E$5:E8),"")</f>
        <v>3</v>
      </c>
      <c r="G8">
        <f>IF(E8=1,D8+A8*0.000000001,"")</f>
        <v>675000000</v>
      </c>
      <c r="H8">
        <v>4</v>
      </c>
      <c r="I8">
        <f>IFERROR(INDEX($C$5:$C$34,MATCH(SMALL($G$5:$G$34,H8),$G$5:$G$34,0)),"")</f>
        <v>3</v>
      </c>
      <c r="J8" s="1">
        <f>IFERROR(INDEX($D$5:$D$34,MATCH(SMALL($G$5:$G$34,H8),$G$5:$G$34,0)),"")</f>
        <v>495000000</v>
      </c>
      <c r="L8">
        <v>1</v>
      </c>
      <c r="M8">
        <v>6</v>
      </c>
      <c r="N8">
        <f>IF(L8+M8-1&lt;=$J$2,1,0)</f>
        <v>1</v>
      </c>
      <c r="O8">
        <f>IF(N8=1,_xlfn.STDEV.S(INDEX($J$5:$J$34,L8):INDEX($J$5:$J$34,L8+M8-1))/AVERAGE(INDEX($J$5:$J$34,L8):INDEX($J$5:$J$34,L8+M8-1)),"")</f>
        <v>0.78226923748095556</v>
      </c>
      <c r="P8">
        <f>IF(N8=1,IF(O8&lt;=COMBINACIONES!$B$5,1,0),"")</f>
        <v>0</v>
      </c>
      <c r="Q8">
        <f>IF(N8=1,IF(P8=1,-M8,100)+O8+ROW()*0.000000000001,"")</f>
        <v>100.78226923748896</v>
      </c>
    </row>
    <row r="9" spans="1:17" x14ac:dyDescent="0.3">
      <c r="A9">
        <v>5</v>
      </c>
      <c r="B9">
        <f>8+A9</f>
        <v>13</v>
      </c>
      <c r="C9">
        <f>IF(B9&lt;=$C$3,IF(ISNUMBER(INDEX('MERCADO RURAL'!$H:$H,B9)),IF(ISNUMBER(INDEX('MERCADO RURAL'!$A:$A,B9)),INDEX('MERCADO RURAL'!$A:$A,B9),B9-8),""),"")</f>
        <v>5</v>
      </c>
      <c r="D9" s="1">
        <f>IF(C9="","",INDEX('MERCADO RURAL'!$H:$H,B9))</f>
        <v>405000000</v>
      </c>
      <c r="E9">
        <f>IF(C9="",0,IF(OR(COMBINACIONES!$B$6="NO",$J$3&lt;=COMBINACIONES!$B$5),1,IF(AND(D9&gt;=COMBINACIONES!$B$3,D9&lt;=COMBINACIONES!$B$4),1,0)))</f>
        <v>1</v>
      </c>
      <c r="F9">
        <f>IF(E9=1,SUM(E$5:E9),"")</f>
        <v>4</v>
      </c>
      <c r="G9">
        <f>IF(E9=1,D9+A9*0.000000001,"")</f>
        <v>405000000</v>
      </c>
      <c r="H9">
        <v>5</v>
      </c>
      <c r="I9">
        <f>IFERROR(INDEX($C$5:$C$34,MATCH(SMALL($G$5:$G$34,H9),$G$5:$G$34,0)),"")</f>
        <v>4</v>
      </c>
      <c r="J9" s="1">
        <f>IFERROR(INDEX($D$5:$D$34,MATCH(SMALL($G$5:$G$34,H9),$G$5:$G$34,0)),"")</f>
        <v>675000000</v>
      </c>
      <c r="L9">
        <v>1</v>
      </c>
      <c r="M9">
        <v>7</v>
      </c>
      <c r="N9">
        <f>IF(L9+M9-1&lt;=$J$2,1,0)</f>
        <v>0</v>
      </c>
      <c r="O9" t="str">
        <f>IF(N9=1,_xlfn.STDEV.S(INDEX($J$5:$J$34,L9):INDEX($J$5:$J$34,L9+M9-1))/AVERAGE(INDEX($J$5:$J$34,L9):INDEX($J$5:$J$34,L9+M9-1)),"")</f>
        <v/>
      </c>
      <c r="P9" t="str">
        <f>IF(N9=1,IF(O9&lt;=COMBINACIONES!$B$5,1,0),"")</f>
        <v/>
      </c>
      <c r="Q9" t="str">
        <f>IF(N9=1,IF(P9=1,-M9,100)+O9+ROW()*0.000000000001,"")</f>
        <v/>
      </c>
    </row>
    <row r="10" spans="1:17" x14ac:dyDescent="0.3">
      <c r="A10">
        <v>6</v>
      </c>
      <c r="B10">
        <f>8+A10</f>
        <v>14</v>
      </c>
      <c r="C10">
        <f>IF(B10&lt;=$C$3,IF(ISNUMBER(INDEX('MERCADO RURAL'!$H:$H,B10)),IF(ISNUMBER(INDEX('MERCADO RURAL'!$A:$A,B10)),INDEX('MERCADO RURAL'!$A:$A,B10),B10-8),""),"")</f>
        <v>6</v>
      </c>
      <c r="D10" s="1">
        <f>IF(C10="","",INDEX('MERCADO RURAL'!$H:$H,B10))</f>
        <v>720000000</v>
      </c>
      <c r="E10">
        <f>IF(C10="",0,IF(OR(COMBINACIONES!$B$6="NO",$J$3&lt;=COMBINACIONES!$B$5),1,IF(AND(D10&gt;=COMBINACIONES!$B$3,D10&lt;=COMBINACIONES!$B$4),1,0)))</f>
        <v>1</v>
      </c>
      <c r="F10">
        <f>IF(E10=1,SUM(E$5:E10),"")</f>
        <v>5</v>
      </c>
      <c r="G10">
        <f>IF(E10=1,D10+A10*0.000000001,"")</f>
        <v>720000000</v>
      </c>
      <c r="H10">
        <v>6</v>
      </c>
      <c r="I10">
        <f>IFERROR(INDEX($C$5:$C$34,MATCH(SMALL($G$5:$G$34,H10),$G$5:$G$34,0)),"")</f>
        <v>6</v>
      </c>
      <c r="J10" s="1">
        <f>IFERROR(INDEX($D$5:$D$34,MATCH(SMALL($G$5:$G$34,H10),$G$5:$G$34,0)),"")</f>
        <v>720000000</v>
      </c>
      <c r="L10">
        <v>1</v>
      </c>
      <c r="M10">
        <v>8</v>
      </c>
      <c r="N10">
        <f>IF(L10+M10-1&lt;=$J$2,1,0)</f>
        <v>0</v>
      </c>
      <c r="O10" t="str">
        <f>IF(N10=1,_xlfn.STDEV.S(INDEX($J$5:$J$34,L10):INDEX($J$5:$J$34,L10+M10-1))/AVERAGE(INDEX($J$5:$J$34,L10):INDEX($J$5:$J$34,L10+M10-1)),"")</f>
        <v/>
      </c>
      <c r="P10" t="str">
        <f>IF(N10=1,IF(O10&lt;=COMBINACIONES!$B$5,1,0),"")</f>
        <v/>
      </c>
      <c r="Q10" t="str">
        <f>IF(N10=1,IF(P10=1,-M10,100)+O10+ROW()*0.000000000001,"")</f>
        <v/>
      </c>
    </row>
    <row r="11" spans="1:17" x14ac:dyDescent="0.3">
      <c r="A11">
        <v>7</v>
      </c>
      <c r="B11">
        <f>8+A11</f>
        <v>15</v>
      </c>
      <c r="C11">
        <f>IF(B11&lt;=$C$3,IF(ISNUMBER(INDEX('MERCADO RURAL'!$H:$H,B11)),IF(ISNUMBER(INDEX('MERCADO RURAL'!$A:$A,B11)),INDEX('MERCADO RURAL'!$A:$A,B11),B11-8),""),"")</f>
        <v>7</v>
      </c>
      <c r="D11" s="1">
        <f>IF(C11="","",INDEX('MERCADO RURAL'!$H:$H,B11))</f>
        <v>27000000</v>
      </c>
      <c r="E11">
        <f>IF(C11="",0,IF(OR(COMBINACIONES!$B$6="NO",$J$3&lt;=COMBINACIONES!$B$5),1,IF(AND(D11&gt;=COMBINACIONES!$B$3,D11&lt;=COMBINACIONES!$B$4),1,0)))</f>
        <v>1</v>
      </c>
      <c r="F11">
        <f>IF(E11=1,SUM(E$5:E11),"")</f>
        <v>6</v>
      </c>
      <c r="G11">
        <f>IF(E11=1,D11+A11*0.000000001,"")</f>
        <v>27000000.000000007</v>
      </c>
      <c r="H11">
        <v>7</v>
      </c>
      <c r="I11" t="str">
        <f>IFERROR(INDEX($C$5:$C$34,MATCH(SMALL($G$5:$G$34,H11),$G$5:$G$34,0)),"")</f>
        <v/>
      </c>
      <c r="J11" s="1" t="str">
        <f>IFERROR(INDEX($D$5:$D$34,MATCH(SMALL($G$5:$G$34,H11),$G$5:$G$34,0)),"")</f>
        <v/>
      </c>
      <c r="L11">
        <v>1</v>
      </c>
      <c r="M11">
        <v>9</v>
      </c>
      <c r="N11">
        <f>IF(L11+M11-1&lt;=$J$2,1,0)</f>
        <v>0</v>
      </c>
      <c r="O11" t="str">
        <f>IF(N11=1,_xlfn.STDEV.S(INDEX($J$5:$J$34,L11):INDEX($J$5:$J$34,L11+M11-1))/AVERAGE(INDEX($J$5:$J$34,L11):INDEX($J$5:$J$34,L11+M11-1)),"")</f>
        <v/>
      </c>
      <c r="P11" t="str">
        <f>IF(N11=1,IF(O11&lt;=COMBINACIONES!$B$5,1,0),"")</f>
        <v/>
      </c>
      <c r="Q11" t="str">
        <f>IF(N11=1,IF(P11=1,-M11,100)+O11+ROW()*0.000000000001,"")</f>
        <v/>
      </c>
    </row>
    <row r="12" spans="1:17" x14ac:dyDescent="0.3">
      <c r="A12">
        <v>8</v>
      </c>
      <c r="B12">
        <f>8+A12</f>
        <v>16</v>
      </c>
      <c r="C12">
        <f>IF(B12&lt;=$C$3,IF(ISNUMBER(INDEX('MERCADO RURAL'!$H:$H,B12)),IF(ISNUMBER(INDEX('MERCADO RURAL'!$A:$A,B12)),INDEX('MERCADO RURAL'!$A:$A,B12),B12-8),""),"")</f>
        <v>8</v>
      </c>
      <c r="D12" s="1">
        <f>IF(C12="","",INDEX('MERCADO RURAL'!$H:$H,B12))</f>
        <v>1575000</v>
      </c>
      <c r="E12">
        <f>IF(C12="",0,IF(OR(COMBINACIONES!$B$6="NO",$J$3&lt;=COMBINACIONES!$B$5),1,IF(AND(D12&gt;=COMBINACIONES!$B$3,D12&lt;=COMBINACIONES!$B$4),1,0)))</f>
        <v>0</v>
      </c>
      <c r="F12" t="str">
        <f>IF(E12=1,SUM(E$5:E12),"")</f>
        <v/>
      </c>
      <c r="G12" t="str">
        <f>IF(E12=1,D12+A12*0.000000001,"")</f>
        <v/>
      </c>
      <c r="H12">
        <v>8</v>
      </c>
      <c r="I12" t="str">
        <f>IFERROR(INDEX($C$5:$C$34,MATCH(SMALL($G$5:$G$34,H12),$G$5:$G$34,0)),"")</f>
        <v/>
      </c>
      <c r="J12" s="1" t="str">
        <f>IFERROR(INDEX($D$5:$D$34,MATCH(SMALL($G$5:$G$34,H12),$G$5:$G$34,0)),"")</f>
        <v/>
      </c>
      <c r="L12">
        <v>1</v>
      </c>
      <c r="M12">
        <v>10</v>
      </c>
      <c r="N12">
        <f>IF(L12+M12-1&lt;=$J$2,1,0)</f>
        <v>0</v>
      </c>
      <c r="O12" t="str">
        <f>IF(N12=1,_xlfn.STDEV.S(INDEX($J$5:$J$34,L12):INDEX($J$5:$J$34,L12+M12-1))/AVERAGE(INDEX($J$5:$J$34,L12):INDEX($J$5:$J$34,L12+M12-1)),"")</f>
        <v/>
      </c>
      <c r="P12" t="str">
        <f>IF(N12=1,IF(O12&lt;=COMBINACIONES!$B$5,1,0),"")</f>
        <v/>
      </c>
      <c r="Q12" t="str">
        <f>IF(N12=1,IF(P12=1,-M12,100)+O12+ROW()*0.000000000001,"")</f>
        <v/>
      </c>
    </row>
    <row r="13" spans="1:17" x14ac:dyDescent="0.3">
      <c r="A13">
        <v>9</v>
      </c>
      <c r="B13">
        <f>8+A13</f>
        <v>17</v>
      </c>
      <c r="C13" t="str">
        <f>IF(B13&lt;=$C$3,IF(ISNUMBER(INDEX('MERCADO RURAL'!$H:$H,B13)),IF(ISNUMBER(INDEX('MERCADO RURAL'!$A:$A,B13)),INDEX('MERCADO RURAL'!$A:$A,B13),B13-8),""),"")</f>
        <v/>
      </c>
      <c r="D13" s="1" t="str">
        <f>IF(C13="","",INDEX('MERCADO RURAL'!$H:$H,B13))</f>
        <v/>
      </c>
      <c r="E13">
        <f>IF(C13="",0,IF(OR(COMBINACIONES!$B$6="NO",$J$3&lt;=COMBINACIONES!$B$5),1,IF(AND(D13&gt;=COMBINACIONES!$B$3,D13&lt;=COMBINACIONES!$B$4),1,0)))</f>
        <v>0</v>
      </c>
      <c r="F13" t="str">
        <f>IF(E13=1,SUM(E$5:E13),"")</f>
        <v/>
      </c>
      <c r="G13" t="str">
        <f>IF(E13=1,D13+A13*0.000000001,"")</f>
        <v/>
      </c>
      <c r="H13">
        <v>9</v>
      </c>
      <c r="I13" t="str">
        <f>IFERROR(INDEX($C$5:$C$34,MATCH(SMALL($G$5:$G$34,H13),$G$5:$G$34,0)),"")</f>
        <v/>
      </c>
      <c r="J13" s="1" t="str">
        <f>IFERROR(INDEX($D$5:$D$34,MATCH(SMALL($G$5:$G$34,H13),$G$5:$G$34,0)),"")</f>
        <v/>
      </c>
      <c r="L13">
        <v>1</v>
      </c>
      <c r="M13">
        <v>11</v>
      </c>
      <c r="N13">
        <f>IF(L13+M13-1&lt;=$J$2,1,0)</f>
        <v>0</v>
      </c>
      <c r="O13" t="str">
        <f>IF(N13=1,_xlfn.STDEV.S(INDEX($J$5:$J$34,L13):INDEX($J$5:$J$34,L13+M13-1))/AVERAGE(INDEX($J$5:$J$34,L13):INDEX($J$5:$J$34,L13+M13-1)),"")</f>
        <v/>
      </c>
      <c r="P13" t="str">
        <f>IF(N13=1,IF(O13&lt;=COMBINACIONES!$B$5,1,0),"")</f>
        <v/>
      </c>
      <c r="Q13" t="str">
        <f>IF(N13=1,IF(P13=1,-M13,100)+O13+ROW()*0.000000000001,"")</f>
        <v/>
      </c>
    </row>
    <row r="14" spans="1:17" x14ac:dyDescent="0.3">
      <c r="A14">
        <v>10</v>
      </c>
      <c r="B14">
        <f>8+A14</f>
        <v>18</v>
      </c>
      <c r="C14" t="str">
        <f>IF(B14&lt;=$C$3,IF(ISNUMBER(INDEX('MERCADO RURAL'!$H:$H,B14)),IF(ISNUMBER(INDEX('MERCADO RURAL'!$A:$A,B14)),INDEX('MERCADO RURAL'!$A:$A,B14),B14-8),""),"")</f>
        <v/>
      </c>
      <c r="D14" s="1" t="str">
        <f>IF(C14="","",INDEX('MERCADO RURAL'!$H:$H,B14))</f>
        <v/>
      </c>
      <c r="E14">
        <f>IF(C14="",0,IF(OR(COMBINACIONES!$B$6="NO",$J$3&lt;=COMBINACIONES!$B$5),1,IF(AND(D14&gt;=COMBINACIONES!$B$3,D14&lt;=COMBINACIONES!$B$4),1,0)))</f>
        <v>0</v>
      </c>
      <c r="F14" t="str">
        <f>IF(E14=1,SUM(E$5:E14),"")</f>
        <v/>
      </c>
      <c r="G14" t="str">
        <f>IF(E14=1,D14+A14*0.000000001,"")</f>
        <v/>
      </c>
      <c r="H14">
        <v>10</v>
      </c>
      <c r="I14" t="str">
        <f>IFERROR(INDEX($C$5:$C$34,MATCH(SMALL($G$5:$G$34,H14),$G$5:$G$34,0)),"")</f>
        <v/>
      </c>
      <c r="J14" s="1" t="str">
        <f>IFERROR(INDEX($D$5:$D$34,MATCH(SMALL($G$5:$G$34,H14),$G$5:$G$34,0)),"")</f>
        <v/>
      </c>
      <c r="L14">
        <v>1</v>
      </c>
      <c r="M14">
        <v>12</v>
      </c>
      <c r="N14">
        <f>IF(L14+M14-1&lt;=$J$2,1,0)</f>
        <v>0</v>
      </c>
      <c r="O14" t="str">
        <f>IF(N14=1,_xlfn.STDEV.S(INDEX($J$5:$J$34,L14):INDEX($J$5:$J$34,L14+M14-1))/AVERAGE(INDEX($J$5:$J$34,L14):INDEX($J$5:$J$34,L14+M14-1)),"")</f>
        <v/>
      </c>
      <c r="P14" t="str">
        <f>IF(N14=1,IF(O14&lt;=COMBINACIONES!$B$5,1,0),"")</f>
        <v/>
      </c>
      <c r="Q14" t="str">
        <f>IF(N14=1,IF(P14=1,-M14,100)+O14+ROW()*0.000000000001,"")</f>
        <v/>
      </c>
    </row>
    <row r="15" spans="1:17" x14ac:dyDescent="0.3">
      <c r="A15">
        <v>11</v>
      </c>
      <c r="B15">
        <f>8+A15</f>
        <v>19</v>
      </c>
      <c r="C15" t="str">
        <f>IF(B15&lt;=$C$3,IF(ISNUMBER(INDEX('MERCADO RURAL'!$H:$H,B15)),IF(ISNUMBER(INDEX('MERCADO RURAL'!$A:$A,B15)),INDEX('MERCADO RURAL'!$A:$A,B15),B15-8),""),"")</f>
        <v/>
      </c>
      <c r="D15" s="1" t="str">
        <f>IF(C15="","",INDEX('MERCADO RURAL'!$H:$H,B15))</f>
        <v/>
      </c>
      <c r="E15">
        <f>IF(C15="",0,IF(OR(COMBINACIONES!$B$6="NO",$J$3&lt;=COMBINACIONES!$B$5),1,IF(AND(D15&gt;=COMBINACIONES!$B$3,D15&lt;=COMBINACIONES!$B$4),1,0)))</f>
        <v>0</v>
      </c>
      <c r="F15" t="str">
        <f>IF(E15=1,SUM(E$5:E15),"")</f>
        <v/>
      </c>
      <c r="G15" t="str">
        <f>IF(E15=1,D15+A15*0.000000001,"")</f>
        <v/>
      </c>
      <c r="H15">
        <v>11</v>
      </c>
      <c r="I15" t="str">
        <f>IFERROR(INDEX($C$5:$C$34,MATCH(SMALL($G$5:$G$34,H15),$G$5:$G$34,0)),"")</f>
        <v/>
      </c>
      <c r="J15" s="1" t="str">
        <f>IFERROR(INDEX($D$5:$D$34,MATCH(SMALL($G$5:$G$34,H15),$G$5:$G$34,0)),"")</f>
        <v/>
      </c>
      <c r="L15">
        <v>1</v>
      </c>
      <c r="M15">
        <v>13</v>
      </c>
      <c r="N15">
        <f>IF(L15+M15-1&lt;=$J$2,1,0)</f>
        <v>0</v>
      </c>
      <c r="O15" t="str">
        <f>IF(N15=1,_xlfn.STDEV.S(INDEX($J$5:$J$34,L15):INDEX($J$5:$J$34,L15+M15-1))/AVERAGE(INDEX($J$5:$J$34,L15):INDEX($J$5:$J$34,L15+M15-1)),"")</f>
        <v/>
      </c>
      <c r="P15" t="str">
        <f>IF(N15=1,IF(O15&lt;=COMBINACIONES!$B$5,1,0),"")</f>
        <v/>
      </c>
      <c r="Q15" t="str">
        <f>IF(N15=1,IF(P15=1,-M15,100)+O15+ROW()*0.000000000001,"")</f>
        <v/>
      </c>
    </row>
    <row r="16" spans="1:17" x14ac:dyDescent="0.3">
      <c r="A16">
        <v>12</v>
      </c>
      <c r="B16">
        <f>8+A16</f>
        <v>20</v>
      </c>
      <c r="C16" t="str">
        <f>IF(B16&lt;=$C$3,IF(ISNUMBER(INDEX('MERCADO RURAL'!$H:$H,B16)),IF(ISNUMBER(INDEX('MERCADO RURAL'!$A:$A,B16)),INDEX('MERCADO RURAL'!$A:$A,B16),B16-8),""),"")</f>
        <v/>
      </c>
      <c r="D16" s="1" t="str">
        <f>IF(C16="","",INDEX('MERCADO RURAL'!$H:$H,B16))</f>
        <v/>
      </c>
      <c r="E16">
        <f>IF(C16="",0,IF(OR(COMBINACIONES!$B$6="NO",$J$3&lt;=COMBINACIONES!$B$5),1,IF(AND(D16&gt;=COMBINACIONES!$B$3,D16&lt;=COMBINACIONES!$B$4),1,0)))</f>
        <v>0</v>
      </c>
      <c r="F16" t="str">
        <f>IF(E16=1,SUM(E$5:E16),"")</f>
        <v/>
      </c>
      <c r="G16" t="str">
        <f>IF(E16=1,D16+A16*0.000000001,"")</f>
        <v/>
      </c>
      <c r="H16">
        <v>12</v>
      </c>
      <c r="I16" t="str">
        <f>IFERROR(INDEX($C$5:$C$34,MATCH(SMALL($G$5:$G$34,H16),$G$5:$G$34,0)),"")</f>
        <v/>
      </c>
      <c r="J16" s="1" t="str">
        <f>IFERROR(INDEX($D$5:$D$34,MATCH(SMALL($G$5:$G$34,H16),$G$5:$G$34,0)),"")</f>
        <v/>
      </c>
      <c r="L16">
        <v>1</v>
      </c>
      <c r="M16">
        <v>14</v>
      </c>
      <c r="N16">
        <f>IF(L16+M16-1&lt;=$J$2,1,0)</f>
        <v>0</v>
      </c>
      <c r="O16" t="str">
        <f>IF(N16=1,_xlfn.STDEV.S(INDEX($J$5:$J$34,L16):INDEX($J$5:$J$34,L16+M16-1))/AVERAGE(INDEX($J$5:$J$34,L16):INDEX($J$5:$J$34,L16+M16-1)),"")</f>
        <v/>
      </c>
      <c r="P16" t="str">
        <f>IF(N16=1,IF(O16&lt;=COMBINACIONES!$B$5,1,0),"")</f>
        <v/>
      </c>
      <c r="Q16" t="str">
        <f>IF(N16=1,IF(P16=1,-M16,100)+O16+ROW()*0.000000000001,"")</f>
        <v/>
      </c>
    </row>
    <row r="17" spans="1:17" x14ac:dyDescent="0.3">
      <c r="A17">
        <v>13</v>
      </c>
      <c r="B17">
        <f>8+A17</f>
        <v>21</v>
      </c>
      <c r="C17" t="str">
        <f>IF(B17&lt;=$C$3,IF(ISNUMBER(INDEX('MERCADO RURAL'!$H:$H,B17)),IF(ISNUMBER(INDEX('MERCADO RURAL'!$A:$A,B17)),INDEX('MERCADO RURAL'!$A:$A,B17),B17-8),""),"")</f>
        <v/>
      </c>
      <c r="D17" s="1" t="str">
        <f>IF(C17="","",INDEX('MERCADO RURAL'!$H:$H,B17))</f>
        <v/>
      </c>
      <c r="E17">
        <f>IF(C17="",0,IF(OR(COMBINACIONES!$B$6="NO",$J$3&lt;=COMBINACIONES!$B$5),1,IF(AND(D17&gt;=COMBINACIONES!$B$3,D17&lt;=COMBINACIONES!$B$4),1,0)))</f>
        <v>0</v>
      </c>
      <c r="F17" t="str">
        <f>IF(E17=1,SUM(E$5:E17),"")</f>
        <v/>
      </c>
      <c r="G17" t="str">
        <f>IF(E17=1,D17+A17*0.000000001,"")</f>
        <v/>
      </c>
      <c r="H17">
        <v>13</v>
      </c>
      <c r="I17" t="str">
        <f>IFERROR(INDEX($C$5:$C$34,MATCH(SMALL($G$5:$G$34,H17),$G$5:$G$34,0)),"")</f>
        <v/>
      </c>
      <c r="J17" s="1" t="str">
        <f>IFERROR(INDEX($D$5:$D$34,MATCH(SMALL($G$5:$G$34,H17),$G$5:$G$34,0)),"")</f>
        <v/>
      </c>
      <c r="L17">
        <v>1</v>
      </c>
      <c r="M17">
        <v>15</v>
      </c>
      <c r="N17">
        <f>IF(L17+M17-1&lt;=$J$2,1,0)</f>
        <v>0</v>
      </c>
      <c r="O17" t="str">
        <f>IF(N17=1,_xlfn.STDEV.S(INDEX($J$5:$J$34,L17):INDEX($J$5:$J$34,L17+M17-1))/AVERAGE(INDEX($J$5:$J$34,L17):INDEX($J$5:$J$34,L17+M17-1)),"")</f>
        <v/>
      </c>
      <c r="P17" t="str">
        <f>IF(N17=1,IF(O17&lt;=COMBINACIONES!$B$5,1,0),"")</f>
        <v/>
      </c>
      <c r="Q17" t="str">
        <f>IF(N17=1,IF(P17=1,-M17,100)+O17+ROW()*0.000000000001,"")</f>
        <v/>
      </c>
    </row>
    <row r="18" spans="1:17" x14ac:dyDescent="0.3">
      <c r="A18">
        <v>14</v>
      </c>
      <c r="B18">
        <f>8+A18</f>
        <v>22</v>
      </c>
      <c r="C18" t="str">
        <f>IF(B18&lt;=$C$3,IF(ISNUMBER(INDEX('MERCADO RURAL'!$H:$H,B18)),IF(ISNUMBER(INDEX('MERCADO RURAL'!$A:$A,B18)),INDEX('MERCADO RURAL'!$A:$A,B18),B18-8),""),"")</f>
        <v/>
      </c>
      <c r="D18" s="1" t="str">
        <f>IF(C18="","",INDEX('MERCADO RURAL'!$H:$H,B18))</f>
        <v/>
      </c>
      <c r="E18">
        <f>IF(C18="",0,IF(OR(COMBINACIONES!$B$6="NO",$J$3&lt;=COMBINACIONES!$B$5),1,IF(AND(D18&gt;=COMBINACIONES!$B$3,D18&lt;=COMBINACIONES!$B$4),1,0)))</f>
        <v>0</v>
      </c>
      <c r="F18" t="str">
        <f>IF(E18=1,SUM(E$5:E18),"")</f>
        <v/>
      </c>
      <c r="G18" t="str">
        <f>IF(E18=1,D18+A18*0.000000001,"")</f>
        <v/>
      </c>
      <c r="H18">
        <v>14</v>
      </c>
      <c r="I18" t="str">
        <f>IFERROR(INDEX($C$5:$C$34,MATCH(SMALL($G$5:$G$34,H18),$G$5:$G$34,0)),"")</f>
        <v/>
      </c>
      <c r="J18" s="1" t="str">
        <f>IFERROR(INDEX($D$5:$D$34,MATCH(SMALL($G$5:$G$34,H18),$G$5:$G$34,0)),"")</f>
        <v/>
      </c>
      <c r="L18">
        <v>1</v>
      </c>
      <c r="M18">
        <v>16</v>
      </c>
      <c r="N18">
        <f>IF(L18+M18-1&lt;=$J$2,1,0)</f>
        <v>0</v>
      </c>
      <c r="O18" t="str">
        <f>IF(N18=1,_xlfn.STDEV.S(INDEX($J$5:$J$34,L18):INDEX($J$5:$J$34,L18+M18-1))/AVERAGE(INDEX($J$5:$J$34,L18):INDEX($J$5:$J$34,L18+M18-1)),"")</f>
        <v/>
      </c>
      <c r="P18" t="str">
        <f>IF(N18=1,IF(O18&lt;=COMBINACIONES!$B$5,1,0),"")</f>
        <v/>
      </c>
      <c r="Q18" t="str">
        <f>IF(N18=1,IF(P18=1,-M18,100)+O18+ROW()*0.000000000001,"")</f>
        <v/>
      </c>
    </row>
    <row r="19" spans="1:17" x14ac:dyDescent="0.3">
      <c r="A19">
        <v>15</v>
      </c>
      <c r="B19">
        <f>8+A19</f>
        <v>23</v>
      </c>
      <c r="C19" t="str">
        <f>IF(B19&lt;=$C$3,IF(ISNUMBER(INDEX('MERCADO RURAL'!$H:$H,B19)),IF(ISNUMBER(INDEX('MERCADO RURAL'!$A:$A,B19)),INDEX('MERCADO RURAL'!$A:$A,B19),B19-8),""),"")</f>
        <v/>
      </c>
      <c r="D19" s="1" t="str">
        <f>IF(C19="","",INDEX('MERCADO RURAL'!$H:$H,B19))</f>
        <v/>
      </c>
      <c r="E19">
        <f>IF(C19="",0,IF(OR(COMBINACIONES!$B$6="NO",$J$3&lt;=COMBINACIONES!$B$5),1,IF(AND(D19&gt;=COMBINACIONES!$B$3,D19&lt;=COMBINACIONES!$B$4),1,0)))</f>
        <v>0</v>
      </c>
      <c r="F19" t="str">
        <f>IF(E19=1,SUM(E$5:E19),"")</f>
        <v/>
      </c>
      <c r="G19" t="str">
        <f>IF(E19=1,D19+A19*0.000000001,"")</f>
        <v/>
      </c>
      <c r="H19">
        <v>15</v>
      </c>
      <c r="I19" t="str">
        <f>IFERROR(INDEX($C$5:$C$34,MATCH(SMALL($G$5:$G$34,H19),$G$5:$G$34,0)),"")</f>
        <v/>
      </c>
      <c r="J19" s="1" t="str">
        <f>IFERROR(INDEX($D$5:$D$34,MATCH(SMALL($G$5:$G$34,H19),$G$5:$G$34,0)),"")</f>
        <v/>
      </c>
      <c r="L19">
        <v>1</v>
      </c>
      <c r="M19">
        <v>17</v>
      </c>
      <c r="N19">
        <f>IF(L19+M19-1&lt;=$J$2,1,0)</f>
        <v>0</v>
      </c>
      <c r="O19" t="str">
        <f>IF(N19=1,_xlfn.STDEV.S(INDEX($J$5:$J$34,L19):INDEX($J$5:$J$34,L19+M19-1))/AVERAGE(INDEX($J$5:$J$34,L19):INDEX($J$5:$J$34,L19+M19-1)),"")</f>
        <v/>
      </c>
      <c r="P19" t="str">
        <f>IF(N19=1,IF(O19&lt;=COMBINACIONES!$B$5,1,0),"")</f>
        <v/>
      </c>
      <c r="Q19" t="str">
        <f>IF(N19=1,IF(P19=1,-M19,100)+O19+ROW()*0.000000000001,"")</f>
        <v/>
      </c>
    </row>
    <row r="20" spans="1:17" x14ac:dyDescent="0.3">
      <c r="A20">
        <v>16</v>
      </c>
      <c r="B20">
        <f>8+A20</f>
        <v>24</v>
      </c>
      <c r="C20" t="str">
        <f>IF(B20&lt;=$C$3,IF(ISNUMBER(INDEX('MERCADO RURAL'!$H:$H,B20)),IF(ISNUMBER(INDEX('MERCADO RURAL'!$A:$A,B20)),INDEX('MERCADO RURAL'!$A:$A,B20),B20-8),""),"")</f>
        <v/>
      </c>
      <c r="D20" s="1" t="str">
        <f>IF(C20="","",INDEX('MERCADO RURAL'!$H:$H,B20))</f>
        <v/>
      </c>
      <c r="E20">
        <f>IF(C20="",0,IF(OR(COMBINACIONES!$B$6="NO",$J$3&lt;=COMBINACIONES!$B$5),1,IF(AND(D20&gt;=COMBINACIONES!$B$3,D20&lt;=COMBINACIONES!$B$4),1,0)))</f>
        <v>0</v>
      </c>
      <c r="F20" t="str">
        <f>IF(E20=1,SUM(E$5:E20),"")</f>
        <v/>
      </c>
      <c r="G20" t="str">
        <f>IF(E20=1,D20+A20*0.000000001,"")</f>
        <v/>
      </c>
      <c r="H20">
        <v>16</v>
      </c>
      <c r="I20" t="str">
        <f>IFERROR(INDEX($C$5:$C$34,MATCH(SMALL($G$5:$G$34,H20),$G$5:$G$34,0)),"")</f>
        <v/>
      </c>
      <c r="J20" s="1" t="str">
        <f>IFERROR(INDEX($D$5:$D$34,MATCH(SMALL($G$5:$G$34,H20),$G$5:$G$34,0)),"")</f>
        <v/>
      </c>
      <c r="L20">
        <v>1</v>
      </c>
      <c r="M20">
        <v>18</v>
      </c>
      <c r="N20">
        <f>IF(L20+M20-1&lt;=$J$2,1,0)</f>
        <v>0</v>
      </c>
      <c r="O20" t="str">
        <f>IF(N20=1,_xlfn.STDEV.S(INDEX($J$5:$J$34,L20):INDEX($J$5:$J$34,L20+M20-1))/AVERAGE(INDEX($J$5:$J$34,L20):INDEX($J$5:$J$34,L20+M20-1)),"")</f>
        <v/>
      </c>
      <c r="P20" t="str">
        <f>IF(N20=1,IF(O20&lt;=COMBINACIONES!$B$5,1,0),"")</f>
        <v/>
      </c>
      <c r="Q20" t="str">
        <f>IF(N20=1,IF(P20=1,-M20,100)+O20+ROW()*0.000000000001,"")</f>
        <v/>
      </c>
    </row>
    <row r="21" spans="1:17" x14ac:dyDescent="0.3">
      <c r="A21">
        <v>17</v>
      </c>
      <c r="B21">
        <f>8+A21</f>
        <v>25</v>
      </c>
      <c r="C21" t="str">
        <f>IF(B21&lt;=$C$3,IF(ISNUMBER(INDEX('MERCADO RURAL'!$H:$H,B21)),IF(ISNUMBER(INDEX('MERCADO RURAL'!$A:$A,B21)),INDEX('MERCADO RURAL'!$A:$A,B21),B21-8),""),"")</f>
        <v/>
      </c>
      <c r="D21" s="1" t="str">
        <f>IF(C21="","",INDEX('MERCADO RURAL'!$H:$H,B21))</f>
        <v/>
      </c>
      <c r="E21">
        <f>IF(C21="",0,IF(OR(COMBINACIONES!$B$6="NO",$J$3&lt;=COMBINACIONES!$B$5),1,IF(AND(D21&gt;=COMBINACIONES!$B$3,D21&lt;=COMBINACIONES!$B$4),1,0)))</f>
        <v>0</v>
      </c>
      <c r="F21" t="str">
        <f>IF(E21=1,SUM(E$5:E21),"")</f>
        <v/>
      </c>
      <c r="G21" t="str">
        <f>IF(E21=1,D21+A21*0.000000001,"")</f>
        <v/>
      </c>
      <c r="H21">
        <v>17</v>
      </c>
      <c r="I21" t="str">
        <f>IFERROR(INDEX($C$5:$C$34,MATCH(SMALL($G$5:$G$34,H21),$G$5:$G$34,0)),"")</f>
        <v/>
      </c>
      <c r="J21" s="1" t="str">
        <f>IFERROR(INDEX($D$5:$D$34,MATCH(SMALL($G$5:$G$34,H21),$G$5:$G$34,0)),"")</f>
        <v/>
      </c>
      <c r="L21">
        <v>1</v>
      </c>
      <c r="M21">
        <v>19</v>
      </c>
      <c r="N21">
        <f>IF(L21+M21-1&lt;=$J$2,1,0)</f>
        <v>0</v>
      </c>
      <c r="O21" t="str">
        <f>IF(N21=1,_xlfn.STDEV.S(INDEX($J$5:$J$34,L21):INDEX($J$5:$J$34,L21+M21-1))/AVERAGE(INDEX($J$5:$J$34,L21):INDEX($J$5:$J$34,L21+M21-1)),"")</f>
        <v/>
      </c>
      <c r="P21" t="str">
        <f>IF(N21=1,IF(O21&lt;=COMBINACIONES!$B$5,1,0),"")</f>
        <v/>
      </c>
      <c r="Q21" t="str">
        <f>IF(N21=1,IF(P21=1,-M21,100)+O21+ROW()*0.000000000001,"")</f>
        <v/>
      </c>
    </row>
    <row r="22" spans="1:17" x14ac:dyDescent="0.3">
      <c r="A22">
        <v>18</v>
      </c>
      <c r="B22">
        <f>8+A22</f>
        <v>26</v>
      </c>
      <c r="C22" t="str">
        <f>IF(B22&lt;=$C$3,IF(ISNUMBER(INDEX('MERCADO RURAL'!$H:$H,B22)),IF(ISNUMBER(INDEX('MERCADO RURAL'!$A:$A,B22)),INDEX('MERCADO RURAL'!$A:$A,B22),B22-8),""),"")</f>
        <v/>
      </c>
      <c r="D22" s="1" t="str">
        <f>IF(C22="","",INDEX('MERCADO RURAL'!$H:$H,B22))</f>
        <v/>
      </c>
      <c r="E22">
        <f>IF(C22="",0,IF(OR(COMBINACIONES!$B$6="NO",$J$3&lt;=COMBINACIONES!$B$5),1,IF(AND(D22&gt;=COMBINACIONES!$B$3,D22&lt;=COMBINACIONES!$B$4),1,0)))</f>
        <v>0</v>
      </c>
      <c r="F22" t="str">
        <f>IF(E22=1,SUM(E$5:E22),"")</f>
        <v/>
      </c>
      <c r="G22" t="str">
        <f>IF(E22=1,D22+A22*0.000000001,"")</f>
        <v/>
      </c>
      <c r="H22">
        <v>18</v>
      </c>
      <c r="I22" t="str">
        <f>IFERROR(INDEX($C$5:$C$34,MATCH(SMALL($G$5:$G$34,H22),$G$5:$G$34,0)),"")</f>
        <v/>
      </c>
      <c r="J22" s="1" t="str">
        <f>IFERROR(INDEX($D$5:$D$34,MATCH(SMALL($G$5:$G$34,H22),$G$5:$G$34,0)),"")</f>
        <v/>
      </c>
      <c r="L22">
        <v>1</v>
      </c>
      <c r="M22">
        <v>20</v>
      </c>
      <c r="N22">
        <f>IF(L22+M22-1&lt;=$J$2,1,0)</f>
        <v>0</v>
      </c>
      <c r="O22" t="str">
        <f>IF(N22=1,_xlfn.STDEV.S(INDEX($J$5:$J$34,L22):INDEX($J$5:$J$34,L22+M22-1))/AVERAGE(INDEX($J$5:$J$34,L22):INDEX($J$5:$J$34,L22+M22-1)),"")</f>
        <v/>
      </c>
      <c r="P22" t="str">
        <f>IF(N22=1,IF(O22&lt;=COMBINACIONES!$B$5,1,0),"")</f>
        <v/>
      </c>
      <c r="Q22" t="str">
        <f>IF(N22=1,IF(P22=1,-M22,100)+O22+ROW()*0.000000000001,"")</f>
        <v/>
      </c>
    </row>
    <row r="23" spans="1:17" x14ac:dyDescent="0.3">
      <c r="A23">
        <v>19</v>
      </c>
      <c r="B23">
        <f>8+A23</f>
        <v>27</v>
      </c>
      <c r="C23" t="str">
        <f>IF(B23&lt;=$C$3,IF(ISNUMBER(INDEX('MERCADO RURAL'!$H:$H,B23)),IF(ISNUMBER(INDEX('MERCADO RURAL'!$A:$A,B23)),INDEX('MERCADO RURAL'!$A:$A,B23),B23-8),""),"")</f>
        <v/>
      </c>
      <c r="D23" s="1" t="str">
        <f>IF(C23="","",INDEX('MERCADO RURAL'!$H:$H,B23))</f>
        <v/>
      </c>
      <c r="E23">
        <f>IF(C23="",0,IF(OR(COMBINACIONES!$B$6="NO",$J$3&lt;=COMBINACIONES!$B$5),1,IF(AND(D23&gt;=COMBINACIONES!$B$3,D23&lt;=COMBINACIONES!$B$4),1,0)))</f>
        <v>0</v>
      </c>
      <c r="F23" t="str">
        <f>IF(E23=1,SUM(E$5:E23),"")</f>
        <v/>
      </c>
      <c r="G23" t="str">
        <f>IF(E23=1,D23+A23*0.000000001,"")</f>
        <v/>
      </c>
      <c r="H23">
        <v>19</v>
      </c>
      <c r="I23" t="str">
        <f>IFERROR(INDEX($C$5:$C$34,MATCH(SMALL($G$5:$G$34,H23),$G$5:$G$34,0)),"")</f>
        <v/>
      </c>
      <c r="J23" s="1" t="str">
        <f>IFERROR(INDEX($D$5:$D$34,MATCH(SMALL($G$5:$G$34,H23),$G$5:$G$34,0)),"")</f>
        <v/>
      </c>
      <c r="L23">
        <v>1</v>
      </c>
      <c r="M23">
        <v>21</v>
      </c>
      <c r="N23">
        <f>IF(L23+M23-1&lt;=$J$2,1,0)</f>
        <v>0</v>
      </c>
      <c r="O23" t="str">
        <f>IF(N23=1,_xlfn.STDEV.S(INDEX($J$5:$J$34,L23):INDEX($J$5:$J$34,L23+M23-1))/AVERAGE(INDEX($J$5:$J$34,L23):INDEX($J$5:$J$34,L23+M23-1)),"")</f>
        <v/>
      </c>
      <c r="P23" t="str">
        <f>IF(N23=1,IF(O23&lt;=COMBINACIONES!$B$5,1,0),"")</f>
        <v/>
      </c>
      <c r="Q23" t="str">
        <f>IF(N23=1,IF(P23=1,-M23,100)+O23+ROW()*0.000000000001,"")</f>
        <v/>
      </c>
    </row>
    <row r="24" spans="1:17" x14ac:dyDescent="0.3">
      <c r="A24">
        <v>20</v>
      </c>
      <c r="B24">
        <f>8+A24</f>
        <v>28</v>
      </c>
      <c r="C24" t="str">
        <f>IF(B24&lt;=$C$3,IF(ISNUMBER(INDEX('MERCADO RURAL'!$H:$H,B24)),IF(ISNUMBER(INDEX('MERCADO RURAL'!$A:$A,B24)),INDEX('MERCADO RURAL'!$A:$A,B24),B24-8),""),"")</f>
        <v/>
      </c>
      <c r="D24" s="1" t="str">
        <f>IF(C24="","",INDEX('MERCADO RURAL'!$H:$H,B24))</f>
        <v/>
      </c>
      <c r="E24">
        <f>IF(C24="",0,IF(OR(COMBINACIONES!$B$6="NO",$J$3&lt;=COMBINACIONES!$B$5),1,IF(AND(D24&gt;=COMBINACIONES!$B$3,D24&lt;=COMBINACIONES!$B$4),1,0)))</f>
        <v>0</v>
      </c>
      <c r="F24" t="str">
        <f>IF(E24=1,SUM(E$5:E24),"")</f>
        <v/>
      </c>
      <c r="G24" t="str">
        <f>IF(E24=1,D24+A24*0.000000001,"")</f>
        <v/>
      </c>
      <c r="H24">
        <v>20</v>
      </c>
      <c r="I24" t="str">
        <f>IFERROR(INDEX($C$5:$C$34,MATCH(SMALL($G$5:$G$34,H24),$G$5:$G$34,0)),"")</f>
        <v/>
      </c>
      <c r="J24" s="1" t="str">
        <f>IFERROR(INDEX($D$5:$D$34,MATCH(SMALL($G$5:$G$34,H24),$G$5:$G$34,0)),"")</f>
        <v/>
      </c>
      <c r="L24">
        <v>1</v>
      </c>
      <c r="M24">
        <v>22</v>
      </c>
      <c r="N24">
        <f>IF(L24+M24-1&lt;=$J$2,1,0)</f>
        <v>0</v>
      </c>
      <c r="O24" t="str">
        <f>IF(N24=1,_xlfn.STDEV.S(INDEX($J$5:$J$34,L24):INDEX($J$5:$J$34,L24+M24-1))/AVERAGE(INDEX($J$5:$J$34,L24):INDEX($J$5:$J$34,L24+M24-1)),"")</f>
        <v/>
      </c>
      <c r="P24" t="str">
        <f>IF(N24=1,IF(O24&lt;=COMBINACIONES!$B$5,1,0),"")</f>
        <v/>
      </c>
      <c r="Q24" t="str">
        <f>IF(N24=1,IF(P24=1,-M24,100)+O24+ROW()*0.000000000001,"")</f>
        <v/>
      </c>
    </row>
    <row r="25" spans="1:17" x14ac:dyDescent="0.3">
      <c r="A25">
        <v>21</v>
      </c>
      <c r="B25">
        <f>8+A25</f>
        <v>29</v>
      </c>
      <c r="C25" t="str">
        <f>IF(B25&lt;=$C$3,IF(ISNUMBER(INDEX('MERCADO RURAL'!$H:$H,B25)),IF(ISNUMBER(INDEX('MERCADO RURAL'!$A:$A,B25)),INDEX('MERCADO RURAL'!$A:$A,B25),B25-8),""),"")</f>
        <v/>
      </c>
      <c r="D25" s="1" t="str">
        <f>IF(C25="","",INDEX('MERCADO RURAL'!$H:$H,B25))</f>
        <v/>
      </c>
      <c r="E25">
        <f>IF(C25="",0,IF(OR(COMBINACIONES!$B$6="NO",$J$3&lt;=COMBINACIONES!$B$5),1,IF(AND(D25&gt;=COMBINACIONES!$B$3,D25&lt;=COMBINACIONES!$B$4),1,0)))</f>
        <v>0</v>
      </c>
      <c r="F25" t="str">
        <f>IF(E25=1,SUM(E$5:E25),"")</f>
        <v/>
      </c>
      <c r="G25" t="str">
        <f>IF(E25=1,D25+A25*0.000000001,"")</f>
        <v/>
      </c>
      <c r="H25">
        <v>21</v>
      </c>
      <c r="I25" t="str">
        <f>IFERROR(INDEX($C$5:$C$34,MATCH(SMALL($G$5:$G$34,H25),$G$5:$G$34,0)),"")</f>
        <v/>
      </c>
      <c r="J25" s="1" t="str">
        <f>IFERROR(INDEX($D$5:$D$34,MATCH(SMALL($G$5:$G$34,H25),$G$5:$G$34,0)),"")</f>
        <v/>
      </c>
      <c r="L25">
        <v>1</v>
      </c>
      <c r="M25">
        <v>23</v>
      </c>
      <c r="N25">
        <f>IF(L25+M25-1&lt;=$J$2,1,0)</f>
        <v>0</v>
      </c>
      <c r="O25" t="str">
        <f>IF(N25=1,_xlfn.STDEV.S(INDEX($J$5:$J$34,L25):INDEX($J$5:$J$34,L25+M25-1))/AVERAGE(INDEX($J$5:$J$34,L25):INDEX($J$5:$J$34,L25+M25-1)),"")</f>
        <v/>
      </c>
      <c r="P25" t="str">
        <f>IF(N25=1,IF(O25&lt;=COMBINACIONES!$B$5,1,0),"")</f>
        <v/>
      </c>
      <c r="Q25" t="str">
        <f>IF(N25=1,IF(P25=1,-M25,100)+O25+ROW()*0.000000000001,"")</f>
        <v/>
      </c>
    </row>
    <row r="26" spans="1:17" x14ac:dyDescent="0.3">
      <c r="A26">
        <v>22</v>
      </c>
      <c r="B26">
        <f>8+A26</f>
        <v>30</v>
      </c>
      <c r="C26" t="str">
        <f>IF(B26&lt;=$C$3,IF(ISNUMBER(INDEX('MERCADO RURAL'!$H:$H,B26)),IF(ISNUMBER(INDEX('MERCADO RURAL'!$A:$A,B26)),INDEX('MERCADO RURAL'!$A:$A,B26),B26-8),""),"")</f>
        <v/>
      </c>
      <c r="D26" s="1" t="str">
        <f>IF(C26="","",INDEX('MERCADO RURAL'!$H:$H,B26))</f>
        <v/>
      </c>
      <c r="E26">
        <f>IF(C26="",0,IF(OR(COMBINACIONES!$B$6="NO",$J$3&lt;=COMBINACIONES!$B$5),1,IF(AND(D26&gt;=COMBINACIONES!$B$3,D26&lt;=COMBINACIONES!$B$4),1,0)))</f>
        <v>0</v>
      </c>
      <c r="F26" t="str">
        <f>IF(E26=1,SUM(E$5:E26),"")</f>
        <v/>
      </c>
      <c r="G26" t="str">
        <f>IF(E26=1,D26+A26*0.000000001,"")</f>
        <v/>
      </c>
      <c r="H26">
        <v>22</v>
      </c>
      <c r="I26" t="str">
        <f>IFERROR(INDEX($C$5:$C$34,MATCH(SMALL($G$5:$G$34,H26),$G$5:$G$34,0)),"")</f>
        <v/>
      </c>
      <c r="J26" s="1" t="str">
        <f>IFERROR(INDEX($D$5:$D$34,MATCH(SMALL($G$5:$G$34,H26),$G$5:$G$34,0)),"")</f>
        <v/>
      </c>
      <c r="L26">
        <v>1</v>
      </c>
      <c r="M26">
        <v>24</v>
      </c>
      <c r="N26">
        <f>IF(L26+M26-1&lt;=$J$2,1,0)</f>
        <v>0</v>
      </c>
      <c r="O26" t="str">
        <f>IF(N26=1,_xlfn.STDEV.S(INDEX($J$5:$J$34,L26):INDEX($J$5:$J$34,L26+M26-1))/AVERAGE(INDEX($J$5:$J$34,L26):INDEX($J$5:$J$34,L26+M26-1)),"")</f>
        <v/>
      </c>
      <c r="P26" t="str">
        <f>IF(N26=1,IF(O26&lt;=COMBINACIONES!$B$5,1,0),"")</f>
        <v/>
      </c>
      <c r="Q26" t="str">
        <f>IF(N26=1,IF(P26=1,-M26,100)+O26+ROW()*0.000000000001,"")</f>
        <v/>
      </c>
    </row>
    <row r="27" spans="1:17" x14ac:dyDescent="0.3">
      <c r="A27">
        <v>23</v>
      </c>
      <c r="B27">
        <f>8+A27</f>
        <v>31</v>
      </c>
      <c r="C27" t="str">
        <f>IF(B27&lt;=$C$3,IF(ISNUMBER(INDEX('MERCADO RURAL'!$H:$H,B27)),IF(ISNUMBER(INDEX('MERCADO RURAL'!$A:$A,B27)),INDEX('MERCADO RURAL'!$A:$A,B27),B27-8),""),"")</f>
        <v/>
      </c>
      <c r="D27" s="1" t="str">
        <f>IF(C27="","",INDEX('MERCADO RURAL'!$H:$H,B27))</f>
        <v/>
      </c>
      <c r="E27">
        <f>IF(C27="",0,IF(OR(COMBINACIONES!$B$6="NO",$J$3&lt;=COMBINACIONES!$B$5),1,IF(AND(D27&gt;=COMBINACIONES!$B$3,D27&lt;=COMBINACIONES!$B$4),1,0)))</f>
        <v>0</v>
      </c>
      <c r="F27" t="str">
        <f>IF(E27=1,SUM(E$5:E27),"")</f>
        <v/>
      </c>
      <c r="G27" t="str">
        <f>IF(E27=1,D27+A27*0.000000001,"")</f>
        <v/>
      </c>
      <c r="H27">
        <v>23</v>
      </c>
      <c r="I27" t="str">
        <f>IFERROR(INDEX($C$5:$C$34,MATCH(SMALL($G$5:$G$34,H27),$G$5:$G$34,0)),"")</f>
        <v/>
      </c>
      <c r="J27" s="1" t="str">
        <f>IFERROR(INDEX($D$5:$D$34,MATCH(SMALL($G$5:$G$34,H27),$G$5:$G$34,0)),"")</f>
        <v/>
      </c>
      <c r="L27">
        <v>1</v>
      </c>
      <c r="M27">
        <v>25</v>
      </c>
      <c r="N27">
        <f>IF(L27+M27-1&lt;=$J$2,1,0)</f>
        <v>0</v>
      </c>
      <c r="O27" t="str">
        <f>IF(N27=1,_xlfn.STDEV.S(INDEX($J$5:$J$34,L27):INDEX($J$5:$J$34,L27+M27-1))/AVERAGE(INDEX($J$5:$J$34,L27):INDEX($J$5:$J$34,L27+M27-1)),"")</f>
        <v/>
      </c>
      <c r="P27" t="str">
        <f>IF(N27=1,IF(O27&lt;=COMBINACIONES!$B$5,1,0),"")</f>
        <v/>
      </c>
      <c r="Q27" t="str">
        <f>IF(N27=1,IF(P27=1,-M27,100)+O27+ROW()*0.000000000001,"")</f>
        <v/>
      </c>
    </row>
    <row r="28" spans="1:17" x14ac:dyDescent="0.3">
      <c r="A28">
        <v>24</v>
      </c>
      <c r="B28">
        <f>8+A28</f>
        <v>32</v>
      </c>
      <c r="C28" t="str">
        <f>IF(B28&lt;=$C$3,IF(ISNUMBER(INDEX('MERCADO RURAL'!$H:$H,B28)),IF(ISNUMBER(INDEX('MERCADO RURAL'!$A:$A,B28)),INDEX('MERCADO RURAL'!$A:$A,B28),B28-8),""),"")</f>
        <v/>
      </c>
      <c r="D28" s="1" t="str">
        <f>IF(C28="","",INDEX('MERCADO RURAL'!$H:$H,B28))</f>
        <v/>
      </c>
      <c r="E28">
        <f>IF(C28="",0,IF(OR(COMBINACIONES!$B$6="NO",$J$3&lt;=COMBINACIONES!$B$5),1,IF(AND(D28&gt;=COMBINACIONES!$B$3,D28&lt;=COMBINACIONES!$B$4),1,0)))</f>
        <v>0</v>
      </c>
      <c r="F28" t="str">
        <f>IF(E28=1,SUM(E$5:E28),"")</f>
        <v/>
      </c>
      <c r="G28" t="str">
        <f>IF(E28=1,D28+A28*0.000000001,"")</f>
        <v/>
      </c>
      <c r="H28">
        <v>24</v>
      </c>
      <c r="I28" t="str">
        <f>IFERROR(INDEX($C$5:$C$34,MATCH(SMALL($G$5:$G$34,H28),$G$5:$G$34,0)),"")</f>
        <v/>
      </c>
      <c r="J28" s="1" t="str">
        <f>IFERROR(INDEX($D$5:$D$34,MATCH(SMALL($G$5:$G$34,H28),$G$5:$G$34,0)),"")</f>
        <v/>
      </c>
      <c r="L28">
        <v>1</v>
      </c>
      <c r="M28">
        <v>26</v>
      </c>
      <c r="N28">
        <f>IF(L28+M28-1&lt;=$J$2,1,0)</f>
        <v>0</v>
      </c>
      <c r="O28" t="str">
        <f>IF(N28=1,_xlfn.STDEV.S(INDEX($J$5:$J$34,L28):INDEX($J$5:$J$34,L28+M28-1))/AVERAGE(INDEX($J$5:$J$34,L28):INDEX($J$5:$J$34,L28+M28-1)),"")</f>
        <v/>
      </c>
      <c r="P28" t="str">
        <f>IF(N28=1,IF(O28&lt;=COMBINACIONES!$B$5,1,0),"")</f>
        <v/>
      </c>
      <c r="Q28" t="str">
        <f>IF(N28=1,IF(P28=1,-M28,100)+O28+ROW()*0.000000000001,"")</f>
        <v/>
      </c>
    </row>
    <row r="29" spans="1:17" x14ac:dyDescent="0.3">
      <c r="A29">
        <v>25</v>
      </c>
      <c r="B29">
        <f>8+A29</f>
        <v>33</v>
      </c>
      <c r="C29" t="str">
        <f>IF(B29&lt;=$C$3,IF(ISNUMBER(INDEX('MERCADO RURAL'!$H:$H,B29)),IF(ISNUMBER(INDEX('MERCADO RURAL'!$A:$A,B29)),INDEX('MERCADO RURAL'!$A:$A,B29),B29-8),""),"")</f>
        <v/>
      </c>
      <c r="D29" s="1" t="str">
        <f>IF(C29="","",INDEX('MERCADO RURAL'!$H:$H,B29))</f>
        <v/>
      </c>
      <c r="E29">
        <f>IF(C29="",0,IF(OR(COMBINACIONES!$B$6="NO",$J$3&lt;=COMBINACIONES!$B$5),1,IF(AND(D29&gt;=COMBINACIONES!$B$3,D29&lt;=COMBINACIONES!$B$4),1,0)))</f>
        <v>0</v>
      </c>
      <c r="F29" t="str">
        <f>IF(E29=1,SUM(E$5:E29),"")</f>
        <v/>
      </c>
      <c r="G29" t="str">
        <f>IF(E29=1,D29+A29*0.000000001,"")</f>
        <v/>
      </c>
      <c r="H29">
        <v>25</v>
      </c>
      <c r="I29" t="str">
        <f>IFERROR(INDEX($C$5:$C$34,MATCH(SMALL($G$5:$G$34,H29),$G$5:$G$34,0)),"")</f>
        <v/>
      </c>
      <c r="J29" s="1" t="str">
        <f>IFERROR(INDEX($D$5:$D$34,MATCH(SMALL($G$5:$G$34,H29),$G$5:$G$34,0)),"")</f>
        <v/>
      </c>
      <c r="L29">
        <v>1</v>
      </c>
      <c r="M29">
        <v>27</v>
      </c>
      <c r="N29">
        <f>IF(L29+M29-1&lt;=$J$2,1,0)</f>
        <v>0</v>
      </c>
      <c r="O29" t="str">
        <f>IF(N29=1,_xlfn.STDEV.S(INDEX($J$5:$J$34,L29):INDEX($J$5:$J$34,L29+M29-1))/AVERAGE(INDEX($J$5:$J$34,L29):INDEX($J$5:$J$34,L29+M29-1)),"")</f>
        <v/>
      </c>
      <c r="P29" t="str">
        <f>IF(N29=1,IF(O29&lt;=COMBINACIONES!$B$5,1,0),"")</f>
        <v/>
      </c>
      <c r="Q29" t="str">
        <f>IF(N29=1,IF(P29=1,-M29,100)+O29+ROW()*0.000000000001,"")</f>
        <v/>
      </c>
    </row>
    <row r="30" spans="1:17" x14ac:dyDescent="0.3">
      <c r="A30">
        <v>26</v>
      </c>
      <c r="B30">
        <f>8+A30</f>
        <v>34</v>
      </c>
      <c r="C30" t="str">
        <f>IF(B30&lt;=$C$3,IF(ISNUMBER(INDEX('MERCADO RURAL'!$H:$H,B30)),IF(ISNUMBER(INDEX('MERCADO RURAL'!$A:$A,B30)),INDEX('MERCADO RURAL'!$A:$A,B30),B30-8),""),"")</f>
        <v/>
      </c>
      <c r="D30" s="1" t="str">
        <f>IF(C30="","",INDEX('MERCADO RURAL'!$H:$H,B30))</f>
        <v/>
      </c>
      <c r="E30">
        <f>IF(C30="",0,IF(OR(COMBINACIONES!$B$6="NO",$J$3&lt;=COMBINACIONES!$B$5),1,IF(AND(D30&gt;=COMBINACIONES!$B$3,D30&lt;=COMBINACIONES!$B$4),1,0)))</f>
        <v>0</v>
      </c>
      <c r="F30" t="str">
        <f>IF(E30=1,SUM(E$5:E30),"")</f>
        <v/>
      </c>
      <c r="G30" t="str">
        <f>IF(E30=1,D30+A30*0.000000001,"")</f>
        <v/>
      </c>
      <c r="H30">
        <v>26</v>
      </c>
      <c r="I30" t="str">
        <f>IFERROR(INDEX($C$5:$C$34,MATCH(SMALL($G$5:$G$34,H30),$G$5:$G$34,0)),"")</f>
        <v/>
      </c>
      <c r="J30" s="1" t="str">
        <f>IFERROR(INDEX($D$5:$D$34,MATCH(SMALL($G$5:$G$34,H30),$G$5:$G$34,0)),"")</f>
        <v/>
      </c>
      <c r="L30">
        <v>1</v>
      </c>
      <c r="M30">
        <v>28</v>
      </c>
      <c r="N30">
        <f>IF(L30+M30-1&lt;=$J$2,1,0)</f>
        <v>0</v>
      </c>
      <c r="O30" t="str">
        <f>IF(N30=1,_xlfn.STDEV.S(INDEX($J$5:$J$34,L30):INDEX($J$5:$J$34,L30+M30-1))/AVERAGE(INDEX($J$5:$J$34,L30):INDEX($J$5:$J$34,L30+M30-1)),"")</f>
        <v/>
      </c>
      <c r="P30" t="str">
        <f>IF(N30=1,IF(O30&lt;=COMBINACIONES!$B$5,1,0),"")</f>
        <v/>
      </c>
      <c r="Q30" t="str">
        <f>IF(N30=1,IF(P30=1,-M30,100)+O30+ROW()*0.000000000001,"")</f>
        <v/>
      </c>
    </row>
    <row r="31" spans="1:17" x14ac:dyDescent="0.3">
      <c r="A31">
        <v>27</v>
      </c>
      <c r="B31">
        <f>8+A31</f>
        <v>35</v>
      </c>
      <c r="C31" t="str">
        <f>IF(B31&lt;=$C$3,IF(ISNUMBER(INDEX('MERCADO RURAL'!$H:$H,B31)),IF(ISNUMBER(INDEX('MERCADO RURAL'!$A:$A,B31)),INDEX('MERCADO RURAL'!$A:$A,B31),B31-8),""),"")</f>
        <v/>
      </c>
      <c r="D31" s="1" t="str">
        <f>IF(C31="","",INDEX('MERCADO RURAL'!$H:$H,B31))</f>
        <v/>
      </c>
      <c r="E31">
        <f>IF(C31="",0,IF(OR(COMBINACIONES!$B$6="NO",$J$3&lt;=COMBINACIONES!$B$5),1,IF(AND(D31&gt;=COMBINACIONES!$B$3,D31&lt;=COMBINACIONES!$B$4),1,0)))</f>
        <v>0</v>
      </c>
      <c r="F31" t="str">
        <f>IF(E31=1,SUM(E$5:E31),"")</f>
        <v/>
      </c>
      <c r="G31" t="str">
        <f>IF(E31=1,D31+A31*0.000000001,"")</f>
        <v/>
      </c>
      <c r="H31">
        <v>27</v>
      </c>
      <c r="I31" t="str">
        <f>IFERROR(INDEX($C$5:$C$34,MATCH(SMALL($G$5:$G$34,H31),$G$5:$G$34,0)),"")</f>
        <v/>
      </c>
      <c r="J31" s="1" t="str">
        <f>IFERROR(INDEX($D$5:$D$34,MATCH(SMALL($G$5:$G$34,H31),$G$5:$G$34,0)),"")</f>
        <v/>
      </c>
      <c r="L31">
        <v>1</v>
      </c>
      <c r="M31">
        <v>29</v>
      </c>
      <c r="N31">
        <f>IF(L31+M31-1&lt;=$J$2,1,0)</f>
        <v>0</v>
      </c>
      <c r="O31" t="str">
        <f>IF(N31=1,_xlfn.STDEV.S(INDEX($J$5:$J$34,L31):INDEX($J$5:$J$34,L31+M31-1))/AVERAGE(INDEX($J$5:$J$34,L31):INDEX($J$5:$J$34,L31+M31-1)),"")</f>
        <v/>
      </c>
      <c r="P31" t="str">
        <f>IF(N31=1,IF(O31&lt;=COMBINACIONES!$B$5,1,0),"")</f>
        <v/>
      </c>
      <c r="Q31" t="str">
        <f>IF(N31=1,IF(P31=1,-M31,100)+O31+ROW()*0.000000000001,"")</f>
        <v/>
      </c>
    </row>
    <row r="32" spans="1:17" x14ac:dyDescent="0.3">
      <c r="A32">
        <v>28</v>
      </c>
      <c r="B32">
        <f>8+A32</f>
        <v>36</v>
      </c>
      <c r="C32" t="str">
        <f>IF(B32&lt;=$C$3,IF(ISNUMBER(INDEX('MERCADO RURAL'!$H:$H,B32)),IF(ISNUMBER(INDEX('MERCADO RURAL'!$A:$A,B32)),INDEX('MERCADO RURAL'!$A:$A,B32),B32-8),""),"")</f>
        <v/>
      </c>
      <c r="D32" s="1" t="str">
        <f>IF(C32="","",INDEX('MERCADO RURAL'!$H:$H,B32))</f>
        <v/>
      </c>
      <c r="E32">
        <f>IF(C32="",0,IF(OR(COMBINACIONES!$B$6="NO",$J$3&lt;=COMBINACIONES!$B$5),1,IF(AND(D32&gt;=COMBINACIONES!$B$3,D32&lt;=COMBINACIONES!$B$4),1,0)))</f>
        <v>0</v>
      </c>
      <c r="F32" t="str">
        <f>IF(E32=1,SUM(E$5:E32),"")</f>
        <v/>
      </c>
      <c r="G32" t="str">
        <f>IF(E32=1,D32+A32*0.000000001,"")</f>
        <v/>
      </c>
      <c r="H32">
        <v>28</v>
      </c>
      <c r="I32" t="str">
        <f>IFERROR(INDEX($C$5:$C$34,MATCH(SMALL($G$5:$G$34,H32),$G$5:$G$34,0)),"")</f>
        <v/>
      </c>
      <c r="J32" s="1" t="str">
        <f>IFERROR(INDEX($D$5:$D$34,MATCH(SMALL($G$5:$G$34,H32),$G$5:$G$34,0)),"")</f>
        <v/>
      </c>
      <c r="L32">
        <v>1</v>
      </c>
      <c r="M32">
        <v>30</v>
      </c>
      <c r="N32">
        <f>IF(L32+M32-1&lt;=$J$2,1,0)</f>
        <v>0</v>
      </c>
      <c r="O32" t="str">
        <f>IF(N32=1,_xlfn.STDEV.S(INDEX($J$5:$J$34,L32):INDEX($J$5:$J$34,L32+M32-1))/AVERAGE(INDEX($J$5:$J$34,L32):INDEX($J$5:$J$34,L32+M32-1)),"")</f>
        <v/>
      </c>
      <c r="P32" t="str">
        <f>IF(N32=1,IF(O32&lt;=COMBINACIONES!$B$5,1,0),"")</f>
        <v/>
      </c>
      <c r="Q32" t="str">
        <f>IF(N32=1,IF(P32=1,-M32,100)+O32+ROW()*0.000000000001,"")</f>
        <v/>
      </c>
    </row>
    <row r="33" spans="1:17" x14ac:dyDescent="0.3">
      <c r="A33">
        <v>29</v>
      </c>
      <c r="B33">
        <f>8+A33</f>
        <v>37</v>
      </c>
      <c r="C33" t="str">
        <f>IF(B33&lt;=$C$3,IF(ISNUMBER(INDEX('MERCADO RURAL'!$H:$H,B33)),IF(ISNUMBER(INDEX('MERCADO RURAL'!$A:$A,B33)),INDEX('MERCADO RURAL'!$A:$A,B33),B33-8),""),"")</f>
        <v/>
      </c>
      <c r="D33" s="1" t="str">
        <f>IF(C33="","",INDEX('MERCADO RURAL'!$H:$H,B33))</f>
        <v/>
      </c>
      <c r="E33">
        <f>IF(C33="",0,IF(OR(COMBINACIONES!$B$6="NO",$J$3&lt;=COMBINACIONES!$B$5),1,IF(AND(D33&gt;=COMBINACIONES!$B$3,D33&lt;=COMBINACIONES!$B$4),1,0)))</f>
        <v>0</v>
      </c>
      <c r="F33" t="str">
        <f>IF(E33=1,SUM(E$5:E33),"")</f>
        <v/>
      </c>
      <c r="G33" t="str">
        <f>IF(E33=1,D33+A33*0.000000001,"")</f>
        <v/>
      </c>
      <c r="H33">
        <v>29</v>
      </c>
      <c r="I33" t="str">
        <f>IFERROR(INDEX($C$5:$C$34,MATCH(SMALL($G$5:$G$34,H33),$G$5:$G$34,0)),"")</f>
        <v/>
      </c>
      <c r="J33" s="1" t="str">
        <f>IFERROR(INDEX($D$5:$D$34,MATCH(SMALL($G$5:$G$34,H33),$G$5:$G$34,0)),"")</f>
        <v/>
      </c>
      <c r="L33">
        <v>2</v>
      </c>
      <c r="M33">
        <v>3</v>
      </c>
      <c r="N33">
        <f>IF(L33+M33-1&lt;=$J$2,1,0)</f>
        <v>1</v>
      </c>
      <c r="O33">
        <f>IF(N33=1,_xlfn.STDEV.S(INDEX($J$5:$J$34,L33):INDEX($J$5:$J$34,L33+M33-1))/AVERAGE(INDEX($J$5:$J$34,L33):INDEX($J$5:$J$34,L33+M33-1)),"")</f>
        <v>0.80365833345921855</v>
      </c>
      <c r="P33">
        <f>IF(N33=1,IF(O33&lt;=COMBINACIONES!$B$5,1,0),"")</f>
        <v>0</v>
      </c>
      <c r="Q33">
        <f>IF(N33=1,IF(P33=1,-M33,100)+O33+ROW()*0.000000000001,"")</f>
        <v>100.80365833349222</v>
      </c>
    </row>
    <row r="34" spans="1:17" x14ac:dyDescent="0.3">
      <c r="A34">
        <v>30</v>
      </c>
      <c r="B34">
        <f>8+A34</f>
        <v>38</v>
      </c>
      <c r="C34" t="str">
        <f>IF(B34&lt;=$C$3,IF(ISNUMBER(INDEX('MERCADO RURAL'!$H:$H,B34)),IF(ISNUMBER(INDEX('MERCADO RURAL'!$A:$A,B34)),INDEX('MERCADO RURAL'!$A:$A,B34),B34-8),""),"")</f>
        <v/>
      </c>
      <c r="D34" s="1" t="str">
        <f>IF(C34="","",INDEX('MERCADO RURAL'!$H:$H,B34))</f>
        <v/>
      </c>
      <c r="E34">
        <f>IF(C34="",0,IF(OR(COMBINACIONES!$B$6="NO",$J$3&lt;=COMBINACIONES!$B$5),1,IF(AND(D34&gt;=COMBINACIONES!$B$3,D34&lt;=COMBINACIONES!$B$4),1,0)))</f>
        <v>0</v>
      </c>
      <c r="F34" t="str">
        <f>IF(E34=1,SUM(E$5:E34),"")</f>
        <v/>
      </c>
      <c r="G34" t="str">
        <f>IF(E34=1,D34+A34*0.000000001,"")</f>
        <v/>
      </c>
      <c r="H34">
        <v>30</v>
      </c>
      <c r="I34" t="str">
        <f>IFERROR(INDEX($C$5:$C$34,MATCH(SMALL($G$5:$G$34,H34),$G$5:$G$34,0)),"")</f>
        <v/>
      </c>
      <c r="J34" s="1" t="str">
        <f>IFERROR(INDEX($D$5:$D$34,MATCH(SMALL($G$5:$G$34,H34),$G$5:$G$34,0)),"")</f>
        <v/>
      </c>
      <c r="L34">
        <v>2</v>
      </c>
      <c r="M34">
        <v>4</v>
      </c>
      <c r="N34">
        <f>IF(L34+M34-1&lt;=$J$2,1,0)</f>
        <v>1</v>
      </c>
      <c r="O34">
        <f>IF(N34=1,_xlfn.STDEV.S(INDEX($J$5:$J$34,L34):INDEX($J$5:$J$34,L34+M34-1))/AVERAGE(INDEX($J$5:$J$34,L34):INDEX($J$5:$J$34,L34+M34-1)),"")</f>
        <v>0.6819771193480233</v>
      </c>
      <c r="P34">
        <f>IF(N34=1,IF(O34&lt;=COMBINACIONES!$B$5,1,0),"")</f>
        <v>0</v>
      </c>
      <c r="Q34">
        <f>IF(N34=1,IF(P34=1,-M34,100)+O34+ROW()*0.000000000001,"")</f>
        <v>100.68197711938203</v>
      </c>
    </row>
    <row r="35" spans="1:17" x14ac:dyDescent="0.3">
      <c r="L35">
        <v>2</v>
      </c>
      <c r="M35">
        <v>5</v>
      </c>
      <c r="N35">
        <f>IF(L35+M35-1&lt;=$J$2,1,0)</f>
        <v>1</v>
      </c>
      <c r="O35">
        <f>IF(N35=1,_xlfn.STDEV.S(INDEX($J$5:$J$34,L35):INDEX($J$5:$J$34,L35+M35-1))/AVERAGE(INDEX($J$5:$J$34,L35):INDEX($J$5:$J$34,L35+M35-1)),"")</f>
        <v>0.59505907838838112</v>
      </c>
      <c r="P35">
        <f>IF(N35=1,IF(O35&lt;=COMBINACIONES!$B$5,1,0),"")</f>
        <v>0</v>
      </c>
      <c r="Q35">
        <f>IF(N35=1,IF(P35=1,-M35,100)+O35+ROW()*0.000000000001,"")</f>
        <v>100.59505907842338</v>
      </c>
    </row>
    <row r="36" spans="1:17" x14ac:dyDescent="0.3">
      <c r="L36">
        <v>2</v>
      </c>
      <c r="M36">
        <v>6</v>
      </c>
      <c r="N36">
        <f>IF(L36+M36-1&lt;=$J$2,1,0)</f>
        <v>0</v>
      </c>
      <c r="O36" t="str">
        <f>IF(N36=1,_xlfn.STDEV.S(INDEX($J$5:$J$34,L36):INDEX($J$5:$J$34,L36+M36-1))/AVERAGE(INDEX($J$5:$J$34,L36):INDEX($J$5:$J$34,L36+M36-1)),"")</f>
        <v/>
      </c>
      <c r="P36" t="str">
        <f>IF(N36=1,IF(O36&lt;=COMBINACIONES!$B$5,1,0),"")</f>
        <v/>
      </c>
      <c r="Q36" t="str">
        <f>IF(N36=1,IF(P36=1,-M36,100)+O36+ROW()*0.000000000001,"")</f>
        <v/>
      </c>
    </row>
    <row r="37" spans="1:17" x14ac:dyDescent="0.3">
      <c r="L37">
        <v>2</v>
      </c>
      <c r="M37">
        <v>7</v>
      </c>
      <c r="N37">
        <f>IF(L37+M37-1&lt;=$J$2,1,0)</f>
        <v>0</v>
      </c>
      <c r="O37" t="str">
        <f>IF(N37=1,_xlfn.STDEV.S(INDEX($J$5:$J$34,L37):INDEX($J$5:$J$34,L37+M37-1))/AVERAGE(INDEX($J$5:$J$34,L37):INDEX($J$5:$J$34,L37+M37-1)),"")</f>
        <v/>
      </c>
      <c r="P37" t="str">
        <f>IF(N37=1,IF(O37&lt;=COMBINACIONES!$B$5,1,0),"")</f>
        <v/>
      </c>
      <c r="Q37" t="str">
        <f>IF(N37=1,IF(P37=1,-M37,100)+O37+ROW()*0.000000000001,"")</f>
        <v/>
      </c>
    </row>
    <row r="38" spans="1:17" x14ac:dyDescent="0.3">
      <c r="L38">
        <v>2</v>
      </c>
      <c r="M38">
        <v>8</v>
      </c>
      <c r="N38">
        <f>IF(L38+M38-1&lt;=$J$2,1,0)</f>
        <v>0</v>
      </c>
      <c r="O38" t="str">
        <f>IF(N38=1,_xlfn.STDEV.S(INDEX($J$5:$J$34,L38):INDEX($J$5:$J$34,L38+M38-1))/AVERAGE(INDEX($J$5:$J$34,L38):INDEX($J$5:$J$34,L38+M38-1)),"")</f>
        <v/>
      </c>
      <c r="P38" t="str">
        <f>IF(N38=1,IF(O38&lt;=COMBINACIONES!$B$5,1,0),"")</f>
        <v/>
      </c>
      <c r="Q38" t="str">
        <f>IF(N38=1,IF(P38=1,-M38,100)+O38+ROW()*0.000000000001,"")</f>
        <v/>
      </c>
    </row>
    <row r="39" spans="1:17" x14ac:dyDescent="0.3">
      <c r="L39">
        <v>2</v>
      </c>
      <c r="M39">
        <v>9</v>
      </c>
      <c r="N39">
        <f>IF(L39+M39-1&lt;=$J$2,1,0)</f>
        <v>0</v>
      </c>
      <c r="O39" t="str">
        <f>IF(N39=1,_xlfn.STDEV.S(INDEX($J$5:$J$34,L39):INDEX($J$5:$J$34,L39+M39-1))/AVERAGE(INDEX($J$5:$J$34,L39):INDEX($J$5:$J$34,L39+M39-1)),"")</f>
        <v/>
      </c>
      <c r="P39" t="str">
        <f>IF(N39=1,IF(O39&lt;=COMBINACIONES!$B$5,1,0),"")</f>
        <v/>
      </c>
      <c r="Q39" t="str">
        <f>IF(N39=1,IF(P39=1,-M39,100)+O39+ROW()*0.000000000001,"")</f>
        <v/>
      </c>
    </row>
    <row r="40" spans="1:17" x14ac:dyDescent="0.3">
      <c r="L40">
        <v>2</v>
      </c>
      <c r="M40">
        <v>10</v>
      </c>
      <c r="N40">
        <f>IF(L40+M40-1&lt;=$J$2,1,0)</f>
        <v>0</v>
      </c>
      <c r="O40" t="str">
        <f>IF(N40=1,_xlfn.STDEV.S(INDEX($J$5:$J$34,L40):INDEX($J$5:$J$34,L40+M40-1))/AVERAGE(INDEX($J$5:$J$34,L40):INDEX($J$5:$J$34,L40+M40-1)),"")</f>
        <v/>
      </c>
      <c r="P40" t="str">
        <f>IF(N40=1,IF(O40&lt;=COMBINACIONES!$B$5,1,0),"")</f>
        <v/>
      </c>
      <c r="Q40" t="str">
        <f>IF(N40=1,IF(P40=1,-M40,100)+O40+ROW()*0.000000000001,"")</f>
        <v/>
      </c>
    </row>
    <row r="41" spans="1:17" x14ac:dyDescent="0.3">
      <c r="L41">
        <v>2</v>
      </c>
      <c r="M41">
        <v>11</v>
      </c>
      <c r="N41">
        <f>IF(L41+M41-1&lt;=$J$2,1,0)</f>
        <v>0</v>
      </c>
      <c r="O41" t="str">
        <f>IF(N41=1,_xlfn.STDEV.S(INDEX($J$5:$J$34,L41):INDEX($J$5:$J$34,L41+M41-1))/AVERAGE(INDEX($J$5:$J$34,L41):INDEX($J$5:$J$34,L41+M41-1)),"")</f>
        <v/>
      </c>
      <c r="P41" t="str">
        <f>IF(N41=1,IF(O41&lt;=COMBINACIONES!$B$5,1,0),"")</f>
        <v/>
      </c>
      <c r="Q41" t="str">
        <f>IF(N41=1,IF(P41=1,-M41,100)+O41+ROW()*0.000000000001,"")</f>
        <v/>
      </c>
    </row>
    <row r="42" spans="1:17" x14ac:dyDescent="0.3">
      <c r="L42">
        <v>2</v>
      </c>
      <c r="M42">
        <v>12</v>
      </c>
      <c r="N42">
        <f>IF(L42+M42-1&lt;=$J$2,1,0)</f>
        <v>0</v>
      </c>
      <c r="O42" t="str">
        <f>IF(N42=1,_xlfn.STDEV.S(INDEX($J$5:$J$34,L42):INDEX($J$5:$J$34,L42+M42-1))/AVERAGE(INDEX($J$5:$J$34,L42):INDEX($J$5:$J$34,L42+M42-1)),"")</f>
        <v/>
      </c>
      <c r="P42" t="str">
        <f>IF(N42=1,IF(O42&lt;=COMBINACIONES!$B$5,1,0),"")</f>
        <v/>
      </c>
      <c r="Q42" t="str">
        <f>IF(N42=1,IF(P42=1,-M42,100)+O42+ROW()*0.000000000001,"")</f>
        <v/>
      </c>
    </row>
    <row r="43" spans="1:17" x14ac:dyDescent="0.3">
      <c r="L43">
        <v>2</v>
      </c>
      <c r="M43">
        <v>13</v>
      </c>
      <c r="N43">
        <f>IF(L43+M43-1&lt;=$J$2,1,0)</f>
        <v>0</v>
      </c>
      <c r="O43" t="str">
        <f>IF(N43=1,_xlfn.STDEV.S(INDEX($J$5:$J$34,L43):INDEX($J$5:$J$34,L43+M43-1))/AVERAGE(INDEX($J$5:$J$34,L43):INDEX($J$5:$J$34,L43+M43-1)),"")</f>
        <v/>
      </c>
      <c r="P43" t="str">
        <f>IF(N43=1,IF(O43&lt;=COMBINACIONES!$B$5,1,0),"")</f>
        <v/>
      </c>
      <c r="Q43" t="str">
        <f>IF(N43=1,IF(P43=1,-M43,100)+O43+ROW()*0.000000000001,"")</f>
        <v/>
      </c>
    </row>
    <row r="44" spans="1:17" x14ac:dyDescent="0.3">
      <c r="L44">
        <v>2</v>
      </c>
      <c r="M44">
        <v>14</v>
      </c>
      <c r="N44">
        <f>IF(L44+M44-1&lt;=$J$2,1,0)</f>
        <v>0</v>
      </c>
      <c r="O44" t="str">
        <f>IF(N44=1,_xlfn.STDEV.S(INDEX($J$5:$J$34,L44):INDEX($J$5:$J$34,L44+M44-1))/AVERAGE(INDEX($J$5:$J$34,L44):INDEX($J$5:$J$34,L44+M44-1)),"")</f>
        <v/>
      </c>
      <c r="P44" t="str">
        <f>IF(N44=1,IF(O44&lt;=COMBINACIONES!$B$5,1,0),"")</f>
        <v/>
      </c>
      <c r="Q44" t="str">
        <f>IF(N44=1,IF(P44=1,-M44,100)+O44+ROW()*0.000000000001,"")</f>
        <v/>
      </c>
    </row>
    <row r="45" spans="1:17" x14ac:dyDescent="0.3">
      <c r="L45">
        <v>2</v>
      </c>
      <c r="M45">
        <v>15</v>
      </c>
      <c r="N45">
        <f>IF(L45+M45-1&lt;=$J$2,1,0)</f>
        <v>0</v>
      </c>
      <c r="O45" t="str">
        <f>IF(N45=1,_xlfn.STDEV.S(INDEX($J$5:$J$34,L45):INDEX($J$5:$J$34,L45+M45-1))/AVERAGE(INDEX($J$5:$J$34,L45):INDEX($J$5:$J$34,L45+M45-1)),"")</f>
        <v/>
      </c>
      <c r="P45" t="str">
        <f>IF(N45=1,IF(O45&lt;=COMBINACIONES!$B$5,1,0),"")</f>
        <v/>
      </c>
      <c r="Q45" t="str">
        <f>IF(N45=1,IF(P45=1,-M45,100)+O45+ROW()*0.000000000001,"")</f>
        <v/>
      </c>
    </row>
    <row r="46" spans="1:17" x14ac:dyDescent="0.3">
      <c r="L46">
        <v>2</v>
      </c>
      <c r="M46">
        <v>16</v>
      </c>
      <c r="N46">
        <f>IF(L46+M46-1&lt;=$J$2,1,0)</f>
        <v>0</v>
      </c>
      <c r="O46" t="str">
        <f>IF(N46=1,_xlfn.STDEV.S(INDEX($J$5:$J$34,L46):INDEX($J$5:$J$34,L46+M46-1))/AVERAGE(INDEX($J$5:$J$34,L46):INDEX($J$5:$J$34,L46+M46-1)),"")</f>
        <v/>
      </c>
      <c r="P46" t="str">
        <f>IF(N46=1,IF(O46&lt;=COMBINACIONES!$B$5,1,0),"")</f>
        <v/>
      </c>
      <c r="Q46" t="str">
        <f>IF(N46=1,IF(P46=1,-M46,100)+O46+ROW()*0.000000000001,"")</f>
        <v/>
      </c>
    </row>
    <row r="47" spans="1:17" x14ac:dyDescent="0.3">
      <c r="L47">
        <v>2</v>
      </c>
      <c r="M47">
        <v>17</v>
      </c>
      <c r="N47">
        <f>IF(L47+M47-1&lt;=$J$2,1,0)</f>
        <v>0</v>
      </c>
      <c r="O47" t="str">
        <f>IF(N47=1,_xlfn.STDEV.S(INDEX($J$5:$J$34,L47):INDEX($J$5:$J$34,L47+M47-1))/AVERAGE(INDEX($J$5:$J$34,L47):INDEX($J$5:$J$34,L47+M47-1)),"")</f>
        <v/>
      </c>
      <c r="P47" t="str">
        <f>IF(N47=1,IF(O47&lt;=COMBINACIONES!$B$5,1,0),"")</f>
        <v/>
      </c>
      <c r="Q47" t="str">
        <f>IF(N47=1,IF(P47=1,-M47,100)+O47+ROW()*0.000000000001,"")</f>
        <v/>
      </c>
    </row>
    <row r="48" spans="1:17" x14ac:dyDescent="0.3">
      <c r="L48">
        <v>2</v>
      </c>
      <c r="M48">
        <v>18</v>
      </c>
      <c r="N48">
        <f>IF(L48+M48-1&lt;=$J$2,1,0)</f>
        <v>0</v>
      </c>
      <c r="O48" t="str">
        <f>IF(N48=1,_xlfn.STDEV.S(INDEX($J$5:$J$34,L48):INDEX($J$5:$J$34,L48+M48-1))/AVERAGE(INDEX($J$5:$J$34,L48):INDEX($J$5:$J$34,L48+M48-1)),"")</f>
        <v/>
      </c>
      <c r="P48" t="str">
        <f>IF(N48=1,IF(O48&lt;=COMBINACIONES!$B$5,1,0),"")</f>
        <v/>
      </c>
      <c r="Q48" t="str">
        <f>IF(N48=1,IF(P48=1,-M48,100)+O48+ROW()*0.000000000001,"")</f>
        <v/>
      </c>
    </row>
    <row r="49" spans="12:17" x14ac:dyDescent="0.3">
      <c r="L49">
        <v>2</v>
      </c>
      <c r="M49">
        <v>19</v>
      </c>
      <c r="N49">
        <f>IF(L49+M49-1&lt;=$J$2,1,0)</f>
        <v>0</v>
      </c>
      <c r="O49" t="str">
        <f>IF(N49=1,_xlfn.STDEV.S(INDEX($J$5:$J$34,L49):INDEX($J$5:$J$34,L49+M49-1))/AVERAGE(INDEX($J$5:$J$34,L49):INDEX($J$5:$J$34,L49+M49-1)),"")</f>
        <v/>
      </c>
      <c r="P49" t="str">
        <f>IF(N49=1,IF(O49&lt;=COMBINACIONES!$B$5,1,0),"")</f>
        <v/>
      </c>
      <c r="Q49" t="str">
        <f>IF(N49=1,IF(P49=1,-M49,100)+O49+ROW()*0.000000000001,"")</f>
        <v/>
      </c>
    </row>
    <row r="50" spans="12:17" x14ac:dyDescent="0.3">
      <c r="L50">
        <v>2</v>
      </c>
      <c r="M50">
        <v>20</v>
      </c>
      <c r="N50">
        <f>IF(L50+M50-1&lt;=$J$2,1,0)</f>
        <v>0</v>
      </c>
      <c r="O50" t="str">
        <f>IF(N50=1,_xlfn.STDEV.S(INDEX($J$5:$J$34,L50):INDEX($J$5:$J$34,L50+M50-1))/AVERAGE(INDEX($J$5:$J$34,L50):INDEX($J$5:$J$34,L50+M50-1)),"")</f>
        <v/>
      </c>
      <c r="P50" t="str">
        <f>IF(N50=1,IF(O50&lt;=COMBINACIONES!$B$5,1,0),"")</f>
        <v/>
      </c>
      <c r="Q50" t="str">
        <f>IF(N50=1,IF(P50=1,-M50,100)+O50+ROW()*0.000000000001,"")</f>
        <v/>
      </c>
    </row>
    <row r="51" spans="12:17" x14ac:dyDescent="0.3">
      <c r="L51">
        <v>2</v>
      </c>
      <c r="M51">
        <v>21</v>
      </c>
      <c r="N51">
        <f>IF(L51+M51-1&lt;=$J$2,1,0)</f>
        <v>0</v>
      </c>
      <c r="O51" t="str">
        <f>IF(N51=1,_xlfn.STDEV.S(INDEX($J$5:$J$34,L51):INDEX($J$5:$J$34,L51+M51-1))/AVERAGE(INDEX($J$5:$J$34,L51):INDEX($J$5:$J$34,L51+M51-1)),"")</f>
        <v/>
      </c>
      <c r="P51" t="str">
        <f>IF(N51=1,IF(O51&lt;=COMBINACIONES!$B$5,1,0),"")</f>
        <v/>
      </c>
      <c r="Q51" t="str">
        <f>IF(N51=1,IF(P51=1,-M51,100)+O51+ROW()*0.000000000001,"")</f>
        <v/>
      </c>
    </row>
    <row r="52" spans="12:17" x14ac:dyDescent="0.3">
      <c r="L52">
        <v>2</v>
      </c>
      <c r="M52">
        <v>22</v>
      </c>
      <c r="N52">
        <f>IF(L52+M52-1&lt;=$J$2,1,0)</f>
        <v>0</v>
      </c>
      <c r="O52" t="str">
        <f>IF(N52=1,_xlfn.STDEV.S(INDEX($J$5:$J$34,L52):INDEX($J$5:$J$34,L52+M52-1))/AVERAGE(INDEX($J$5:$J$34,L52):INDEX($J$5:$J$34,L52+M52-1)),"")</f>
        <v/>
      </c>
      <c r="P52" t="str">
        <f>IF(N52=1,IF(O52&lt;=COMBINACIONES!$B$5,1,0),"")</f>
        <v/>
      </c>
      <c r="Q52" t="str">
        <f>IF(N52=1,IF(P52=1,-M52,100)+O52+ROW()*0.000000000001,"")</f>
        <v/>
      </c>
    </row>
    <row r="53" spans="12:17" x14ac:dyDescent="0.3">
      <c r="L53">
        <v>2</v>
      </c>
      <c r="M53">
        <v>23</v>
      </c>
      <c r="N53">
        <f>IF(L53+M53-1&lt;=$J$2,1,0)</f>
        <v>0</v>
      </c>
      <c r="O53" t="str">
        <f>IF(N53=1,_xlfn.STDEV.S(INDEX($J$5:$J$34,L53):INDEX($J$5:$J$34,L53+M53-1))/AVERAGE(INDEX($J$5:$J$34,L53):INDEX($J$5:$J$34,L53+M53-1)),"")</f>
        <v/>
      </c>
      <c r="P53" t="str">
        <f>IF(N53=1,IF(O53&lt;=COMBINACIONES!$B$5,1,0),"")</f>
        <v/>
      </c>
      <c r="Q53" t="str">
        <f>IF(N53=1,IF(P53=1,-M53,100)+O53+ROW()*0.000000000001,"")</f>
        <v/>
      </c>
    </row>
    <row r="54" spans="12:17" x14ac:dyDescent="0.3">
      <c r="L54">
        <v>2</v>
      </c>
      <c r="M54">
        <v>24</v>
      </c>
      <c r="N54">
        <f>IF(L54+M54-1&lt;=$J$2,1,0)</f>
        <v>0</v>
      </c>
      <c r="O54" t="str">
        <f>IF(N54=1,_xlfn.STDEV.S(INDEX($J$5:$J$34,L54):INDEX($J$5:$J$34,L54+M54-1))/AVERAGE(INDEX($J$5:$J$34,L54):INDEX($J$5:$J$34,L54+M54-1)),"")</f>
        <v/>
      </c>
      <c r="P54" t="str">
        <f>IF(N54=1,IF(O54&lt;=COMBINACIONES!$B$5,1,0),"")</f>
        <v/>
      </c>
      <c r="Q54" t="str">
        <f>IF(N54=1,IF(P54=1,-M54,100)+O54+ROW()*0.000000000001,"")</f>
        <v/>
      </c>
    </row>
    <row r="55" spans="12:17" x14ac:dyDescent="0.3">
      <c r="L55">
        <v>2</v>
      </c>
      <c r="M55">
        <v>25</v>
      </c>
      <c r="N55">
        <f>IF(L55+M55-1&lt;=$J$2,1,0)</f>
        <v>0</v>
      </c>
      <c r="O55" t="str">
        <f>IF(N55=1,_xlfn.STDEV.S(INDEX($J$5:$J$34,L55):INDEX($J$5:$J$34,L55+M55-1))/AVERAGE(INDEX($J$5:$J$34,L55):INDEX($J$5:$J$34,L55+M55-1)),"")</f>
        <v/>
      </c>
      <c r="P55" t="str">
        <f>IF(N55=1,IF(O55&lt;=COMBINACIONES!$B$5,1,0),"")</f>
        <v/>
      </c>
      <c r="Q55" t="str">
        <f>IF(N55=1,IF(P55=1,-M55,100)+O55+ROW()*0.000000000001,"")</f>
        <v/>
      </c>
    </row>
    <row r="56" spans="12:17" x14ac:dyDescent="0.3">
      <c r="L56">
        <v>2</v>
      </c>
      <c r="M56">
        <v>26</v>
      </c>
      <c r="N56">
        <f>IF(L56+M56-1&lt;=$J$2,1,0)</f>
        <v>0</v>
      </c>
      <c r="O56" t="str">
        <f>IF(N56=1,_xlfn.STDEV.S(INDEX($J$5:$J$34,L56):INDEX($J$5:$J$34,L56+M56-1))/AVERAGE(INDEX($J$5:$J$34,L56):INDEX($J$5:$J$34,L56+M56-1)),"")</f>
        <v/>
      </c>
      <c r="P56" t="str">
        <f>IF(N56=1,IF(O56&lt;=COMBINACIONES!$B$5,1,0),"")</f>
        <v/>
      </c>
      <c r="Q56" t="str">
        <f>IF(N56=1,IF(P56=1,-M56,100)+O56+ROW()*0.000000000001,"")</f>
        <v/>
      </c>
    </row>
    <row r="57" spans="12:17" x14ac:dyDescent="0.3">
      <c r="L57">
        <v>2</v>
      </c>
      <c r="M57">
        <v>27</v>
      </c>
      <c r="N57">
        <f>IF(L57+M57-1&lt;=$J$2,1,0)</f>
        <v>0</v>
      </c>
      <c r="O57" t="str">
        <f>IF(N57=1,_xlfn.STDEV.S(INDEX($J$5:$J$34,L57):INDEX($J$5:$J$34,L57+M57-1))/AVERAGE(INDEX($J$5:$J$34,L57):INDEX($J$5:$J$34,L57+M57-1)),"")</f>
        <v/>
      </c>
      <c r="P57" t="str">
        <f>IF(N57=1,IF(O57&lt;=COMBINACIONES!$B$5,1,0),"")</f>
        <v/>
      </c>
      <c r="Q57" t="str">
        <f>IF(N57=1,IF(P57=1,-M57,100)+O57+ROW()*0.000000000001,"")</f>
        <v/>
      </c>
    </row>
    <row r="58" spans="12:17" x14ac:dyDescent="0.3">
      <c r="L58">
        <v>2</v>
      </c>
      <c r="M58">
        <v>28</v>
      </c>
      <c r="N58">
        <f>IF(L58+M58-1&lt;=$J$2,1,0)</f>
        <v>0</v>
      </c>
      <c r="O58" t="str">
        <f>IF(N58=1,_xlfn.STDEV.S(INDEX($J$5:$J$34,L58):INDEX($J$5:$J$34,L58+M58-1))/AVERAGE(INDEX($J$5:$J$34,L58):INDEX($J$5:$J$34,L58+M58-1)),"")</f>
        <v/>
      </c>
      <c r="P58" t="str">
        <f>IF(N58=1,IF(O58&lt;=COMBINACIONES!$B$5,1,0),"")</f>
        <v/>
      </c>
      <c r="Q58" t="str">
        <f>IF(N58=1,IF(P58=1,-M58,100)+O58+ROW()*0.000000000001,"")</f>
        <v/>
      </c>
    </row>
    <row r="59" spans="12:17" x14ac:dyDescent="0.3">
      <c r="L59">
        <v>2</v>
      </c>
      <c r="M59">
        <v>29</v>
      </c>
      <c r="N59">
        <f>IF(L59+M59-1&lt;=$J$2,1,0)</f>
        <v>0</v>
      </c>
      <c r="O59" t="str">
        <f>IF(N59=1,_xlfn.STDEV.S(INDEX($J$5:$J$34,L59):INDEX($J$5:$J$34,L59+M59-1))/AVERAGE(INDEX($J$5:$J$34,L59):INDEX($J$5:$J$34,L59+M59-1)),"")</f>
        <v/>
      </c>
      <c r="P59" t="str">
        <f>IF(N59=1,IF(O59&lt;=COMBINACIONES!$B$5,1,0),"")</f>
        <v/>
      </c>
      <c r="Q59" t="str">
        <f>IF(N59=1,IF(P59=1,-M59,100)+O59+ROW()*0.000000000001,"")</f>
        <v/>
      </c>
    </row>
    <row r="60" spans="12:17" x14ac:dyDescent="0.3">
      <c r="L60">
        <v>3</v>
      </c>
      <c r="M60">
        <v>3</v>
      </c>
      <c r="N60">
        <f>IF(L60+M60-1&lt;=$J$2,1,0)</f>
        <v>1</v>
      </c>
      <c r="O60">
        <f>IF(N60=1,_xlfn.STDEV.S(INDEX($J$5:$J$34,L60):INDEX($J$5:$J$34,L60+M60-1))/AVERAGE(INDEX($J$5:$J$34,L60):INDEX($J$5:$J$34,L60+M60-1)),"")</f>
        <v>0.26186146828319085</v>
      </c>
      <c r="P60">
        <f>IF(N60=1,IF(O60&lt;=COMBINACIONES!$B$5,1,0),"")</f>
        <v>0</v>
      </c>
      <c r="Q60">
        <f>IF(N60=1,IF(P60=1,-M60,100)+O60+ROW()*0.000000000001,"")</f>
        <v>100.26186146834318</v>
      </c>
    </row>
    <row r="61" spans="12:17" x14ac:dyDescent="0.3">
      <c r="L61">
        <v>3</v>
      </c>
      <c r="M61">
        <v>4</v>
      </c>
      <c r="N61">
        <f>IF(L61+M61-1&lt;=$J$2,1,0)</f>
        <v>1</v>
      </c>
      <c r="O61">
        <f>IF(N61=1,_xlfn.STDEV.S(INDEX($J$5:$J$34,L61):INDEX($J$5:$J$34,L61+M61-1))/AVERAGE(INDEX($J$5:$J$34,L61):INDEX($J$5:$J$34,L61+M61-1)),"")</f>
        <v>0.25914023008626158</v>
      </c>
      <c r="P61">
        <f>IF(N61=1,IF(O61&lt;=COMBINACIONES!$B$5,1,0),"")</f>
        <v>0</v>
      </c>
      <c r="Q61">
        <f>IF(N61=1,IF(P61=1,-M61,100)+O61+ROW()*0.000000000001,"")</f>
        <v>100.25914023014725</v>
      </c>
    </row>
    <row r="62" spans="12:17" x14ac:dyDescent="0.3">
      <c r="L62">
        <v>3</v>
      </c>
      <c r="M62">
        <v>5</v>
      </c>
      <c r="N62">
        <f>IF(L62+M62-1&lt;=$J$2,1,0)</f>
        <v>0</v>
      </c>
      <c r="O62" t="str">
        <f>IF(N62=1,_xlfn.STDEV.S(INDEX($J$5:$J$34,L62):INDEX($J$5:$J$34,L62+M62-1))/AVERAGE(INDEX($J$5:$J$34,L62):INDEX($J$5:$J$34,L62+M62-1)),"")</f>
        <v/>
      </c>
      <c r="P62" t="str">
        <f>IF(N62=1,IF(O62&lt;=COMBINACIONES!$B$5,1,0),"")</f>
        <v/>
      </c>
      <c r="Q62" t="str">
        <f>IF(N62=1,IF(P62=1,-M62,100)+O62+ROW()*0.000000000001,"")</f>
        <v/>
      </c>
    </row>
    <row r="63" spans="12:17" x14ac:dyDescent="0.3">
      <c r="L63">
        <v>3</v>
      </c>
      <c r="M63">
        <v>6</v>
      </c>
      <c r="N63">
        <f>IF(L63+M63-1&lt;=$J$2,1,0)</f>
        <v>0</v>
      </c>
      <c r="O63" t="str">
        <f>IF(N63=1,_xlfn.STDEV.S(INDEX($J$5:$J$34,L63):INDEX($J$5:$J$34,L63+M63-1))/AVERAGE(INDEX($J$5:$J$34,L63):INDEX($J$5:$J$34,L63+M63-1)),"")</f>
        <v/>
      </c>
      <c r="P63" t="str">
        <f>IF(N63=1,IF(O63&lt;=COMBINACIONES!$B$5,1,0),"")</f>
        <v/>
      </c>
      <c r="Q63" t="str">
        <f>IF(N63=1,IF(P63=1,-M63,100)+O63+ROW()*0.000000000001,"")</f>
        <v/>
      </c>
    </row>
    <row r="64" spans="12:17" x14ac:dyDescent="0.3">
      <c r="L64">
        <v>3</v>
      </c>
      <c r="M64">
        <v>7</v>
      </c>
      <c r="N64">
        <f>IF(L64+M64-1&lt;=$J$2,1,0)</f>
        <v>0</v>
      </c>
      <c r="O64" t="str">
        <f>IF(N64=1,_xlfn.STDEV.S(INDEX($J$5:$J$34,L64):INDEX($J$5:$J$34,L64+M64-1))/AVERAGE(INDEX($J$5:$J$34,L64):INDEX($J$5:$J$34,L64+M64-1)),"")</f>
        <v/>
      </c>
      <c r="P64" t="str">
        <f>IF(N64=1,IF(O64&lt;=COMBINACIONES!$B$5,1,0),"")</f>
        <v/>
      </c>
      <c r="Q64" t="str">
        <f>IF(N64=1,IF(P64=1,-M64,100)+O64+ROW()*0.000000000001,"")</f>
        <v/>
      </c>
    </row>
    <row r="65" spans="12:17" x14ac:dyDescent="0.3">
      <c r="L65">
        <v>3</v>
      </c>
      <c r="M65">
        <v>8</v>
      </c>
      <c r="N65">
        <f>IF(L65+M65-1&lt;=$J$2,1,0)</f>
        <v>0</v>
      </c>
      <c r="O65" t="str">
        <f>IF(N65=1,_xlfn.STDEV.S(INDEX($J$5:$J$34,L65):INDEX($J$5:$J$34,L65+M65-1))/AVERAGE(INDEX($J$5:$J$34,L65):INDEX($J$5:$J$34,L65+M65-1)),"")</f>
        <v/>
      </c>
      <c r="P65" t="str">
        <f>IF(N65=1,IF(O65&lt;=COMBINACIONES!$B$5,1,0),"")</f>
        <v/>
      </c>
      <c r="Q65" t="str">
        <f>IF(N65=1,IF(P65=1,-M65,100)+O65+ROW()*0.000000000001,"")</f>
        <v/>
      </c>
    </row>
    <row r="66" spans="12:17" x14ac:dyDescent="0.3">
      <c r="L66">
        <v>3</v>
      </c>
      <c r="M66">
        <v>9</v>
      </c>
      <c r="N66">
        <f>IF(L66+M66-1&lt;=$J$2,1,0)</f>
        <v>0</v>
      </c>
      <c r="O66" t="str">
        <f>IF(N66=1,_xlfn.STDEV.S(INDEX($J$5:$J$34,L66):INDEX($J$5:$J$34,L66+M66-1))/AVERAGE(INDEX($J$5:$J$34,L66):INDEX($J$5:$J$34,L66+M66-1)),"")</f>
        <v/>
      </c>
      <c r="P66" t="str">
        <f>IF(N66=1,IF(O66&lt;=COMBINACIONES!$B$5,1,0),"")</f>
        <v/>
      </c>
      <c r="Q66" t="str">
        <f>IF(N66=1,IF(P66=1,-M66,100)+O66+ROW()*0.000000000001,"")</f>
        <v/>
      </c>
    </row>
    <row r="67" spans="12:17" x14ac:dyDescent="0.3">
      <c r="L67">
        <v>3</v>
      </c>
      <c r="M67">
        <v>10</v>
      </c>
      <c r="N67">
        <f>IF(L67+M67-1&lt;=$J$2,1,0)</f>
        <v>0</v>
      </c>
      <c r="O67" t="str">
        <f>IF(N67=1,_xlfn.STDEV.S(INDEX($J$5:$J$34,L67):INDEX($J$5:$J$34,L67+M67-1))/AVERAGE(INDEX($J$5:$J$34,L67):INDEX($J$5:$J$34,L67+M67-1)),"")</f>
        <v/>
      </c>
      <c r="P67" t="str">
        <f>IF(N67=1,IF(O67&lt;=COMBINACIONES!$B$5,1,0),"")</f>
        <v/>
      </c>
      <c r="Q67" t="str">
        <f>IF(N67=1,IF(P67=1,-M67,100)+O67+ROW()*0.000000000001,"")</f>
        <v/>
      </c>
    </row>
    <row r="68" spans="12:17" x14ac:dyDescent="0.3">
      <c r="L68">
        <v>3</v>
      </c>
      <c r="M68">
        <v>11</v>
      </c>
      <c r="N68">
        <f>IF(L68+M68-1&lt;=$J$2,1,0)</f>
        <v>0</v>
      </c>
      <c r="O68" t="str">
        <f>IF(N68=1,_xlfn.STDEV.S(INDEX($J$5:$J$34,L68):INDEX($J$5:$J$34,L68+M68-1))/AVERAGE(INDEX($J$5:$J$34,L68):INDEX($J$5:$J$34,L68+M68-1)),"")</f>
        <v/>
      </c>
      <c r="P68" t="str">
        <f>IF(N68=1,IF(O68&lt;=COMBINACIONES!$B$5,1,0),"")</f>
        <v/>
      </c>
      <c r="Q68" t="str">
        <f>IF(N68=1,IF(P68=1,-M68,100)+O68+ROW()*0.000000000001,"")</f>
        <v/>
      </c>
    </row>
    <row r="69" spans="12:17" x14ac:dyDescent="0.3">
      <c r="L69">
        <v>3</v>
      </c>
      <c r="M69">
        <v>12</v>
      </c>
      <c r="N69">
        <f>IF(L69+M69-1&lt;=$J$2,1,0)</f>
        <v>0</v>
      </c>
      <c r="O69" t="str">
        <f>IF(N69=1,_xlfn.STDEV.S(INDEX($J$5:$J$34,L69):INDEX($J$5:$J$34,L69+M69-1))/AVERAGE(INDEX($J$5:$J$34,L69):INDEX($J$5:$J$34,L69+M69-1)),"")</f>
        <v/>
      </c>
      <c r="P69" t="str">
        <f>IF(N69=1,IF(O69&lt;=COMBINACIONES!$B$5,1,0),"")</f>
        <v/>
      </c>
      <c r="Q69" t="str">
        <f>IF(N69=1,IF(P69=1,-M69,100)+O69+ROW()*0.000000000001,"")</f>
        <v/>
      </c>
    </row>
    <row r="70" spans="12:17" x14ac:dyDescent="0.3">
      <c r="L70">
        <v>3</v>
      </c>
      <c r="M70">
        <v>13</v>
      </c>
      <c r="N70">
        <f>IF(L70+M70-1&lt;=$J$2,1,0)</f>
        <v>0</v>
      </c>
      <c r="O70" t="str">
        <f>IF(N70=1,_xlfn.STDEV.S(INDEX($J$5:$J$34,L70):INDEX($J$5:$J$34,L70+M70-1))/AVERAGE(INDEX($J$5:$J$34,L70):INDEX($J$5:$J$34,L70+M70-1)),"")</f>
        <v/>
      </c>
      <c r="P70" t="str">
        <f>IF(N70=1,IF(O70&lt;=COMBINACIONES!$B$5,1,0),"")</f>
        <v/>
      </c>
      <c r="Q70" t="str">
        <f>IF(N70=1,IF(P70=1,-M70,100)+O70+ROW()*0.000000000001,"")</f>
        <v/>
      </c>
    </row>
    <row r="71" spans="12:17" x14ac:dyDescent="0.3">
      <c r="L71">
        <v>3</v>
      </c>
      <c r="M71">
        <v>14</v>
      </c>
      <c r="N71">
        <f>IF(L71+M71-1&lt;=$J$2,1,0)</f>
        <v>0</v>
      </c>
      <c r="O71" t="str">
        <f>IF(N71=1,_xlfn.STDEV.S(INDEX($J$5:$J$34,L71):INDEX($J$5:$J$34,L71+M71-1))/AVERAGE(INDEX($J$5:$J$34,L71):INDEX($J$5:$J$34,L71+M71-1)),"")</f>
        <v/>
      </c>
      <c r="P71" t="str">
        <f>IF(N71=1,IF(O71&lt;=COMBINACIONES!$B$5,1,0),"")</f>
        <v/>
      </c>
      <c r="Q71" t="str">
        <f>IF(N71=1,IF(P71=1,-M71,100)+O71+ROW()*0.000000000001,"")</f>
        <v/>
      </c>
    </row>
    <row r="72" spans="12:17" x14ac:dyDescent="0.3">
      <c r="L72">
        <v>3</v>
      </c>
      <c r="M72">
        <v>15</v>
      </c>
      <c r="N72">
        <f>IF(L72+M72-1&lt;=$J$2,1,0)</f>
        <v>0</v>
      </c>
      <c r="O72" t="str">
        <f>IF(N72=1,_xlfn.STDEV.S(INDEX($J$5:$J$34,L72):INDEX($J$5:$J$34,L72+M72-1))/AVERAGE(INDEX($J$5:$J$34,L72):INDEX($J$5:$J$34,L72+M72-1)),"")</f>
        <v/>
      </c>
      <c r="P72" t="str">
        <f>IF(N72=1,IF(O72&lt;=COMBINACIONES!$B$5,1,0),"")</f>
        <v/>
      </c>
      <c r="Q72" t="str">
        <f>IF(N72=1,IF(P72=1,-M72,100)+O72+ROW()*0.000000000001,"")</f>
        <v/>
      </c>
    </row>
    <row r="73" spans="12:17" x14ac:dyDescent="0.3">
      <c r="L73">
        <v>3</v>
      </c>
      <c r="M73">
        <v>16</v>
      </c>
      <c r="N73">
        <f>IF(L73+M73-1&lt;=$J$2,1,0)</f>
        <v>0</v>
      </c>
      <c r="O73" t="str">
        <f>IF(N73=1,_xlfn.STDEV.S(INDEX($J$5:$J$34,L73):INDEX($J$5:$J$34,L73+M73-1))/AVERAGE(INDEX($J$5:$J$34,L73):INDEX($J$5:$J$34,L73+M73-1)),"")</f>
        <v/>
      </c>
      <c r="P73" t="str">
        <f>IF(N73=1,IF(O73&lt;=COMBINACIONES!$B$5,1,0),"")</f>
        <v/>
      </c>
      <c r="Q73" t="str">
        <f>IF(N73=1,IF(P73=1,-M73,100)+O73+ROW()*0.000000000001,"")</f>
        <v/>
      </c>
    </row>
    <row r="74" spans="12:17" x14ac:dyDescent="0.3">
      <c r="L74">
        <v>3</v>
      </c>
      <c r="M74">
        <v>17</v>
      </c>
      <c r="N74">
        <f>IF(L74+M74-1&lt;=$J$2,1,0)</f>
        <v>0</v>
      </c>
      <c r="O74" t="str">
        <f>IF(N74=1,_xlfn.STDEV.S(INDEX($J$5:$J$34,L74):INDEX($J$5:$J$34,L74+M74-1))/AVERAGE(INDEX($J$5:$J$34,L74):INDEX($J$5:$J$34,L74+M74-1)),"")</f>
        <v/>
      </c>
      <c r="P74" t="str">
        <f>IF(N74=1,IF(O74&lt;=COMBINACIONES!$B$5,1,0),"")</f>
        <v/>
      </c>
      <c r="Q74" t="str">
        <f>IF(N74=1,IF(P74=1,-M74,100)+O74+ROW()*0.000000000001,"")</f>
        <v/>
      </c>
    </row>
    <row r="75" spans="12:17" x14ac:dyDescent="0.3">
      <c r="L75">
        <v>3</v>
      </c>
      <c r="M75">
        <v>18</v>
      </c>
      <c r="N75">
        <f>IF(L75+M75-1&lt;=$J$2,1,0)</f>
        <v>0</v>
      </c>
      <c r="O75" t="str">
        <f>IF(N75=1,_xlfn.STDEV.S(INDEX($J$5:$J$34,L75):INDEX($J$5:$J$34,L75+M75-1))/AVERAGE(INDEX($J$5:$J$34,L75):INDEX($J$5:$J$34,L75+M75-1)),"")</f>
        <v/>
      </c>
      <c r="P75" t="str">
        <f>IF(N75=1,IF(O75&lt;=COMBINACIONES!$B$5,1,0),"")</f>
        <v/>
      </c>
      <c r="Q75" t="str">
        <f>IF(N75=1,IF(P75=1,-M75,100)+O75+ROW()*0.000000000001,"")</f>
        <v/>
      </c>
    </row>
    <row r="76" spans="12:17" x14ac:dyDescent="0.3">
      <c r="L76">
        <v>3</v>
      </c>
      <c r="M76">
        <v>19</v>
      </c>
      <c r="N76">
        <f>IF(L76+M76-1&lt;=$J$2,1,0)</f>
        <v>0</v>
      </c>
      <c r="O76" t="str">
        <f>IF(N76=1,_xlfn.STDEV.S(INDEX($J$5:$J$34,L76):INDEX($J$5:$J$34,L76+M76-1))/AVERAGE(INDEX($J$5:$J$34,L76):INDEX($J$5:$J$34,L76+M76-1)),"")</f>
        <v/>
      </c>
      <c r="P76" t="str">
        <f>IF(N76=1,IF(O76&lt;=COMBINACIONES!$B$5,1,0),"")</f>
        <v/>
      </c>
      <c r="Q76" t="str">
        <f>IF(N76=1,IF(P76=1,-M76,100)+O76+ROW()*0.000000000001,"")</f>
        <v/>
      </c>
    </row>
    <row r="77" spans="12:17" x14ac:dyDescent="0.3">
      <c r="L77">
        <v>3</v>
      </c>
      <c r="M77">
        <v>20</v>
      </c>
      <c r="N77">
        <f>IF(L77+M77-1&lt;=$J$2,1,0)</f>
        <v>0</v>
      </c>
      <c r="O77" t="str">
        <f>IF(N77=1,_xlfn.STDEV.S(INDEX($J$5:$J$34,L77):INDEX($J$5:$J$34,L77+M77-1))/AVERAGE(INDEX($J$5:$J$34,L77):INDEX($J$5:$J$34,L77+M77-1)),"")</f>
        <v/>
      </c>
      <c r="P77" t="str">
        <f>IF(N77=1,IF(O77&lt;=COMBINACIONES!$B$5,1,0),"")</f>
        <v/>
      </c>
      <c r="Q77" t="str">
        <f>IF(N77=1,IF(P77=1,-M77,100)+O77+ROW()*0.000000000001,"")</f>
        <v/>
      </c>
    </row>
    <row r="78" spans="12:17" x14ac:dyDescent="0.3">
      <c r="L78">
        <v>3</v>
      </c>
      <c r="M78">
        <v>21</v>
      </c>
      <c r="N78">
        <f>IF(L78+M78-1&lt;=$J$2,1,0)</f>
        <v>0</v>
      </c>
      <c r="O78" t="str">
        <f>IF(N78=1,_xlfn.STDEV.S(INDEX($J$5:$J$34,L78):INDEX($J$5:$J$34,L78+M78-1))/AVERAGE(INDEX($J$5:$J$34,L78):INDEX($J$5:$J$34,L78+M78-1)),"")</f>
        <v/>
      </c>
      <c r="P78" t="str">
        <f>IF(N78=1,IF(O78&lt;=COMBINACIONES!$B$5,1,0),"")</f>
        <v/>
      </c>
      <c r="Q78" t="str">
        <f>IF(N78=1,IF(P78=1,-M78,100)+O78+ROW()*0.000000000001,"")</f>
        <v/>
      </c>
    </row>
    <row r="79" spans="12:17" x14ac:dyDescent="0.3">
      <c r="L79">
        <v>3</v>
      </c>
      <c r="M79">
        <v>22</v>
      </c>
      <c r="N79">
        <f>IF(L79+M79-1&lt;=$J$2,1,0)</f>
        <v>0</v>
      </c>
      <c r="O79" t="str">
        <f>IF(N79=1,_xlfn.STDEV.S(INDEX($J$5:$J$34,L79):INDEX($J$5:$J$34,L79+M79-1))/AVERAGE(INDEX($J$5:$J$34,L79):INDEX($J$5:$J$34,L79+M79-1)),"")</f>
        <v/>
      </c>
      <c r="P79" t="str">
        <f>IF(N79=1,IF(O79&lt;=COMBINACIONES!$B$5,1,0),"")</f>
        <v/>
      </c>
      <c r="Q79" t="str">
        <f>IF(N79=1,IF(P79=1,-M79,100)+O79+ROW()*0.000000000001,"")</f>
        <v/>
      </c>
    </row>
    <row r="80" spans="12:17" x14ac:dyDescent="0.3">
      <c r="L80">
        <v>3</v>
      </c>
      <c r="M80">
        <v>23</v>
      </c>
      <c r="N80">
        <f>IF(L80+M80-1&lt;=$J$2,1,0)</f>
        <v>0</v>
      </c>
      <c r="O80" t="str">
        <f>IF(N80=1,_xlfn.STDEV.S(INDEX($J$5:$J$34,L80):INDEX($J$5:$J$34,L80+M80-1))/AVERAGE(INDEX($J$5:$J$34,L80):INDEX($J$5:$J$34,L80+M80-1)),"")</f>
        <v/>
      </c>
      <c r="P80" t="str">
        <f>IF(N80=1,IF(O80&lt;=COMBINACIONES!$B$5,1,0),"")</f>
        <v/>
      </c>
      <c r="Q80" t="str">
        <f>IF(N80=1,IF(P80=1,-M80,100)+O80+ROW()*0.000000000001,"")</f>
        <v/>
      </c>
    </row>
    <row r="81" spans="12:17" x14ac:dyDescent="0.3">
      <c r="L81">
        <v>3</v>
      </c>
      <c r="M81">
        <v>24</v>
      </c>
      <c r="N81">
        <f>IF(L81+M81-1&lt;=$J$2,1,0)</f>
        <v>0</v>
      </c>
      <c r="O81" t="str">
        <f>IF(N81=1,_xlfn.STDEV.S(INDEX($J$5:$J$34,L81):INDEX($J$5:$J$34,L81+M81-1))/AVERAGE(INDEX($J$5:$J$34,L81):INDEX($J$5:$J$34,L81+M81-1)),"")</f>
        <v/>
      </c>
      <c r="P81" t="str">
        <f>IF(N81=1,IF(O81&lt;=COMBINACIONES!$B$5,1,0),"")</f>
        <v/>
      </c>
      <c r="Q81" t="str">
        <f>IF(N81=1,IF(P81=1,-M81,100)+O81+ROW()*0.000000000001,"")</f>
        <v/>
      </c>
    </row>
    <row r="82" spans="12:17" x14ac:dyDescent="0.3">
      <c r="L82">
        <v>3</v>
      </c>
      <c r="M82">
        <v>25</v>
      </c>
      <c r="N82">
        <f>IF(L82+M82-1&lt;=$J$2,1,0)</f>
        <v>0</v>
      </c>
      <c r="O82" t="str">
        <f>IF(N82=1,_xlfn.STDEV.S(INDEX($J$5:$J$34,L82):INDEX($J$5:$J$34,L82+M82-1))/AVERAGE(INDEX($J$5:$J$34,L82):INDEX($J$5:$J$34,L82+M82-1)),"")</f>
        <v/>
      </c>
      <c r="P82" t="str">
        <f>IF(N82=1,IF(O82&lt;=COMBINACIONES!$B$5,1,0),"")</f>
        <v/>
      </c>
      <c r="Q82" t="str">
        <f>IF(N82=1,IF(P82=1,-M82,100)+O82+ROW()*0.000000000001,"")</f>
        <v/>
      </c>
    </row>
    <row r="83" spans="12:17" x14ac:dyDescent="0.3">
      <c r="L83">
        <v>3</v>
      </c>
      <c r="M83">
        <v>26</v>
      </c>
      <c r="N83">
        <f>IF(L83+M83-1&lt;=$J$2,1,0)</f>
        <v>0</v>
      </c>
      <c r="O83" t="str">
        <f>IF(N83=1,_xlfn.STDEV.S(INDEX($J$5:$J$34,L83):INDEX($J$5:$J$34,L83+M83-1))/AVERAGE(INDEX($J$5:$J$34,L83):INDEX($J$5:$J$34,L83+M83-1)),"")</f>
        <v/>
      </c>
      <c r="P83" t="str">
        <f>IF(N83=1,IF(O83&lt;=COMBINACIONES!$B$5,1,0),"")</f>
        <v/>
      </c>
      <c r="Q83" t="str">
        <f>IF(N83=1,IF(P83=1,-M83,100)+O83+ROW()*0.000000000001,"")</f>
        <v/>
      </c>
    </row>
    <row r="84" spans="12:17" x14ac:dyDescent="0.3">
      <c r="L84">
        <v>3</v>
      </c>
      <c r="M84">
        <v>27</v>
      </c>
      <c r="N84">
        <f>IF(L84+M84-1&lt;=$J$2,1,0)</f>
        <v>0</v>
      </c>
      <c r="O84" t="str">
        <f>IF(N84=1,_xlfn.STDEV.S(INDEX($J$5:$J$34,L84):INDEX($J$5:$J$34,L84+M84-1))/AVERAGE(INDEX($J$5:$J$34,L84):INDEX($J$5:$J$34,L84+M84-1)),"")</f>
        <v/>
      </c>
      <c r="P84" t="str">
        <f>IF(N84=1,IF(O84&lt;=COMBINACIONES!$B$5,1,0),"")</f>
        <v/>
      </c>
      <c r="Q84" t="str">
        <f>IF(N84=1,IF(P84=1,-M84,100)+O84+ROW()*0.000000000001,"")</f>
        <v/>
      </c>
    </row>
    <row r="85" spans="12:17" x14ac:dyDescent="0.3">
      <c r="L85">
        <v>3</v>
      </c>
      <c r="M85">
        <v>28</v>
      </c>
      <c r="N85">
        <f>IF(L85+M85-1&lt;=$J$2,1,0)</f>
        <v>0</v>
      </c>
      <c r="O85" t="str">
        <f>IF(N85=1,_xlfn.STDEV.S(INDEX($J$5:$J$34,L85):INDEX($J$5:$J$34,L85+M85-1))/AVERAGE(INDEX($J$5:$J$34,L85):INDEX($J$5:$J$34,L85+M85-1)),"")</f>
        <v/>
      </c>
      <c r="P85" t="str">
        <f>IF(N85=1,IF(O85&lt;=COMBINACIONES!$B$5,1,0),"")</f>
        <v/>
      </c>
      <c r="Q85" t="str">
        <f>IF(N85=1,IF(P85=1,-M85,100)+O85+ROW()*0.000000000001,"")</f>
        <v/>
      </c>
    </row>
    <row r="86" spans="12:17" x14ac:dyDescent="0.3">
      <c r="L86">
        <v>4</v>
      </c>
      <c r="M86">
        <v>3</v>
      </c>
      <c r="N86">
        <f>IF(L86+M86-1&lt;=$J$2,1,0)</f>
        <v>1</v>
      </c>
      <c r="O86">
        <f>IF(N86=1,_xlfn.STDEV.S(INDEX($J$5:$J$34,L86):INDEX($J$5:$J$34,L86+M86-1))/AVERAGE(INDEX($J$5:$J$34,L86):INDEX($J$5:$J$34,L86+M86-1)),"")</f>
        <v>0.18898223650461363</v>
      </c>
      <c r="P86">
        <f>IF(N86=1,IF(O86&lt;=COMBINACIONES!$B$5,1,0),"")</f>
        <v>0</v>
      </c>
      <c r="Q86">
        <f>IF(N86=1,IF(P86=1,-M86,100)+O86+ROW()*0.000000000001,"")</f>
        <v>100.18898223659062</v>
      </c>
    </row>
    <row r="87" spans="12:17" x14ac:dyDescent="0.3">
      <c r="L87">
        <v>4</v>
      </c>
      <c r="M87">
        <v>4</v>
      </c>
      <c r="N87">
        <f>IF(L87+M87-1&lt;=$J$2,1,0)</f>
        <v>0</v>
      </c>
      <c r="O87" t="str">
        <f>IF(N87=1,_xlfn.STDEV.S(INDEX($J$5:$J$34,L87):INDEX($J$5:$J$34,L87+M87-1))/AVERAGE(INDEX($J$5:$J$34,L87):INDEX($J$5:$J$34,L87+M87-1)),"")</f>
        <v/>
      </c>
      <c r="P87" t="str">
        <f>IF(N87=1,IF(O87&lt;=COMBINACIONES!$B$5,1,0),"")</f>
        <v/>
      </c>
      <c r="Q87" t="str">
        <f>IF(N87=1,IF(P87=1,-M87,100)+O87+ROW()*0.000000000001,"")</f>
        <v/>
      </c>
    </row>
    <row r="88" spans="12:17" x14ac:dyDescent="0.3">
      <c r="L88">
        <v>4</v>
      </c>
      <c r="M88">
        <v>5</v>
      </c>
      <c r="N88">
        <f>IF(L88+M88-1&lt;=$J$2,1,0)</f>
        <v>0</v>
      </c>
      <c r="O88" t="str">
        <f>IF(N88=1,_xlfn.STDEV.S(INDEX($J$5:$J$34,L88):INDEX($J$5:$J$34,L88+M88-1))/AVERAGE(INDEX($J$5:$J$34,L88):INDEX($J$5:$J$34,L88+M88-1)),"")</f>
        <v/>
      </c>
      <c r="P88" t="str">
        <f>IF(N88=1,IF(O88&lt;=COMBINACIONES!$B$5,1,0),"")</f>
        <v/>
      </c>
      <c r="Q88" t="str">
        <f>IF(N88=1,IF(P88=1,-M88,100)+O88+ROW()*0.000000000001,"")</f>
        <v/>
      </c>
    </row>
    <row r="89" spans="12:17" x14ac:dyDescent="0.3">
      <c r="L89">
        <v>4</v>
      </c>
      <c r="M89">
        <v>6</v>
      </c>
      <c r="N89">
        <f>IF(L89+M89-1&lt;=$J$2,1,0)</f>
        <v>0</v>
      </c>
      <c r="O89" t="str">
        <f>IF(N89=1,_xlfn.STDEV.S(INDEX($J$5:$J$34,L89):INDEX($J$5:$J$34,L89+M89-1))/AVERAGE(INDEX($J$5:$J$34,L89):INDEX($J$5:$J$34,L89+M89-1)),"")</f>
        <v/>
      </c>
      <c r="P89" t="str">
        <f>IF(N89=1,IF(O89&lt;=COMBINACIONES!$B$5,1,0),"")</f>
        <v/>
      </c>
      <c r="Q89" t="str">
        <f>IF(N89=1,IF(P89=1,-M89,100)+O89+ROW()*0.000000000001,"")</f>
        <v/>
      </c>
    </row>
    <row r="90" spans="12:17" x14ac:dyDescent="0.3">
      <c r="L90">
        <v>4</v>
      </c>
      <c r="M90">
        <v>7</v>
      </c>
      <c r="N90">
        <f>IF(L90+M90-1&lt;=$J$2,1,0)</f>
        <v>0</v>
      </c>
      <c r="O90" t="str">
        <f>IF(N90=1,_xlfn.STDEV.S(INDEX($J$5:$J$34,L90):INDEX($J$5:$J$34,L90+M90-1))/AVERAGE(INDEX($J$5:$J$34,L90):INDEX($J$5:$J$34,L90+M90-1)),"")</f>
        <v/>
      </c>
      <c r="P90" t="str">
        <f>IF(N90=1,IF(O90&lt;=COMBINACIONES!$B$5,1,0),"")</f>
        <v/>
      </c>
      <c r="Q90" t="str">
        <f>IF(N90=1,IF(P90=1,-M90,100)+O90+ROW()*0.000000000001,"")</f>
        <v/>
      </c>
    </row>
    <row r="91" spans="12:17" x14ac:dyDescent="0.3">
      <c r="L91">
        <v>4</v>
      </c>
      <c r="M91">
        <v>8</v>
      </c>
      <c r="N91">
        <f>IF(L91+M91-1&lt;=$J$2,1,0)</f>
        <v>0</v>
      </c>
      <c r="O91" t="str">
        <f>IF(N91=1,_xlfn.STDEV.S(INDEX($J$5:$J$34,L91):INDEX($J$5:$J$34,L91+M91-1))/AVERAGE(INDEX($J$5:$J$34,L91):INDEX($J$5:$J$34,L91+M91-1)),"")</f>
        <v/>
      </c>
      <c r="P91" t="str">
        <f>IF(N91=1,IF(O91&lt;=COMBINACIONES!$B$5,1,0),"")</f>
        <v/>
      </c>
      <c r="Q91" t="str">
        <f>IF(N91=1,IF(P91=1,-M91,100)+O91+ROW()*0.000000000001,"")</f>
        <v/>
      </c>
    </row>
    <row r="92" spans="12:17" x14ac:dyDescent="0.3">
      <c r="L92">
        <v>4</v>
      </c>
      <c r="M92">
        <v>9</v>
      </c>
      <c r="N92">
        <f>IF(L92+M92-1&lt;=$J$2,1,0)</f>
        <v>0</v>
      </c>
      <c r="O92" t="str">
        <f>IF(N92=1,_xlfn.STDEV.S(INDEX($J$5:$J$34,L92):INDEX($J$5:$J$34,L92+M92-1))/AVERAGE(INDEX($J$5:$J$34,L92):INDEX($J$5:$J$34,L92+M92-1)),"")</f>
        <v/>
      </c>
      <c r="P92" t="str">
        <f>IF(N92=1,IF(O92&lt;=COMBINACIONES!$B$5,1,0),"")</f>
        <v/>
      </c>
      <c r="Q92" t="str">
        <f>IF(N92=1,IF(P92=1,-M92,100)+O92+ROW()*0.000000000001,"")</f>
        <v/>
      </c>
    </row>
    <row r="93" spans="12:17" x14ac:dyDescent="0.3">
      <c r="L93">
        <v>4</v>
      </c>
      <c r="M93">
        <v>10</v>
      </c>
      <c r="N93">
        <f>IF(L93+M93-1&lt;=$J$2,1,0)</f>
        <v>0</v>
      </c>
      <c r="O93" t="str">
        <f>IF(N93=1,_xlfn.STDEV.S(INDEX($J$5:$J$34,L93):INDEX($J$5:$J$34,L93+M93-1))/AVERAGE(INDEX($J$5:$J$34,L93):INDEX($J$5:$J$34,L93+M93-1)),"")</f>
        <v/>
      </c>
      <c r="P93" t="str">
        <f>IF(N93=1,IF(O93&lt;=COMBINACIONES!$B$5,1,0),"")</f>
        <v/>
      </c>
      <c r="Q93" t="str">
        <f>IF(N93=1,IF(P93=1,-M93,100)+O93+ROW()*0.000000000001,"")</f>
        <v/>
      </c>
    </row>
    <row r="94" spans="12:17" x14ac:dyDescent="0.3">
      <c r="L94">
        <v>4</v>
      </c>
      <c r="M94">
        <v>11</v>
      </c>
      <c r="N94">
        <f>IF(L94+M94-1&lt;=$J$2,1,0)</f>
        <v>0</v>
      </c>
      <c r="O94" t="str">
        <f>IF(N94=1,_xlfn.STDEV.S(INDEX($J$5:$J$34,L94):INDEX($J$5:$J$34,L94+M94-1))/AVERAGE(INDEX($J$5:$J$34,L94):INDEX($J$5:$J$34,L94+M94-1)),"")</f>
        <v/>
      </c>
      <c r="P94" t="str">
        <f>IF(N94=1,IF(O94&lt;=COMBINACIONES!$B$5,1,0),"")</f>
        <v/>
      </c>
      <c r="Q94" t="str">
        <f>IF(N94=1,IF(P94=1,-M94,100)+O94+ROW()*0.000000000001,"")</f>
        <v/>
      </c>
    </row>
    <row r="95" spans="12:17" x14ac:dyDescent="0.3">
      <c r="L95">
        <v>4</v>
      </c>
      <c r="M95">
        <v>12</v>
      </c>
      <c r="N95">
        <f>IF(L95+M95-1&lt;=$J$2,1,0)</f>
        <v>0</v>
      </c>
      <c r="O95" t="str">
        <f>IF(N95=1,_xlfn.STDEV.S(INDEX($J$5:$J$34,L95):INDEX($J$5:$J$34,L95+M95-1))/AVERAGE(INDEX($J$5:$J$34,L95):INDEX($J$5:$J$34,L95+M95-1)),"")</f>
        <v/>
      </c>
      <c r="P95" t="str">
        <f>IF(N95=1,IF(O95&lt;=COMBINACIONES!$B$5,1,0),"")</f>
        <v/>
      </c>
      <c r="Q95" t="str">
        <f>IF(N95=1,IF(P95=1,-M95,100)+O95+ROW()*0.000000000001,"")</f>
        <v/>
      </c>
    </row>
    <row r="96" spans="12:17" x14ac:dyDescent="0.3">
      <c r="L96">
        <v>4</v>
      </c>
      <c r="M96">
        <v>13</v>
      </c>
      <c r="N96">
        <f>IF(L96+M96-1&lt;=$J$2,1,0)</f>
        <v>0</v>
      </c>
      <c r="O96" t="str">
        <f>IF(N96=1,_xlfn.STDEV.S(INDEX($J$5:$J$34,L96):INDEX($J$5:$J$34,L96+M96-1))/AVERAGE(INDEX($J$5:$J$34,L96):INDEX($J$5:$J$34,L96+M96-1)),"")</f>
        <v/>
      </c>
      <c r="P96" t="str">
        <f>IF(N96=1,IF(O96&lt;=COMBINACIONES!$B$5,1,0),"")</f>
        <v/>
      </c>
      <c r="Q96" t="str">
        <f>IF(N96=1,IF(P96=1,-M96,100)+O96+ROW()*0.000000000001,"")</f>
        <v/>
      </c>
    </row>
    <row r="97" spans="12:17" x14ac:dyDescent="0.3">
      <c r="L97">
        <v>4</v>
      </c>
      <c r="M97">
        <v>14</v>
      </c>
      <c r="N97">
        <f>IF(L97+M97-1&lt;=$J$2,1,0)</f>
        <v>0</v>
      </c>
      <c r="O97" t="str">
        <f>IF(N97=1,_xlfn.STDEV.S(INDEX($J$5:$J$34,L97):INDEX($J$5:$J$34,L97+M97-1))/AVERAGE(INDEX($J$5:$J$34,L97):INDEX($J$5:$J$34,L97+M97-1)),"")</f>
        <v/>
      </c>
      <c r="P97" t="str">
        <f>IF(N97=1,IF(O97&lt;=COMBINACIONES!$B$5,1,0),"")</f>
        <v/>
      </c>
      <c r="Q97" t="str">
        <f>IF(N97=1,IF(P97=1,-M97,100)+O97+ROW()*0.000000000001,"")</f>
        <v/>
      </c>
    </row>
    <row r="98" spans="12:17" x14ac:dyDescent="0.3">
      <c r="L98">
        <v>4</v>
      </c>
      <c r="M98">
        <v>15</v>
      </c>
      <c r="N98">
        <f>IF(L98+M98-1&lt;=$J$2,1,0)</f>
        <v>0</v>
      </c>
      <c r="O98" t="str">
        <f>IF(N98=1,_xlfn.STDEV.S(INDEX($J$5:$J$34,L98):INDEX($J$5:$J$34,L98+M98-1))/AVERAGE(INDEX($J$5:$J$34,L98):INDEX($J$5:$J$34,L98+M98-1)),"")</f>
        <v/>
      </c>
      <c r="P98" t="str">
        <f>IF(N98=1,IF(O98&lt;=COMBINACIONES!$B$5,1,0),"")</f>
        <v/>
      </c>
      <c r="Q98" t="str">
        <f>IF(N98=1,IF(P98=1,-M98,100)+O98+ROW()*0.000000000001,"")</f>
        <v/>
      </c>
    </row>
    <row r="99" spans="12:17" x14ac:dyDescent="0.3">
      <c r="L99">
        <v>4</v>
      </c>
      <c r="M99">
        <v>16</v>
      </c>
      <c r="N99">
        <f>IF(L99+M99-1&lt;=$J$2,1,0)</f>
        <v>0</v>
      </c>
      <c r="O99" t="str">
        <f>IF(N99=1,_xlfn.STDEV.S(INDEX($J$5:$J$34,L99):INDEX($J$5:$J$34,L99+M99-1))/AVERAGE(INDEX($J$5:$J$34,L99):INDEX($J$5:$J$34,L99+M99-1)),"")</f>
        <v/>
      </c>
      <c r="P99" t="str">
        <f>IF(N99=1,IF(O99&lt;=COMBINACIONES!$B$5,1,0),"")</f>
        <v/>
      </c>
      <c r="Q99" t="str">
        <f>IF(N99=1,IF(P99=1,-M99,100)+O99+ROW()*0.000000000001,"")</f>
        <v/>
      </c>
    </row>
    <row r="100" spans="12:17" x14ac:dyDescent="0.3">
      <c r="L100">
        <v>4</v>
      </c>
      <c r="M100">
        <v>17</v>
      </c>
      <c r="N100">
        <f>IF(L100+M100-1&lt;=$J$2,1,0)</f>
        <v>0</v>
      </c>
      <c r="O100" t="str">
        <f>IF(N100=1,_xlfn.STDEV.S(INDEX($J$5:$J$34,L100):INDEX($J$5:$J$34,L100+M100-1))/AVERAGE(INDEX($J$5:$J$34,L100):INDEX($J$5:$J$34,L100+M100-1)),"")</f>
        <v/>
      </c>
      <c r="P100" t="str">
        <f>IF(N100=1,IF(O100&lt;=COMBINACIONES!$B$5,1,0),"")</f>
        <v/>
      </c>
      <c r="Q100" t="str">
        <f>IF(N100=1,IF(P100=1,-M100,100)+O100+ROW()*0.000000000001,"")</f>
        <v/>
      </c>
    </row>
    <row r="101" spans="12:17" x14ac:dyDescent="0.3">
      <c r="L101">
        <v>4</v>
      </c>
      <c r="M101">
        <v>18</v>
      </c>
      <c r="N101">
        <f>IF(L101+M101-1&lt;=$J$2,1,0)</f>
        <v>0</v>
      </c>
      <c r="O101" t="str">
        <f>IF(N101=1,_xlfn.STDEV.S(INDEX($J$5:$J$34,L101):INDEX($J$5:$J$34,L101+M101-1))/AVERAGE(INDEX($J$5:$J$34,L101):INDEX($J$5:$J$34,L101+M101-1)),"")</f>
        <v/>
      </c>
      <c r="P101" t="str">
        <f>IF(N101=1,IF(O101&lt;=COMBINACIONES!$B$5,1,0),"")</f>
        <v/>
      </c>
      <c r="Q101" t="str">
        <f>IF(N101=1,IF(P101=1,-M101,100)+O101+ROW()*0.000000000001,"")</f>
        <v/>
      </c>
    </row>
    <row r="102" spans="12:17" x14ac:dyDescent="0.3">
      <c r="L102">
        <v>4</v>
      </c>
      <c r="M102">
        <v>19</v>
      </c>
      <c r="N102">
        <f>IF(L102+M102-1&lt;=$J$2,1,0)</f>
        <v>0</v>
      </c>
      <c r="O102" t="str">
        <f>IF(N102=1,_xlfn.STDEV.S(INDEX($J$5:$J$34,L102):INDEX($J$5:$J$34,L102+M102-1))/AVERAGE(INDEX($J$5:$J$34,L102):INDEX($J$5:$J$34,L102+M102-1)),"")</f>
        <v/>
      </c>
      <c r="P102" t="str">
        <f>IF(N102=1,IF(O102&lt;=COMBINACIONES!$B$5,1,0),"")</f>
        <v/>
      </c>
      <c r="Q102" t="str">
        <f>IF(N102=1,IF(P102=1,-M102,100)+O102+ROW()*0.000000000001,"")</f>
        <v/>
      </c>
    </row>
    <row r="103" spans="12:17" x14ac:dyDescent="0.3">
      <c r="L103">
        <v>4</v>
      </c>
      <c r="M103">
        <v>20</v>
      </c>
      <c r="N103">
        <f>IF(L103+M103-1&lt;=$J$2,1,0)</f>
        <v>0</v>
      </c>
      <c r="O103" t="str">
        <f>IF(N103=1,_xlfn.STDEV.S(INDEX($J$5:$J$34,L103):INDEX($J$5:$J$34,L103+M103-1))/AVERAGE(INDEX($J$5:$J$34,L103):INDEX($J$5:$J$34,L103+M103-1)),"")</f>
        <v/>
      </c>
      <c r="P103" t="str">
        <f>IF(N103=1,IF(O103&lt;=COMBINACIONES!$B$5,1,0),"")</f>
        <v/>
      </c>
      <c r="Q103" t="str">
        <f>IF(N103=1,IF(P103=1,-M103,100)+O103+ROW()*0.000000000001,"")</f>
        <v/>
      </c>
    </row>
    <row r="104" spans="12:17" x14ac:dyDescent="0.3">
      <c r="L104">
        <v>4</v>
      </c>
      <c r="M104">
        <v>21</v>
      </c>
      <c r="N104">
        <f>IF(L104+M104-1&lt;=$J$2,1,0)</f>
        <v>0</v>
      </c>
      <c r="O104" t="str">
        <f>IF(N104=1,_xlfn.STDEV.S(INDEX($J$5:$J$34,L104):INDEX($J$5:$J$34,L104+M104-1))/AVERAGE(INDEX($J$5:$J$34,L104):INDEX($J$5:$J$34,L104+M104-1)),"")</f>
        <v/>
      </c>
      <c r="P104" t="str">
        <f>IF(N104=1,IF(O104&lt;=COMBINACIONES!$B$5,1,0),"")</f>
        <v/>
      </c>
      <c r="Q104" t="str">
        <f>IF(N104=1,IF(P104=1,-M104,100)+O104+ROW()*0.000000000001,"")</f>
        <v/>
      </c>
    </row>
    <row r="105" spans="12:17" x14ac:dyDescent="0.3">
      <c r="L105">
        <v>4</v>
      </c>
      <c r="M105">
        <v>22</v>
      </c>
      <c r="N105">
        <f>IF(L105+M105-1&lt;=$J$2,1,0)</f>
        <v>0</v>
      </c>
      <c r="O105" t="str">
        <f>IF(N105=1,_xlfn.STDEV.S(INDEX($J$5:$J$34,L105):INDEX($J$5:$J$34,L105+M105-1))/AVERAGE(INDEX($J$5:$J$34,L105):INDEX($J$5:$J$34,L105+M105-1)),"")</f>
        <v/>
      </c>
      <c r="P105" t="str">
        <f>IF(N105=1,IF(O105&lt;=COMBINACIONES!$B$5,1,0),"")</f>
        <v/>
      </c>
      <c r="Q105" t="str">
        <f>IF(N105=1,IF(P105=1,-M105,100)+O105+ROW()*0.000000000001,"")</f>
        <v/>
      </c>
    </row>
    <row r="106" spans="12:17" x14ac:dyDescent="0.3">
      <c r="L106">
        <v>4</v>
      </c>
      <c r="M106">
        <v>23</v>
      </c>
      <c r="N106">
        <f>IF(L106+M106-1&lt;=$J$2,1,0)</f>
        <v>0</v>
      </c>
      <c r="O106" t="str">
        <f>IF(N106=1,_xlfn.STDEV.S(INDEX($J$5:$J$34,L106):INDEX($J$5:$J$34,L106+M106-1))/AVERAGE(INDEX($J$5:$J$34,L106):INDEX($J$5:$J$34,L106+M106-1)),"")</f>
        <v/>
      </c>
      <c r="P106" t="str">
        <f>IF(N106=1,IF(O106&lt;=COMBINACIONES!$B$5,1,0),"")</f>
        <v/>
      </c>
      <c r="Q106" t="str">
        <f>IF(N106=1,IF(P106=1,-M106,100)+O106+ROW()*0.000000000001,"")</f>
        <v/>
      </c>
    </row>
    <row r="107" spans="12:17" x14ac:dyDescent="0.3">
      <c r="L107">
        <v>4</v>
      </c>
      <c r="M107">
        <v>24</v>
      </c>
      <c r="N107">
        <f>IF(L107+M107-1&lt;=$J$2,1,0)</f>
        <v>0</v>
      </c>
      <c r="O107" t="str">
        <f>IF(N107=1,_xlfn.STDEV.S(INDEX($J$5:$J$34,L107):INDEX($J$5:$J$34,L107+M107-1))/AVERAGE(INDEX($J$5:$J$34,L107):INDEX($J$5:$J$34,L107+M107-1)),"")</f>
        <v/>
      </c>
      <c r="P107" t="str">
        <f>IF(N107=1,IF(O107&lt;=COMBINACIONES!$B$5,1,0),"")</f>
        <v/>
      </c>
      <c r="Q107" t="str">
        <f>IF(N107=1,IF(P107=1,-M107,100)+O107+ROW()*0.000000000001,"")</f>
        <v/>
      </c>
    </row>
    <row r="108" spans="12:17" x14ac:dyDescent="0.3">
      <c r="L108">
        <v>4</v>
      </c>
      <c r="M108">
        <v>25</v>
      </c>
      <c r="N108">
        <f>IF(L108+M108-1&lt;=$J$2,1,0)</f>
        <v>0</v>
      </c>
      <c r="O108" t="str">
        <f>IF(N108=1,_xlfn.STDEV.S(INDEX($J$5:$J$34,L108):INDEX($J$5:$J$34,L108+M108-1))/AVERAGE(INDEX($J$5:$J$34,L108):INDEX($J$5:$J$34,L108+M108-1)),"")</f>
        <v/>
      </c>
      <c r="P108" t="str">
        <f>IF(N108=1,IF(O108&lt;=COMBINACIONES!$B$5,1,0),"")</f>
        <v/>
      </c>
      <c r="Q108" t="str">
        <f>IF(N108=1,IF(P108=1,-M108,100)+O108+ROW()*0.000000000001,"")</f>
        <v/>
      </c>
    </row>
    <row r="109" spans="12:17" x14ac:dyDescent="0.3">
      <c r="L109">
        <v>4</v>
      </c>
      <c r="M109">
        <v>26</v>
      </c>
      <c r="N109">
        <f>IF(L109+M109-1&lt;=$J$2,1,0)</f>
        <v>0</v>
      </c>
      <c r="O109" t="str">
        <f>IF(N109=1,_xlfn.STDEV.S(INDEX($J$5:$J$34,L109):INDEX($J$5:$J$34,L109+M109-1))/AVERAGE(INDEX($J$5:$J$34,L109):INDEX($J$5:$J$34,L109+M109-1)),"")</f>
        <v/>
      </c>
      <c r="P109" t="str">
        <f>IF(N109=1,IF(O109&lt;=COMBINACIONES!$B$5,1,0),"")</f>
        <v/>
      </c>
      <c r="Q109" t="str">
        <f>IF(N109=1,IF(P109=1,-M109,100)+O109+ROW()*0.000000000001,"")</f>
        <v/>
      </c>
    </row>
    <row r="110" spans="12:17" x14ac:dyDescent="0.3">
      <c r="L110">
        <v>4</v>
      </c>
      <c r="M110">
        <v>27</v>
      </c>
      <c r="N110">
        <f>IF(L110+M110-1&lt;=$J$2,1,0)</f>
        <v>0</v>
      </c>
      <c r="O110" t="str">
        <f>IF(N110=1,_xlfn.STDEV.S(INDEX($J$5:$J$34,L110):INDEX($J$5:$J$34,L110+M110-1))/AVERAGE(INDEX($J$5:$J$34,L110):INDEX($J$5:$J$34,L110+M110-1)),"")</f>
        <v/>
      </c>
      <c r="P110" t="str">
        <f>IF(N110=1,IF(O110&lt;=COMBINACIONES!$B$5,1,0),"")</f>
        <v/>
      </c>
      <c r="Q110" t="str">
        <f>IF(N110=1,IF(P110=1,-M110,100)+O110+ROW()*0.000000000001,"")</f>
        <v/>
      </c>
    </row>
    <row r="111" spans="12:17" x14ac:dyDescent="0.3">
      <c r="L111">
        <v>5</v>
      </c>
      <c r="M111">
        <v>3</v>
      </c>
      <c r="N111">
        <f>IF(L111+M111-1&lt;=$J$2,1,0)</f>
        <v>0</v>
      </c>
      <c r="O111" t="str">
        <f>IF(N111=1,_xlfn.STDEV.S(INDEX($J$5:$J$34,L111):INDEX($J$5:$J$34,L111+M111-1))/AVERAGE(INDEX($J$5:$J$34,L111):INDEX($J$5:$J$34,L111+M111-1)),"")</f>
        <v/>
      </c>
      <c r="P111" t="str">
        <f>IF(N111=1,IF(O111&lt;=COMBINACIONES!$B$5,1,0),"")</f>
        <v/>
      </c>
      <c r="Q111" t="str">
        <f>IF(N111=1,IF(P111=1,-M111,100)+O111+ROW()*0.000000000001,"")</f>
        <v/>
      </c>
    </row>
    <row r="112" spans="12:17" x14ac:dyDescent="0.3">
      <c r="L112">
        <v>5</v>
      </c>
      <c r="M112">
        <v>4</v>
      </c>
      <c r="N112">
        <f>IF(L112+M112-1&lt;=$J$2,1,0)</f>
        <v>0</v>
      </c>
      <c r="O112" t="str">
        <f>IF(N112=1,_xlfn.STDEV.S(INDEX($J$5:$J$34,L112):INDEX($J$5:$J$34,L112+M112-1))/AVERAGE(INDEX($J$5:$J$34,L112):INDEX($J$5:$J$34,L112+M112-1)),"")</f>
        <v/>
      </c>
      <c r="P112" t="str">
        <f>IF(N112=1,IF(O112&lt;=COMBINACIONES!$B$5,1,0),"")</f>
        <v/>
      </c>
      <c r="Q112" t="str">
        <f>IF(N112=1,IF(P112=1,-M112,100)+O112+ROW()*0.000000000001,"")</f>
        <v/>
      </c>
    </row>
    <row r="113" spans="12:17" x14ac:dyDescent="0.3">
      <c r="L113">
        <v>5</v>
      </c>
      <c r="M113">
        <v>5</v>
      </c>
      <c r="N113">
        <f>IF(L113+M113-1&lt;=$J$2,1,0)</f>
        <v>0</v>
      </c>
      <c r="O113" t="str">
        <f>IF(N113=1,_xlfn.STDEV.S(INDEX($J$5:$J$34,L113):INDEX($J$5:$J$34,L113+M113-1))/AVERAGE(INDEX($J$5:$J$34,L113):INDEX($J$5:$J$34,L113+M113-1)),"")</f>
        <v/>
      </c>
      <c r="P113" t="str">
        <f>IF(N113=1,IF(O113&lt;=COMBINACIONES!$B$5,1,0),"")</f>
        <v/>
      </c>
      <c r="Q113" t="str">
        <f>IF(N113=1,IF(P113=1,-M113,100)+O113+ROW()*0.000000000001,"")</f>
        <v/>
      </c>
    </row>
    <row r="114" spans="12:17" x14ac:dyDescent="0.3">
      <c r="L114">
        <v>5</v>
      </c>
      <c r="M114">
        <v>6</v>
      </c>
      <c r="N114">
        <f>IF(L114+M114-1&lt;=$J$2,1,0)</f>
        <v>0</v>
      </c>
      <c r="O114" t="str">
        <f>IF(N114=1,_xlfn.STDEV.S(INDEX($J$5:$J$34,L114):INDEX($J$5:$J$34,L114+M114-1))/AVERAGE(INDEX($J$5:$J$34,L114):INDEX($J$5:$J$34,L114+M114-1)),"")</f>
        <v/>
      </c>
      <c r="P114" t="str">
        <f>IF(N114=1,IF(O114&lt;=COMBINACIONES!$B$5,1,0),"")</f>
        <v/>
      </c>
      <c r="Q114" t="str">
        <f>IF(N114=1,IF(P114=1,-M114,100)+O114+ROW()*0.000000000001,"")</f>
        <v/>
      </c>
    </row>
    <row r="115" spans="12:17" x14ac:dyDescent="0.3">
      <c r="L115">
        <v>5</v>
      </c>
      <c r="M115">
        <v>7</v>
      </c>
      <c r="N115">
        <f>IF(L115+M115-1&lt;=$J$2,1,0)</f>
        <v>0</v>
      </c>
      <c r="O115" t="str">
        <f>IF(N115=1,_xlfn.STDEV.S(INDEX($J$5:$J$34,L115):INDEX($J$5:$J$34,L115+M115-1))/AVERAGE(INDEX($J$5:$J$34,L115):INDEX($J$5:$J$34,L115+M115-1)),"")</f>
        <v/>
      </c>
      <c r="P115" t="str">
        <f>IF(N115=1,IF(O115&lt;=COMBINACIONES!$B$5,1,0),"")</f>
        <v/>
      </c>
      <c r="Q115" t="str">
        <f>IF(N115=1,IF(P115=1,-M115,100)+O115+ROW()*0.000000000001,"")</f>
        <v/>
      </c>
    </row>
    <row r="116" spans="12:17" x14ac:dyDescent="0.3">
      <c r="L116">
        <v>5</v>
      </c>
      <c r="M116">
        <v>8</v>
      </c>
      <c r="N116">
        <f>IF(L116+M116-1&lt;=$J$2,1,0)</f>
        <v>0</v>
      </c>
      <c r="O116" t="str">
        <f>IF(N116=1,_xlfn.STDEV.S(INDEX($J$5:$J$34,L116):INDEX($J$5:$J$34,L116+M116-1))/AVERAGE(INDEX($J$5:$J$34,L116):INDEX($J$5:$J$34,L116+M116-1)),"")</f>
        <v/>
      </c>
      <c r="P116" t="str">
        <f>IF(N116=1,IF(O116&lt;=COMBINACIONES!$B$5,1,0),"")</f>
        <v/>
      </c>
      <c r="Q116" t="str">
        <f>IF(N116=1,IF(P116=1,-M116,100)+O116+ROW()*0.000000000001,"")</f>
        <v/>
      </c>
    </row>
    <row r="117" spans="12:17" x14ac:dyDescent="0.3">
      <c r="L117">
        <v>5</v>
      </c>
      <c r="M117">
        <v>9</v>
      </c>
      <c r="N117">
        <f>IF(L117+M117-1&lt;=$J$2,1,0)</f>
        <v>0</v>
      </c>
      <c r="O117" t="str">
        <f>IF(N117=1,_xlfn.STDEV.S(INDEX($J$5:$J$34,L117):INDEX($J$5:$J$34,L117+M117-1))/AVERAGE(INDEX($J$5:$J$34,L117):INDEX($J$5:$J$34,L117+M117-1)),"")</f>
        <v/>
      </c>
      <c r="P117" t="str">
        <f>IF(N117=1,IF(O117&lt;=COMBINACIONES!$B$5,1,0),"")</f>
        <v/>
      </c>
      <c r="Q117" t="str">
        <f>IF(N117=1,IF(P117=1,-M117,100)+O117+ROW()*0.000000000001,"")</f>
        <v/>
      </c>
    </row>
    <row r="118" spans="12:17" x14ac:dyDescent="0.3">
      <c r="L118">
        <v>5</v>
      </c>
      <c r="M118">
        <v>10</v>
      </c>
      <c r="N118">
        <f>IF(L118+M118-1&lt;=$J$2,1,0)</f>
        <v>0</v>
      </c>
      <c r="O118" t="str">
        <f>IF(N118=1,_xlfn.STDEV.S(INDEX($J$5:$J$34,L118):INDEX($J$5:$J$34,L118+M118-1))/AVERAGE(INDEX($J$5:$J$34,L118):INDEX($J$5:$J$34,L118+M118-1)),"")</f>
        <v/>
      </c>
      <c r="P118" t="str">
        <f>IF(N118=1,IF(O118&lt;=COMBINACIONES!$B$5,1,0),"")</f>
        <v/>
      </c>
      <c r="Q118" t="str">
        <f>IF(N118=1,IF(P118=1,-M118,100)+O118+ROW()*0.000000000001,"")</f>
        <v/>
      </c>
    </row>
    <row r="119" spans="12:17" x14ac:dyDescent="0.3">
      <c r="L119">
        <v>5</v>
      </c>
      <c r="M119">
        <v>11</v>
      </c>
      <c r="N119">
        <f>IF(L119+M119-1&lt;=$J$2,1,0)</f>
        <v>0</v>
      </c>
      <c r="O119" t="str">
        <f>IF(N119=1,_xlfn.STDEV.S(INDEX($J$5:$J$34,L119):INDEX($J$5:$J$34,L119+M119-1))/AVERAGE(INDEX($J$5:$J$34,L119):INDEX($J$5:$J$34,L119+M119-1)),"")</f>
        <v/>
      </c>
      <c r="P119" t="str">
        <f>IF(N119=1,IF(O119&lt;=COMBINACIONES!$B$5,1,0),"")</f>
        <v/>
      </c>
      <c r="Q119" t="str">
        <f>IF(N119=1,IF(P119=1,-M119,100)+O119+ROW()*0.000000000001,"")</f>
        <v/>
      </c>
    </row>
    <row r="120" spans="12:17" x14ac:dyDescent="0.3">
      <c r="L120">
        <v>5</v>
      </c>
      <c r="M120">
        <v>12</v>
      </c>
      <c r="N120">
        <f>IF(L120+M120-1&lt;=$J$2,1,0)</f>
        <v>0</v>
      </c>
      <c r="O120" t="str">
        <f>IF(N120=1,_xlfn.STDEV.S(INDEX($J$5:$J$34,L120):INDEX($J$5:$J$34,L120+M120-1))/AVERAGE(INDEX($J$5:$J$34,L120):INDEX($J$5:$J$34,L120+M120-1)),"")</f>
        <v/>
      </c>
      <c r="P120" t="str">
        <f>IF(N120=1,IF(O120&lt;=COMBINACIONES!$B$5,1,0),"")</f>
        <v/>
      </c>
      <c r="Q120" t="str">
        <f>IF(N120=1,IF(P120=1,-M120,100)+O120+ROW()*0.000000000001,"")</f>
        <v/>
      </c>
    </row>
    <row r="121" spans="12:17" x14ac:dyDescent="0.3">
      <c r="L121">
        <v>5</v>
      </c>
      <c r="M121">
        <v>13</v>
      </c>
      <c r="N121">
        <f>IF(L121+M121-1&lt;=$J$2,1,0)</f>
        <v>0</v>
      </c>
      <c r="O121" t="str">
        <f>IF(N121=1,_xlfn.STDEV.S(INDEX($J$5:$J$34,L121):INDEX($J$5:$J$34,L121+M121-1))/AVERAGE(INDEX($J$5:$J$34,L121):INDEX($J$5:$J$34,L121+M121-1)),"")</f>
        <v/>
      </c>
      <c r="P121" t="str">
        <f>IF(N121=1,IF(O121&lt;=COMBINACIONES!$B$5,1,0),"")</f>
        <v/>
      </c>
      <c r="Q121" t="str">
        <f>IF(N121=1,IF(P121=1,-M121,100)+O121+ROW()*0.000000000001,"")</f>
        <v/>
      </c>
    </row>
    <row r="122" spans="12:17" x14ac:dyDescent="0.3">
      <c r="L122">
        <v>5</v>
      </c>
      <c r="M122">
        <v>14</v>
      </c>
      <c r="N122">
        <f>IF(L122+M122-1&lt;=$J$2,1,0)</f>
        <v>0</v>
      </c>
      <c r="O122" t="str">
        <f>IF(N122=1,_xlfn.STDEV.S(INDEX($J$5:$J$34,L122):INDEX($J$5:$J$34,L122+M122-1))/AVERAGE(INDEX($J$5:$J$34,L122):INDEX($J$5:$J$34,L122+M122-1)),"")</f>
        <v/>
      </c>
      <c r="P122" t="str">
        <f>IF(N122=1,IF(O122&lt;=COMBINACIONES!$B$5,1,0),"")</f>
        <v/>
      </c>
      <c r="Q122" t="str">
        <f>IF(N122=1,IF(P122=1,-M122,100)+O122+ROW()*0.000000000001,"")</f>
        <v/>
      </c>
    </row>
    <row r="123" spans="12:17" x14ac:dyDescent="0.3">
      <c r="L123">
        <v>5</v>
      </c>
      <c r="M123">
        <v>15</v>
      </c>
      <c r="N123">
        <f>IF(L123+M123-1&lt;=$J$2,1,0)</f>
        <v>0</v>
      </c>
      <c r="O123" t="str">
        <f>IF(N123=1,_xlfn.STDEV.S(INDEX($J$5:$J$34,L123):INDEX($J$5:$J$34,L123+M123-1))/AVERAGE(INDEX($J$5:$J$34,L123):INDEX($J$5:$J$34,L123+M123-1)),"")</f>
        <v/>
      </c>
      <c r="P123" t="str">
        <f>IF(N123=1,IF(O123&lt;=COMBINACIONES!$B$5,1,0),"")</f>
        <v/>
      </c>
      <c r="Q123" t="str">
        <f>IF(N123=1,IF(P123=1,-M123,100)+O123+ROW()*0.000000000001,"")</f>
        <v/>
      </c>
    </row>
    <row r="124" spans="12:17" x14ac:dyDescent="0.3">
      <c r="L124">
        <v>5</v>
      </c>
      <c r="M124">
        <v>16</v>
      </c>
      <c r="N124">
        <f>IF(L124+M124-1&lt;=$J$2,1,0)</f>
        <v>0</v>
      </c>
      <c r="O124" t="str">
        <f>IF(N124=1,_xlfn.STDEV.S(INDEX($J$5:$J$34,L124):INDEX($J$5:$J$34,L124+M124-1))/AVERAGE(INDEX($J$5:$J$34,L124):INDEX($J$5:$J$34,L124+M124-1)),"")</f>
        <v/>
      </c>
      <c r="P124" t="str">
        <f>IF(N124=1,IF(O124&lt;=COMBINACIONES!$B$5,1,0),"")</f>
        <v/>
      </c>
      <c r="Q124" t="str">
        <f>IF(N124=1,IF(P124=1,-M124,100)+O124+ROW()*0.000000000001,"")</f>
        <v/>
      </c>
    </row>
    <row r="125" spans="12:17" x14ac:dyDescent="0.3">
      <c r="L125">
        <v>5</v>
      </c>
      <c r="M125">
        <v>17</v>
      </c>
      <c r="N125">
        <f>IF(L125+M125-1&lt;=$J$2,1,0)</f>
        <v>0</v>
      </c>
      <c r="O125" t="str">
        <f>IF(N125=1,_xlfn.STDEV.S(INDEX($J$5:$J$34,L125):INDEX($J$5:$J$34,L125+M125-1))/AVERAGE(INDEX($J$5:$J$34,L125):INDEX($J$5:$J$34,L125+M125-1)),"")</f>
        <v/>
      </c>
      <c r="P125" t="str">
        <f>IF(N125=1,IF(O125&lt;=COMBINACIONES!$B$5,1,0),"")</f>
        <v/>
      </c>
      <c r="Q125" t="str">
        <f>IF(N125=1,IF(P125=1,-M125,100)+O125+ROW()*0.000000000001,"")</f>
        <v/>
      </c>
    </row>
    <row r="126" spans="12:17" x14ac:dyDescent="0.3">
      <c r="L126">
        <v>5</v>
      </c>
      <c r="M126">
        <v>18</v>
      </c>
      <c r="N126">
        <f>IF(L126+M126-1&lt;=$J$2,1,0)</f>
        <v>0</v>
      </c>
      <c r="O126" t="str">
        <f>IF(N126=1,_xlfn.STDEV.S(INDEX($J$5:$J$34,L126):INDEX($J$5:$J$34,L126+M126-1))/AVERAGE(INDEX($J$5:$J$34,L126):INDEX($J$5:$J$34,L126+M126-1)),"")</f>
        <v/>
      </c>
      <c r="P126" t="str">
        <f>IF(N126=1,IF(O126&lt;=COMBINACIONES!$B$5,1,0),"")</f>
        <v/>
      </c>
      <c r="Q126" t="str">
        <f>IF(N126=1,IF(P126=1,-M126,100)+O126+ROW()*0.000000000001,"")</f>
        <v/>
      </c>
    </row>
    <row r="127" spans="12:17" x14ac:dyDescent="0.3">
      <c r="L127">
        <v>5</v>
      </c>
      <c r="M127">
        <v>19</v>
      </c>
      <c r="N127">
        <f>IF(L127+M127-1&lt;=$J$2,1,0)</f>
        <v>0</v>
      </c>
      <c r="O127" t="str">
        <f>IF(N127=1,_xlfn.STDEV.S(INDEX($J$5:$J$34,L127):INDEX($J$5:$J$34,L127+M127-1))/AVERAGE(INDEX($J$5:$J$34,L127):INDEX($J$5:$J$34,L127+M127-1)),"")</f>
        <v/>
      </c>
      <c r="P127" t="str">
        <f>IF(N127=1,IF(O127&lt;=COMBINACIONES!$B$5,1,0),"")</f>
        <v/>
      </c>
      <c r="Q127" t="str">
        <f>IF(N127=1,IF(P127=1,-M127,100)+O127+ROW()*0.000000000001,"")</f>
        <v/>
      </c>
    </row>
    <row r="128" spans="12:17" x14ac:dyDescent="0.3">
      <c r="L128">
        <v>5</v>
      </c>
      <c r="M128">
        <v>20</v>
      </c>
      <c r="N128">
        <f>IF(L128+M128-1&lt;=$J$2,1,0)</f>
        <v>0</v>
      </c>
      <c r="O128" t="str">
        <f>IF(N128=1,_xlfn.STDEV.S(INDEX($J$5:$J$34,L128):INDEX($J$5:$J$34,L128+M128-1))/AVERAGE(INDEX($J$5:$J$34,L128):INDEX($J$5:$J$34,L128+M128-1)),"")</f>
        <v/>
      </c>
      <c r="P128" t="str">
        <f>IF(N128=1,IF(O128&lt;=COMBINACIONES!$B$5,1,0),"")</f>
        <v/>
      </c>
      <c r="Q128" t="str">
        <f>IF(N128=1,IF(P128=1,-M128,100)+O128+ROW()*0.000000000001,"")</f>
        <v/>
      </c>
    </row>
    <row r="129" spans="12:17" x14ac:dyDescent="0.3">
      <c r="L129">
        <v>5</v>
      </c>
      <c r="M129">
        <v>21</v>
      </c>
      <c r="N129">
        <f>IF(L129+M129-1&lt;=$J$2,1,0)</f>
        <v>0</v>
      </c>
      <c r="O129" t="str">
        <f>IF(N129=1,_xlfn.STDEV.S(INDEX($J$5:$J$34,L129):INDEX($J$5:$J$34,L129+M129-1))/AVERAGE(INDEX($J$5:$J$34,L129):INDEX($J$5:$J$34,L129+M129-1)),"")</f>
        <v/>
      </c>
      <c r="P129" t="str">
        <f>IF(N129=1,IF(O129&lt;=COMBINACIONES!$B$5,1,0),"")</f>
        <v/>
      </c>
      <c r="Q129" t="str">
        <f>IF(N129=1,IF(P129=1,-M129,100)+O129+ROW()*0.000000000001,"")</f>
        <v/>
      </c>
    </row>
    <row r="130" spans="12:17" x14ac:dyDescent="0.3">
      <c r="L130">
        <v>5</v>
      </c>
      <c r="M130">
        <v>22</v>
      </c>
      <c r="N130">
        <f>IF(L130+M130-1&lt;=$J$2,1,0)</f>
        <v>0</v>
      </c>
      <c r="O130" t="str">
        <f>IF(N130=1,_xlfn.STDEV.S(INDEX($J$5:$J$34,L130):INDEX($J$5:$J$34,L130+M130-1))/AVERAGE(INDEX($J$5:$J$34,L130):INDEX($J$5:$J$34,L130+M130-1)),"")</f>
        <v/>
      </c>
      <c r="P130" t="str">
        <f>IF(N130=1,IF(O130&lt;=COMBINACIONES!$B$5,1,0),"")</f>
        <v/>
      </c>
      <c r="Q130" t="str">
        <f>IF(N130=1,IF(P130=1,-M130,100)+O130+ROW()*0.000000000001,"")</f>
        <v/>
      </c>
    </row>
    <row r="131" spans="12:17" x14ac:dyDescent="0.3">
      <c r="L131">
        <v>5</v>
      </c>
      <c r="M131">
        <v>23</v>
      </c>
      <c r="N131">
        <f>IF(L131+M131-1&lt;=$J$2,1,0)</f>
        <v>0</v>
      </c>
      <c r="O131" t="str">
        <f>IF(N131=1,_xlfn.STDEV.S(INDEX($J$5:$J$34,L131):INDEX($J$5:$J$34,L131+M131-1))/AVERAGE(INDEX($J$5:$J$34,L131):INDEX($J$5:$J$34,L131+M131-1)),"")</f>
        <v/>
      </c>
      <c r="P131" t="str">
        <f>IF(N131=1,IF(O131&lt;=COMBINACIONES!$B$5,1,0),"")</f>
        <v/>
      </c>
      <c r="Q131" t="str">
        <f>IF(N131=1,IF(P131=1,-M131,100)+O131+ROW()*0.000000000001,"")</f>
        <v/>
      </c>
    </row>
    <row r="132" spans="12:17" x14ac:dyDescent="0.3">
      <c r="L132">
        <v>5</v>
      </c>
      <c r="M132">
        <v>24</v>
      </c>
      <c r="N132">
        <f>IF(L132+M132-1&lt;=$J$2,1,0)</f>
        <v>0</v>
      </c>
      <c r="O132" t="str">
        <f>IF(N132=1,_xlfn.STDEV.S(INDEX($J$5:$J$34,L132):INDEX($J$5:$J$34,L132+M132-1))/AVERAGE(INDEX($J$5:$J$34,L132):INDEX($J$5:$J$34,L132+M132-1)),"")</f>
        <v/>
      </c>
      <c r="P132" t="str">
        <f>IF(N132=1,IF(O132&lt;=COMBINACIONES!$B$5,1,0),"")</f>
        <v/>
      </c>
      <c r="Q132" t="str">
        <f>IF(N132=1,IF(P132=1,-M132,100)+O132+ROW()*0.000000000001,"")</f>
        <v/>
      </c>
    </row>
    <row r="133" spans="12:17" x14ac:dyDescent="0.3">
      <c r="L133">
        <v>5</v>
      </c>
      <c r="M133">
        <v>25</v>
      </c>
      <c r="N133">
        <f>IF(L133+M133-1&lt;=$J$2,1,0)</f>
        <v>0</v>
      </c>
      <c r="O133" t="str">
        <f>IF(N133=1,_xlfn.STDEV.S(INDEX($J$5:$J$34,L133):INDEX($J$5:$J$34,L133+M133-1))/AVERAGE(INDEX($J$5:$J$34,L133):INDEX($J$5:$J$34,L133+M133-1)),"")</f>
        <v/>
      </c>
      <c r="P133" t="str">
        <f>IF(N133=1,IF(O133&lt;=COMBINACIONES!$B$5,1,0),"")</f>
        <v/>
      </c>
      <c r="Q133" t="str">
        <f>IF(N133=1,IF(P133=1,-M133,100)+O133+ROW()*0.000000000001,"")</f>
        <v/>
      </c>
    </row>
    <row r="134" spans="12:17" x14ac:dyDescent="0.3">
      <c r="L134">
        <v>5</v>
      </c>
      <c r="M134">
        <v>26</v>
      </c>
      <c r="N134">
        <f>IF(L134+M134-1&lt;=$J$2,1,0)</f>
        <v>0</v>
      </c>
      <c r="O134" t="str">
        <f>IF(N134=1,_xlfn.STDEV.S(INDEX($J$5:$J$34,L134):INDEX($J$5:$J$34,L134+M134-1))/AVERAGE(INDEX($J$5:$J$34,L134):INDEX($J$5:$J$34,L134+M134-1)),"")</f>
        <v/>
      </c>
      <c r="P134" t="str">
        <f>IF(N134=1,IF(O134&lt;=COMBINACIONES!$B$5,1,0),"")</f>
        <v/>
      </c>
      <c r="Q134" t="str">
        <f>IF(N134=1,IF(P134=1,-M134,100)+O134+ROW()*0.000000000001,"")</f>
        <v/>
      </c>
    </row>
    <row r="135" spans="12:17" x14ac:dyDescent="0.3">
      <c r="L135">
        <v>6</v>
      </c>
      <c r="M135">
        <v>3</v>
      </c>
      <c r="N135">
        <f>IF(L135+M135-1&lt;=$J$2,1,0)</f>
        <v>0</v>
      </c>
      <c r="O135" t="str">
        <f>IF(N135=1,_xlfn.STDEV.S(INDEX($J$5:$J$34,L135):INDEX($J$5:$J$34,L135+M135-1))/AVERAGE(INDEX($J$5:$J$34,L135):INDEX($J$5:$J$34,L135+M135-1)),"")</f>
        <v/>
      </c>
      <c r="P135" t="str">
        <f>IF(N135=1,IF(O135&lt;=COMBINACIONES!$B$5,1,0),"")</f>
        <v/>
      </c>
      <c r="Q135" t="str">
        <f>IF(N135=1,IF(P135=1,-M135,100)+O135+ROW()*0.000000000001,"")</f>
        <v/>
      </c>
    </row>
    <row r="136" spans="12:17" x14ac:dyDescent="0.3">
      <c r="L136">
        <v>6</v>
      </c>
      <c r="M136">
        <v>4</v>
      </c>
      <c r="N136">
        <f>IF(L136+M136-1&lt;=$J$2,1,0)</f>
        <v>0</v>
      </c>
      <c r="O136" t="str">
        <f>IF(N136=1,_xlfn.STDEV.S(INDEX($J$5:$J$34,L136):INDEX($J$5:$J$34,L136+M136-1))/AVERAGE(INDEX($J$5:$J$34,L136):INDEX($J$5:$J$34,L136+M136-1)),"")</f>
        <v/>
      </c>
      <c r="P136" t="str">
        <f>IF(N136=1,IF(O136&lt;=COMBINACIONES!$B$5,1,0),"")</f>
        <v/>
      </c>
      <c r="Q136" t="str">
        <f>IF(N136=1,IF(P136=1,-M136,100)+O136+ROW()*0.000000000001,"")</f>
        <v/>
      </c>
    </row>
    <row r="137" spans="12:17" x14ac:dyDescent="0.3">
      <c r="L137">
        <v>6</v>
      </c>
      <c r="M137">
        <v>5</v>
      </c>
      <c r="N137">
        <f>IF(L137+M137-1&lt;=$J$2,1,0)</f>
        <v>0</v>
      </c>
      <c r="O137" t="str">
        <f>IF(N137=1,_xlfn.STDEV.S(INDEX($J$5:$J$34,L137):INDEX($J$5:$J$34,L137+M137-1))/AVERAGE(INDEX($J$5:$J$34,L137):INDEX($J$5:$J$34,L137+M137-1)),"")</f>
        <v/>
      </c>
      <c r="P137" t="str">
        <f>IF(N137=1,IF(O137&lt;=COMBINACIONES!$B$5,1,0),"")</f>
        <v/>
      </c>
      <c r="Q137" t="str">
        <f>IF(N137=1,IF(P137=1,-M137,100)+O137+ROW()*0.000000000001,"")</f>
        <v/>
      </c>
    </row>
    <row r="138" spans="12:17" x14ac:dyDescent="0.3">
      <c r="L138">
        <v>6</v>
      </c>
      <c r="M138">
        <v>6</v>
      </c>
      <c r="N138">
        <f>IF(L138+M138-1&lt;=$J$2,1,0)</f>
        <v>0</v>
      </c>
      <c r="O138" t="str">
        <f>IF(N138=1,_xlfn.STDEV.S(INDEX($J$5:$J$34,L138):INDEX($J$5:$J$34,L138+M138-1))/AVERAGE(INDEX($J$5:$J$34,L138):INDEX($J$5:$J$34,L138+M138-1)),"")</f>
        <v/>
      </c>
      <c r="P138" t="str">
        <f>IF(N138=1,IF(O138&lt;=COMBINACIONES!$B$5,1,0),"")</f>
        <v/>
      </c>
      <c r="Q138" t="str">
        <f>IF(N138=1,IF(P138=1,-M138,100)+O138+ROW()*0.000000000001,"")</f>
        <v/>
      </c>
    </row>
    <row r="139" spans="12:17" x14ac:dyDescent="0.3">
      <c r="L139">
        <v>6</v>
      </c>
      <c r="M139">
        <v>7</v>
      </c>
      <c r="N139">
        <f>IF(L139+M139-1&lt;=$J$2,1,0)</f>
        <v>0</v>
      </c>
      <c r="O139" t="str">
        <f>IF(N139=1,_xlfn.STDEV.S(INDEX($J$5:$J$34,L139):INDEX($J$5:$J$34,L139+M139-1))/AVERAGE(INDEX($J$5:$J$34,L139):INDEX($J$5:$J$34,L139+M139-1)),"")</f>
        <v/>
      </c>
      <c r="P139" t="str">
        <f>IF(N139=1,IF(O139&lt;=COMBINACIONES!$B$5,1,0),"")</f>
        <v/>
      </c>
      <c r="Q139" t="str">
        <f>IF(N139=1,IF(P139=1,-M139,100)+O139+ROW()*0.000000000001,"")</f>
        <v/>
      </c>
    </row>
    <row r="140" spans="12:17" x14ac:dyDescent="0.3">
      <c r="L140">
        <v>6</v>
      </c>
      <c r="M140">
        <v>8</v>
      </c>
      <c r="N140">
        <f>IF(L140+M140-1&lt;=$J$2,1,0)</f>
        <v>0</v>
      </c>
      <c r="O140" t="str">
        <f>IF(N140=1,_xlfn.STDEV.S(INDEX($J$5:$J$34,L140):INDEX($J$5:$J$34,L140+M140-1))/AVERAGE(INDEX($J$5:$J$34,L140):INDEX($J$5:$J$34,L140+M140-1)),"")</f>
        <v/>
      </c>
      <c r="P140" t="str">
        <f>IF(N140=1,IF(O140&lt;=COMBINACIONES!$B$5,1,0),"")</f>
        <v/>
      </c>
      <c r="Q140" t="str">
        <f>IF(N140=1,IF(P140=1,-M140,100)+O140+ROW()*0.000000000001,"")</f>
        <v/>
      </c>
    </row>
    <row r="141" spans="12:17" x14ac:dyDescent="0.3">
      <c r="L141">
        <v>6</v>
      </c>
      <c r="M141">
        <v>9</v>
      </c>
      <c r="N141">
        <f>IF(L141+M141-1&lt;=$J$2,1,0)</f>
        <v>0</v>
      </c>
      <c r="O141" t="str">
        <f>IF(N141=1,_xlfn.STDEV.S(INDEX($J$5:$J$34,L141):INDEX($J$5:$J$34,L141+M141-1))/AVERAGE(INDEX($J$5:$J$34,L141):INDEX($J$5:$J$34,L141+M141-1)),"")</f>
        <v/>
      </c>
      <c r="P141" t="str">
        <f>IF(N141=1,IF(O141&lt;=COMBINACIONES!$B$5,1,0),"")</f>
        <v/>
      </c>
      <c r="Q141" t="str">
        <f>IF(N141=1,IF(P141=1,-M141,100)+O141+ROW()*0.000000000001,"")</f>
        <v/>
      </c>
    </row>
    <row r="142" spans="12:17" x14ac:dyDescent="0.3">
      <c r="L142">
        <v>6</v>
      </c>
      <c r="M142">
        <v>10</v>
      </c>
      <c r="N142">
        <f>IF(L142+M142-1&lt;=$J$2,1,0)</f>
        <v>0</v>
      </c>
      <c r="O142" t="str">
        <f>IF(N142=1,_xlfn.STDEV.S(INDEX($J$5:$J$34,L142):INDEX($J$5:$J$34,L142+M142-1))/AVERAGE(INDEX($J$5:$J$34,L142):INDEX($J$5:$J$34,L142+M142-1)),"")</f>
        <v/>
      </c>
      <c r="P142" t="str">
        <f>IF(N142=1,IF(O142&lt;=COMBINACIONES!$B$5,1,0),"")</f>
        <v/>
      </c>
      <c r="Q142" t="str">
        <f>IF(N142=1,IF(P142=1,-M142,100)+O142+ROW()*0.000000000001,"")</f>
        <v/>
      </c>
    </row>
    <row r="143" spans="12:17" x14ac:dyDescent="0.3">
      <c r="L143">
        <v>6</v>
      </c>
      <c r="M143">
        <v>11</v>
      </c>
      <c r="N143">
        <f>IF(L143+M143-1&lt;=$J$2,1,0)</f>
        <v>0</v>
      </c>
      <c r="O143" t="str">
        <f>IF(N143=1,_xlfn.STDEV.S(INDEX($J$5:$J$34,L143):INDEX($J$5:$J$34,L143+M143-1))/AVERAGE(INDEX($J$5:$J$34,L143):INDEX($J$5:$J$34,L143+M143-1)),"")</f>
        <v/>
      </c>
      <c r="P143" t="str">
        <f>IF(N143=1,IF(O143&lt;=COMBINACIONES!$B$5,1,0),"")</f>
        <v/>
      </c>
      <c r="Q143" t="str">
        <f>IF(N143=1,IF(P143=1,-M143,100)+O143+ROW()*0.000000000001,"")</f>
        <v/>
      </c>
    </row>
    <row r="144" spans="12:17" x14ac:dyDescent="0.3">
      <c r="L144">
        <v>6</v>
      </c>
      <c r="M144">
        <v>12</v>
      </c>
      <c r="N144">
        <f>IF(L144+M144-1&lt;=$J$2,1,0)</f>
        <v>0</v>
      </c>
      <c r="O144" t="str">
        <f>IF(N144=1,_xlfn.STDEV.S(INDEX($J$5:$J$34,L144):INDEX($J$5:$J$34,L144+M144-1))/AVERAGE(INDEX($J$5:$J$34,L144):INDEX($J$5:$J$34,L144+M144-1)),"")</f>
        <v/>
      </c>
      <c r="P144" t="str">
        <f>IF(N144=1,IF(O144&lt;=COMBINACIONES!$B$5,1,0),"")</f>
        <v/>
      </c>
      <c r="Q144" t="str">
        <f>IF(N144=1,IF(P144=1,-M144,100)+O144+ROW()*0.000000000001,"")</f>
        <v/>
      </c>
    </row>
    <row r="145" spans="12:17" x14ac:dyDescent="0.3">
      <c r="L145">
        <v>6</v>
      </c>
      <c r="M145">
        <v>13</v>
      </c>
      <c r="N145">
        <f>IF(L145+M145-1&lt;=$J$2,1,0)</f>
        <v>0</v>
      </c>
      <c r="O145" t="str">
        <f>IF(N145=1,_xlfn.STDEV.S(INDEX($J$5:$J$34,L145):INDEX($J$5:$J$34,L145+M145-1))/AVERAGE(INDEX($J$5:$J$34,L145):INDEX($J$5:$J$34,L145+M145-1)),"")</f>
        <v/>
      </c>
      <c r="P145" t="str">
        <f>IF(N145=1,IF(O145&lt;=COMBINACIONES!$B$5,1,0),"")</f>
        <v/>
      </c>
      <c r="Q145" t="str">
        <f>IF(N145=1,IF(P145=1,-M145,100)+O145+ROW()*0.000000000001,"")</f>
        <v/>
      </c>
    </row>
    <row r="146" spans="12:17" x14ac:dyDescent="0.3">
      <c r="L146">
        <v>6</v>
      </c>
      <c r="M146">
        <v>14</v>
      </c>
      <c r="N146">
        <f>IF(L146+M146-1&lt;=$J$2,1,0)</f>
        <v>0</v>
      </c>
      <c r="O146" t="str">
        <f>IF(N146=1,_xlfn.STDEV.S(INDEX($J$5:$J$34,L146):INDEX($J$5:$J$34,L146+M146-1))/AVERAGE(INDEX($J$5:$J$34,L146):INDEX($J$5:$J$34,L146+M146-1)),"")</f>
        <v/>
      </c>
      <c r="P146" t="str">
        <f>IF(N146=1,IF(O146&lt;=COMBINACIONES!$B$5,1,0),"")</f>
        <v/>
      </c>
      <c r="Q146" t="str">
        <f>IF(N146=1,IF(P146=1,-M146,100)+O146+ROW()*0.000000000001,"")</f>
        <v/>
      </c>
    </row>
    <row r="147" spans="12:17" x14ac:dyDescent="0.3">
      <c r="L147">
        <v>6</v>
      </c>
      <c r="M147">
        <v>15</v>
      </c>
      <c r="N147">
        <f>IF(L147+M147-1&lt;=$J$2,1,0)</f>
        <v>0</v>
      </c>
      <c r="O147" t="str">
        <f>IF(N147=1,_xlfn.STDEV.S(INDEX($J$5:$J$34,L147):INDEX($J$5:$J$34,L147+M147-1))/AVERAGE(INDEX($J$5:$J$34,L147):INDEX($J$5:$J$34,L147+M147-1)),"")</f>
        <v/>
      </c>
      <c r="P147" t="str">
        <f>IF(N147=1,IF(O147&lt;=COMBINACIONES!$B$5,1,0),"")</f>
        <v/>
      </c>
      <c r="Q147" t="str">
        <f>IF(N147=1,IF(P147=1,-M147,100)+O147+ROW()*0.000000000001,"")</f>
        <v/>
      </c>
    </row>
    <row r="148" spans="12:17" x14ac:dyDescent="0.3">
      <c r="L148">
        <v>6</v>
      </c>
      <c r="M148">
        <v>16</v>
      </c>
      <c r="N148">
        <f>IF(L148+M148-1&lt;=$J$2,1,0)</f>
        <v>0</v>
      </c>
      <c r="O148" t="str">
        <f>IF(N148=1,_xlfn.STDEV.S(INDEX($J$5:$J$34,L148):INDEX($J$5:$J$34,L148+M148-1))/AVERAGE(INDEX($J$5:$J$34,L148):INDEX($J$5:$J$34,L148+M148-1)),"")</f>
        <v/>
      </c>
      <c r="P148" t="str">
        <f>IF(N148=1,IF(O148&lt;=COMBINACIONES!$B$5,1,0),"")</f>
        <v/>
      </c>
      <c r="Q148" t="str">
        <f>IF(N148=1,IF(P148=1,-M148,100)+O148+ROW()*0.000000000001,"")</f>
        <v/>
      </c>
    </row>
    <row r="149" spans="12:17" x14ac:dyDescent="0.3">
      <c r="L149">
        <v>6</v>
      </c>
      <c r="M149">
        <v>17</v>
      </c>
      <c r="N149">
        <f>IF(L149+M149-1&lt;=$J$2,1,0)</f>
        <v>0</v>
      </c>
      <c r="O149" t="str">
        <f>IF(N149=1,_xlfn.STDEV.S(INDEX($J$5:$J$34,L149):INDEX($J$5:$J$34,L149+M149-1))/AVERAGE(INDEX($J$5:$J$34,L149):INDEX($J$5:$J$34,L149+M149-1)),"")</f>
        <v/>
      </c>
      <c r="P149" t="str">
        <f>IF(N149=1,IF(O149&lt;=COMBINACIONES!$B$5,1,0),"")</f>
        <v/>
      </c>
      <c r="Q149" t="str">
        <f>IF(N149=1,IF(P149=1,-M149,100)+O149+ROW()*0.000000000001,"")</f>
        <v/>
      </c>
    </row>
    <row r="150" spans="12:17" x14ac:dyDescent="0.3">
      <c r="L150">
        <v>6</v>
      </c>
      <c r="M150">
        <v>18</v>
      </c>
      <c r="N150">
        <f>IF(L150+M150-1&lt;=$J$2,1,0)</f>
        <v>0</v>
      </c>
      <c r="O150" t="str">
        <f>IF(N150=1,_xlfn.STDEV.S(INDEX($J$5:$J$34,L150):INDEX($J$5:$J$34,L150+M150-1))/AVERAGE(INDEX($J$5:$J$34,L150):INDEX($J$5:$J$34,L150+M150-1)),"")</f>
        <v/>
      </c>
      <c r="P150" t="str">
        <f>IF(N150=1,IF(O150&lt;=COMBINACIONES!$B$5,1,0),"")</f>
        <v/>
      </c>
      <c r="Q150" t="str">
        <f>IF(N150=1,IF(P150=1,-M150,100)+O150+ROW()*0.000000000001,"")</f>
        <v/>
      </c>
    </row>
    <row r="151" spans="12:17" x14ac:dyDescent="0.3">
      <c r="L151">
        <v>6</v>
      </c>
      <c r="M151">
        <v>19</v>
      </c>
      <c r="N151">
        <f>IF(L151+M151-1&lt;=$J$2,1,0)</f>
        <v>0</v>
      </c>
      <c r="O151" t="str">
        <f>IF(N151=1,_xlfn.STDEV.S(INDEX($J$5:$J$34,L151):INDEX($J$5:$J$34,L151+M151-1))/AVERAGE(INDEX($J$5:$J$34,L151):INDEX($J$5:$J$34,L151+M151-1)),"")</f>
        <v/>
      </c>
      <c r="P151" t="str">
        <f>IF(N151=1,IF(O151&lt;=COMBINACIONES!$B$5,1,0),"")</f>
        <v/>
      </c>
      <c r="Q151" t="str">
        <f>IF(N151=1,IF(P151=1,-M151,100)+O151+ROW()*0.000000000001,"")</f>
        <v/>
      </c>
    </row>
    <row r="152" spans="12:17" x14ac:dyDescent="0.3">
      <c r="L152">
        <v>6</v>
      </c>
      <c r="M152">
        <v>20</v>
      </c>
      <c r="N152">
        <f>IF(L152+M152-1&lt;=$J$2,1,0)</f>
        <v>0</v>
      </c>
      <c r="O152" t="str">
        <f>IF(N152=1,_xlfn.STDEV.S(INDEX($J$5:$J$34,L152):INDEX($J$5:$J$34,L152+M152-1))/AVERAGE(INDEX($J$5:$J$34,L152):INDEX($J$5:$J$34,L152+M152-1)),"")</f>
        <v/>
      </c>
      <c r="P152" t="str">
        <f>IF(N152=1,IF(O152&lt;=COMBINACIONES!$B$5,1,0),"")</f>
        <v/>
      </c>
      <c r="Q152" t="str">
        <f>IF(N152=1,IF(P152=1,-M152,100)+O152+ROW()*0.000000000001,"")</f>
        <v/>
      </c>
    </row>
    <row r="153" spans="12:17" x14ac:dyDescent="0.3">
      <c r="L153">
        <v>6</v>
      </c>
      <c r="M153">
        <v>21</v>
      </c>
      <c r="N153">
        <f>IF(L153+M153-1&lt;=$J$2,1,0)</f>
        <v>0</v>
      </c>
      <c r="O153" t="str">
        <f>IF(N153=1,_xlfn.STDEV.S(INDEX($J$5:$J$34,L153):INDEX($J$5:$J$34,L153+M153-1))/AVERAGE(INDEX($J$5:$J$34,L153):INDEX($J$5:$J$34,L153+M153-1)),"")</f>
        <v/>
      </c>
      <c r="P153" t="str">
        <f>IF(N153=1,IF(O153&lt;=COMBINACIONES!$B$5,1,0),"")</f>
        <v/>
      </c>
      <c r="Q153" t="str">
        <f>IF(N153=1,IF(P153=1,-M153,100)+O153+ROW()*0.000000000001,"")</f>
        <v/>
      </c>
    </row>
    <row r="154" spans="12:17" x14ac:dyDescent="0.3">
      <c r="L154">
        <v>6</v>
      </c>
      <c r="M154">
        <v>22</v>
      </c>
      <c r="N154">
        <f>IF(L154+M154-1&lt;=$J$2,1,0)</f>
        <v>0</v>
      </c>
      <c r="O154" t="str">
        <f>IF(N154=1,_xlfn.STDEV.S(INDEX($J$5:$J$34,L154):INDEX($J$5:$J$34,L154+M154-1))/AVERAGE(INDEX($J$5:$J$34,L154):INDEX($J$5:$J$34,L154+M154-1)),"")</f>
        <v/>
      </c>
      <c r="P154" t="str">
        <f>IF(N154=1,IF(O154&lt;=COMBINACIONES!$B$5,1,0),"")</f>
        <v/>
      </c>
      <c r="Q154" t="str">
        <f>IF(N154=1,IF(P154=1,-M154,100)+O154+ROW()*0.000000000001,"")</f>
        <v/>
      </c>
    </row>
    <row r="155" spans="12:17" x14ac:dyDescent="0.3">
      <c r="L155">
        <v>6</v>
      </c>
      <c r="M155">
        <v>23</v>
      </c>
      <c r="N155">
        <f>IF(L155+M155-1&lt;=$J$2,1,0)</f>
        <v>0</v>
      </c>
      <c r="O155" t="str">
        <f>IF(N155=1,_xlfn.STDEV.S(INDEX($J$5:$J$34,L155):INDEX($J$5:$J$34,L155+M155-1))/AVERAGE(INDEX($J$5:$J$34,L155):INDEX($J$5:$J$34,L155+M155-1)),"")</f>
        <v/>
      </c>
      <c r="P155" t="str">
        <f>IF(N155=1,IF(O155&lt;=COMBINACIONES!$B$5,1,0),"")</f>
        <v/>
      </c>
      <c r="Q155" t="str">
        <f>IF(N155=1,IF(P155=1,-M155,100)+O155+ROW()*0.000000000001,"")</f>
        <v/>
      </c>
    </row>
    <row r="156" spans="12:17" x14ac:dyDescent="0.3">
      <c r="L156">
        <v>6</v>
      </c>
      <c r="M156">
        <v>24</v>
      </c>
      <c r="N156">
        <f>IF(L156+M156-1&lt;=$J$2,1,0)</f>
        <v>0</v>
      </c>
      <c r="O156" t="str">
        <f>IF(N156=1,_xlfn.STDEV.S(INDEX($J$5:$J$34,L156):INDEX($J$5:$J$34,L156+M156-1))/AVERAGE(INDEX($J$5:$J$34,L156):INDEX($J$5:$J$34,L156+M156-1)),"")</f>
        <v/>
      </c>
      <c r="P156" t="str">
        <f>IF(N156=1,IF(O156&lt;=COMBINACIONES!$B$5,1,0),"")</f>
        <v/>
      </c>
      <c r="Q156" t="str">
        <f>IF(N156=1,IF(P156=1,-M156,100)+O156+ROW()*0.000000000001,"")</f>
        <v/>
      </c>
    </row>
    <row r="157" spans="12:17" x14ac:dyDescent="0.3">
      <c r="L157">
        <v>6</v>
      </c>
      <c r="M157">
        <v>25</v>
      </c>
      <c r="N157">
        <f>IF(L157+M157-1&lt;=$J$2,1,0)</f>
        <v>0</v>
      </c>
      <c r="O157" t="str">
        <f>IF(N157=1,_xlfn.STDEV.S(INDEX($J$5:$J$34,L157):INDEX($J$5:$J$34,L157+M157-1))/AVERAGE(INDEX($J$5:$J$34,L157):INDEX($J$5:$J$34,L157+M157-1)),"")</f>
        <v/>
      </c>
      <c r="P157" t="str">
        <f>IF(N157=1,IF(O157&lt;=COMBINACIONES!$B$5,1,0),"")</f>
        <v/>
      </c>
      <c r="Q157" t="str">
        <f>IF(N157=1,IF(P157=1,-M157,100)+O157+ROW()*0.000000000001,"")</f>
        <v/>
      </c>
    </row>
    <row r="158" spans="12:17" x14ac:dyDescent="0.3">
      <c r="L158">
        <v>7</v>
      </c>
      <c r="M158">
        <v>3</v>
      </c>
      <c r="N158">
        <f>IF(L158+M158-1&lt;=$J$2,1,0)</f>
        <v>0</v>
      </c>
      <c r="O158" t="str">
        <f>IF(N158=1,_xlfn.STDEV.S(INDEX($J$5:$J$34,L158):INDEX($J$5:$J$34,L158+M158-1))/AVERAGE(INDEX($J$5:$J$34,L158):INDEX($J$5:$J$34,L158+M158-1)),"")</f>
        <v/>
      </c>
      <c r="P158" t="str">
        <f>IF(N158=1,IF(O158&lt;=COMBINACIONES!$B$5,1,0),"")</f>
        <v/>
      </c>
      <c r="Q158" t="str">
        <f>IF(N158=1,IF(P158=1,-M158,100)+O158+ROW()*0.000000000001,"")</f>
        <v/>
      </c>
    </row>
    <row r="159" spans="12:17" x14ac:dyDescent="0.3">
      <c r="L159">
        <v>7</v>
      </c>
      <c r="M159">
        <v>4</v>
      </c>
      <c r="N159">
        <f>IF(L159+M159-1&lt;=$J$2,1,0)</f>
        <v>0</v>
      </c>
      <c r="O159" t="str">
        <f>IF(N159=1,_xlfn.STDEV.S(INDEX($J$5:$J$34,L159):INDEX($J$5:$J$34,L159+M159-1))/AVERAGE(INDEX($J$5:$J$34,L159):INDEX($J$5:$J$34,L159+M159-1)),"")</f>
        <v/>
      </c>
      <c r="P159" t="str">
        <f>IF(N159=1,IF(O159&lt;=COMBINACIONES!$B$5,1,0),"")</f>
        <v/>
      </c>
      <c r="Q159" t="str">
        <f>IF(N159=1,IF(P159=1,-M159,100)+O159+ROW()*0.000000000001,"")</f>
        <v/>
      </c>
    </row>
    <row r="160" spans="12:17" x14ac:dyDescent="0.3">
      <c r="L160">
        <v>7</v>
      </c>
      <c r="M160">
        <v>5</v>
      </c>
      <c r="N160">
        <f>IF(L160+M160-1&lt;=$J$2,1,0)</f>
        <v>0</v>
      </c>
      <c r="O160" t="str">
        <f>IF(N160=1,_xlfn.STDEV.S(INDEX($J$5:$J$34,L160):INDEX($J$5:$J$34,L160+M160-1))/AVERAGE(INDEX($J$5:$J$34,L160):INDEX($J$5:$J$34,L160+M160-1)),"")</f>
        <v/>
      </c>
      <c r="P160" t="str">
        <f>IF(N160=1,IF(O160&lt;=COMBINACIONES!$B$5,1,0),"")</f>
        <v/>
      </c>
      <c r="Q160" t="str">
        <f>IF(N160=1,IF(P160=1,-M160,100)+O160+ROW()*0.000000000001,"")</f>
        <v/>
      </c>
    </row>
    <row r="161" spans="12:17" x14ac:dyDescent="0.3">
      <c r="L161">
        <v>7</v>
      </c>
      <c r="M161">
        <v>6</v>
      </c>
      <c r="N161">
        <f>IF(L161+M161-1&lt;=$J$2,1,0)</f>
        <v>0</v>
      </c>
      <c r="O161" t="str">
        <f>IF(N161=1,_xlfn.STDEV.S(INDEX($J$5:$J$34,L161):INDEX($J$5:$J$34,L161+M161-1))/AVERAGE(INDEX($J$5:$J$34,L161):INDEX($J$5:$J$34,L161+M161-1)),"")</f>
        <v/>
      </c>
      <c r="P161" t="str">
        <f>IF(N161=1,IF(O161&lt;=COMBINACIONES!$B$5,1,0),"")</f>
        <v/>
      </c>
      <c r="Q161" t="str">
        <f>IF(N161=1,IF(P161=1,-M161,100)+O161+ROW()*0.000000000001,"")</f>
        <v/>
      </c>
    </row>
    <row r="162" spans="12:17" x14ac:dyDescent="0.3">
      <c r="L162">
        <v>7</v>
      </c>
      <c r="M162">
        <v>7</v>
      </c>
      <c r="N162">
        <f>IF(L162+M162-1&lt;=$J$2,1,0)</f>
        <v>0</v>
      </c>
      <c r="O162" t="str">
        <f>IF(N162=1,_xlfn.STDEV.S(INDEX($J$5:$J$34,L162):INDEX($J$5:$J$34,L162+M162-1))/AVERAGE(INDEX($J$5:$J$34,L162):INDEX($J$5:$J$34,L162+M162-1)),"")</f>
        <v/>
      </c>
      <c r="P162" t="str">
        <f>IF(N162=1,IF(O162&lt;=COMBINACIONES!$B$5,1,0),"")</f>
        <v/>
      </c>
      <c r="Q162" t="str">
        <f>IF(N162=1,IF(P162=1,-M162,100)+O162+ROW()*0.000000000001,"")</f>
        <v/>
      </c>
    </row>
    <row r="163" spans="12:17" x14ac:dyDescent="0.3">
      <c r="L163">
        <v>7</v>
      </c>
      <c r="M163">
        <v>8</v>
      </c>
      <c r="N163">
        <f>IF(L163+M163-1&lt;=$J$2,1,0)</f>
        <v>0</v>
      </c>
      <c r="O163" t="str">
        <f>IF(N163=1,_xlfn.STDEV.S(INDEX($J$5:$J$34,L163):INDEX($J$5:$J$34,L163+M163-1))/AVERAGE(INDEX($J$5:$J$34,L163):INDEX($J$5:$J$34,L163+M163-1)),"")</f>
        <v/>
      </c>
      <c r="P163" t="str">
        <f>IF(N163=1,IF(O163&lt;=COMBINACIONES!$B$5,1,0),"")</f>
        <v/>
      </c>
      <c r="Q163" t="str">
        <f>IF(N163=1,IF(P163=1,-M163,100)+O163+ROW()*0.000000000001,"")</f>
        <v/>
      </c>
    </row>
    <row r="164" spans="12:17" x14ac:dyDescent="0.3">
      <c r="L164">
        <v>7</v>
      </c>
      <c r="M164">
        <v>9</v>
      </c>
      <c r="N164">
        <f>IF(L164+M164-1&lt;=$J$2,1,0)</f>
        <v>0</v>
      </c>
      <c r="O164" t="str">
        <f>IF(N164=1,_xlfn.STDEV.S(INDEX($J$5:$J$34,L164):INDEX($J$5:$J$34,L164+M164-1))/AVERAGE(INDEX($J$5:$J$34,L164):INDEX($J$5:$J$34,L164+M164-1)),"")</f>
        <v/>
      </c>
      <c r="P164" t="str">
        <f>IF(N164=1,IF(O164&lt;=COMBINACIONES!$B$5,1,0),"")</f>
        <v/>
      </c>
      <c r="Q164" t="str">
        <f>IF(N164=1,IF(P164=1,-M164,100)+O164+ROW()*0.000000000001,"")</f>
        <v/>
      </c>
    </row>
    <row r="165" spans="12:17" x14ac:dyDescent="0.3">
      <c r="L165">
        <v>7</v>
      </c>
      <c r="M165">
        <v>10</v>
      </c>
      <c r="N165">
        <f>IF(L165+M165-1&lt;=$J$2,1,0)</f>
        <v>0</v>
      </c>
      <c r="O165" t="str">
        <f>IF(N165=1,_xlfn.STDEV.S(INDEX($J$5:$J$34,L165):INDEX($J$5:$J$34,L165+M165-1))/AVERAGE(INDEX($J$5:$J$34,L165):INDEX($J$5:$J$34,L165+M165-1)),"")</f>
        <v/>
      </c>
      <c r="P165" t="str">
        <f>IF(N165=1,IF(O165&lt;=COMBINACIONES!$B$5,1,0),"")</f>
        <v/>
      </c>
      <c r="Q165" t="str">
        <f>IF(N165=1,IF(P165=1,-M165,100)+O165+ROW()*0.000000000001,"")</f>
        <v/>
      </c>
    </row>
    <row r="166" spans="12:17" x14ac:dyDescent="0.3">
      <c r="L166">
        <v>7</v>
      </c>
      <c r="M166">
        <v>11</v>
      </c>
      <c r="N166">
        <f>IF(L166+M166-1&lt;=$J$2,1,0)</f>
        <v>0</v>
      </c>
      <c r="O166" t="str">
        <f>IF(N166=1,_xlfn.STDEV.S(INDEX($J$5:$J$34,L166):INDEX($J$5:$J$34,L166+M166-1))/AVERAGE(INDEX($J$5:$J$34,L166):INDEX($J$5:$J$34,L166+M166-1)),"")</f>
        <v/>
      </c>
      <c r="P166" t="str">
        <f>IF(N166=1,IF(O166&lt;=COMBINACIONES!$B$5,1,0),"")</f>
        <v/>
      </c>
      <c r="Q166" t="str">
        <f>IF(N166=1,IF(P166=1,-M166,100)+O166+ROW()*0.000000000001,"")</f>
        <v/>
      </c>
    </row>
    <row r="167" spans="12:17" x14ac:dyDescent="0.3">
      <c r="L167">
        <v>7</v>
      </c>
      <c r="M167">
        <v>12</v>
      </c>
      <c r="N167">
        <f>IF(L167+M167-1&lt;=$J$2,1,0)</f>
        <v>0</v>
      </c>
      <c r="O167" t="str">
        <f>IF(N167=1,_xlfn.STDEV.S(INDEX($J$5:$J$34,L167):INDEX($J$5:$J$34,L167+M167-1))/AVERAGE(INDEX($J$5:$J$34,L167):INDEX($J$5:$J$34,L167+M167-1)),"")</f>
        <v/>
      </c>
      <c r="P167" t="str">
        <f>IF(N167=1,IF(O167&lt;=COMBINACIONES!$B$5,1,0),"")</f>
        <v/>
      </c>
      <c r="Q167" t="str">
        <f>IF(N167=1,IF(P167=1,-M167,100)+O167+ROW()*0.000000000001,"")</f>
        <v/>
      </c>
    </row>
    <row r="168" spans="12:17" x14ac:dyDescent="0.3">
      <c r="L168">
        <v>7</v>
      </c>
      <c r="M168">
        <v>13</v>
      </c>
      <c r="N168">
        <f>IF(L168+M168-1&lt;=$J$2,1,0)</f>
        <v>0</v>
      </c>
      <c r="O168" t="str">
        <f>IF(N168=1,_xlfn.STDEV.S(INDEX($J$5:$J$34,L168):INDEX($J$5:$J$34,L168+M168-1))/AVERAGE(INDEX($J$5:$J$34,L168):INDEX($J$5:$J$34,L168+M168-1)),"")</f>
        <v/>
      </c>
      <c r="P168" t="str">
        <f>IF(N168=1,IF(O168&lt;=COMBINACIONES!$B$5,1,0),"")</f>
        <v/>
      </c>
      <c r="Q168" t="str">
        <f>IF(N168=1,IF(P168=1,-M168,100)+O168+ROW()*0.000000000001,"")</f>
        <v/>
      </c>
    </row>
    <row r="169" spans="12:17" x14ac:dyDescent="0.3">
      <c r="L169">
        <v>7</v>
      </c>
      <c r="M169">
        <v>14</v>
      </c>
      <c r="N169">
        <f>IF(L169+M169-1&lt;=$J$2,1,0)</f>
        <v>0</v>
      </c>
      <c r="O169" t="str">
        <f>IF(N169=1,_xlfn.STDEV.S(INDEX($J$5:$J$34,L169):INDEX($J$5:$J$34,L169+M169-1))/AVERAGE(INDEX($J$5:$J$34,L169):INDEX($J$5:$J$34,L169+M169-1)),"")</f>
        <v/>
      </c>
      <c r="P169" t="str">
        <f>IF(N169=1,IF(O169&lt;=COMBINACIONES!$B$5,1,0),"")</f>
        <v/>
      </c>
      <c r="Q169" t="str">
        <f>IF(N169=1,IF(P169=1,-M169,100)+O169+ROW()*0.000000000001,"")</f>
        <v/>
      </c>
    </row>
    <row r="170" spans="12:17" x14ac:dyDescent="0.3">
      <c r="L170">
        <v>7</v>
      </c>
      <c r="M170">
        <v>15</v>
      </c>
      <c r="N170">
        <f>IF(L170+M170-1&lt;=$J$2,1,0)</f>
        <v>0</v>
      </c>
      <c r="O170" t="str">
        <f>IF(N170=1,_xlfn.STDEV.S(INDEX($J$5:$J$34,L170):INDEX($J$5:$J$34,L170+M170-1))/AVERAGE(INDEX($J$5:$J$34,L170):INDEX($J$5:$J$34,L170+M170-1)),"")</f>
        <v/>
      </c>
      <c r="P170" t="str">
        <f>IF(N170=1,IF(O170&lt;=COMBINACIONES!$B$5,1,0),"")</f>
        <v/>
      </c>
      <c r="Q170" t="str">
        <f>IF(N170=1,IF(P170=1,-M170,100)+O170+ROW()*0.000000000001,"")</f>
        <v/>
      </c>
    </row>
    <row r="171" spans="12:17" x14ac:dyDescent="0.3">
      <c r="L171">
        <v>7</v>
      </c>
      <c r="M171">
        <v>16</v>
      </c>
      <c r="N171">
        <f>IF(L171+M171-1&lt;=$J$2,1,0)</f>
        <v>0</v>
      </c>
      <c r="O171" t="str">
        <f>IF(N171=1,_xlfn.STDEV.S(INDEX($J$5:$J$34,L171):INDEX($J$5:$J$34,L171+M171-1))/AVERAGE(INDEX($J$5:$J$34,L171):INDEX($J$5:$J$34,L171+M171-1)),"")</f>
        <v/>
      </c>
      <c r="P171" t="str">
        <f>IF(N171=1,IF(O171&lt;=COMBINACIONES!$B$5,1,0),"")</f>
        <v/>
      </c>
      <c r="Q171" t="str">
        <f>IF(N171=1,IF(P171=1,-M171,100)+O171+ROW()*0.000000000001,"")</f>
        <v/>
      </c>
    </row>
    <row r="172" spans="12:17" x14ac:dyDescent="0.3">
      <c r="L172">
        <v>7</v>
      </c>
      <c r="M172">
        <v>17</v>
      </c>
      <c r="N172">
        <f>IF(L172+M172-1&lt;=$J$2,1,0)</f>
        <v>0</v>
      </c>
      <c r="O172" t="str">
        <f>IF(N172=1,_xlfn.STDEV.S(INDEX($J$5:$J$34,L172):INDEX($J$5:$J$34,L172+M172-1))/AVERAGE(INDEX($J$5:$J$34,L172):INDEX($J$5:$J$34,L172+M172-1)),"")</f>
        <v/>
      </c>
      <c r="P172" t="str">
        <f>IF(N172=1,IF(O172&lt;=COMBINACIONES!$B$5,1,0),"")</f>
        <v/>
      </c>
      <c r="Q172" t="str">
        <f>IF(N172=1,IF(P172=1,-M172,100)+O172+ROW()*0.000000000001,"")</f>
        <v/>
      </c>
    </row>
    <row r="173" spans="12:17" x14ac:dyDescent="0.3">
      <c r="L173">
        <v>7</v>
      </c>
      <c r="M173">
        <v>18</v>
      </c>
      <c r="N173">
        <f>IF(L173+M173-1&lt;=$J$2,1,0)</f>
        <v>0</v>
      </c>
      <c r="O173" t="str">
        <f>IF(N173=1,_xlfn.STDEV.S(INDEX($J$5:$J$34,L173):INDEX($J$5:$J$34,L173+M173-1))/AVERAGE(INDEX($J$5:$J$34,L173):INDEX($J$5:$J$34,L173+M173-1)),"")</f>
        <v/>
      </c>
      <c r="P173" t="str">
        <f>IF(N173=1,IF(O173&lt;=COMBINACIONES!$B$5,1,0),"")</f>
        <v/>
      </c>
      <c r="Q173" t="str">
        <f>IF(N173=1,IF(P173=1,-M173,100)+O173+ROW()*0.000000000001,"")</f>
        <v/>
      </c>
    </row>
    <row r="174" spans="12:17" x14ac:dyDescent="0.3">
      <c r="L174">
        <v>7</v>
      </c>
      <c r="M174">
        <v>19</v>
      </c>
      <c r="N174">
        <f>IF(L174+M174-1&lt;=$J$2,1,0)</f>
        <v>0</v>
      </c>
      <c r="O174" t="str">
        <f>IF(N174=1,_xlfn.STDEV.S(INDEX($J$5:$J$34,L174):INDEX($J$5:$J$34,L174+M174-1))/AVERAGE(INDEX($J$5:$J$34,L174):INDEX($J$5:$J$34,L174+M174-1)),"")</f>
        <v/>
      </c>
      <c r="P174" t="str">
        <f>IF(N174=1,IF(O174&lt;=COMBINACIONES!$B$5,1,0),"")</f>
        <v/>
      </c>
      <c r="Q174" t="str">
        <f>IF(N174=1,IF(P174=1,-M174,100)+O174+ROW()*0.000000000001,"")</f>
        <v/>
      </c>
    </row>
    <row r="175" spans="12:17" x14ac:dyDescent="0.3">
      <c r="L175">
        <v>7</v>
      </c>
      <c r="M175">
        <v>20</v>
      </c>
      <c r="N175">
        <f>IF(L175+M175-1&lt;=$J$2,1,0)</f>
        <v>0</v>
      </c>
      <c r="O175" t="str">
        <f>IF(N175=1,_xlfn.STDEV.S(INDEX($J$5:$J$34,L175):INDEX($J$5:$J$34,L175+M175-1))/AVERAGE(INDEX($J$5:$J$34,L175):INDEX($J$5:$J$34,L175+M175-1)),"")</f>
        <v/>
      </c>
      <c r="P175" t="str">
        <f>IF(N175=1,IF(O175&lt;=COMBINACIONES!$B$5,1,0),"")</f>
        <v/>
      </c>
      <c r="Q175" t="str">
        <f>IF(N175=1,IF(P175=1,-M175,100)+O175+ROW()*0.000000000001,"")</f>
        <v/>
      </c>
    </row>
    <row r="176" spans="12:17" x14ac:dyDescent="0.3">
      <c r="L176">
        <v>7</v>
      </c>
      <c r="M176">
        <v>21</v>
      </c>
      <c r="N176">
        <f>IF(L176+M176-1&lt;=$J$2,1,0)</f>
        <v>0</v>
      </c>
      <c r="O176" t="str">
        <f>IF(N176=1,_xlfn.STDEV.S(INDEX($J$5:$J$34,L176):INDEX($J$5:$J$34,L176+M176-1))/AVERAGE(INDEX($J$5:$J$34,L176):INDEX($J$5:$J$34,L176+M176-1)),"")</f>
        <v/>
      </c>
      <c r="P176" t="str">
        <f>IF(N176=1,IF(O176&lt;=COMBINACIONES!$B$5,1,0),"")</f>
        <v/>
      </c>
      <c r="Q176" t="str">
        <f>IF(N176=1,IF(P176=1,-M176,100)+O176+ROW()*0.000000000001,"")</f>
        <v/>
      </c>
    </row>
    <row r="177" spans="12:17" x14ac:dyDescent="0.3">
      <c r="L177">
        <v>7</v>
      </c>
      <c r="M177">
        <v>22</v>
      </c>
      <c r="N177">
        <f>IF(L177+M177-1&lt;=$J$2,1,0)</f>
        <v>0</v>
      </c>
      <c r="O177" t="str">
        <f>IF(N177=1,_xlfn.STDEV.S(INDEX($J$5:$J$34,L177):INDEX($J$5:$J$34,L177+M177-1))/AVERAGE(INDEX($J$5:$J$34,L177):INDEX($J$5:$J$34,L177+M177-1)),"")</f>
        <v/>
      </c>
      <c r="P177" t="str">
        <f>IF(N177=1,IF(O177&lt;=COMBINACIONES!$B$5,1,0),"")</f>
        <v/>
      </c>
      <c r="Q177" t="str">
        <f>IF(N177=1,IF(P177=1,-M177,100)+O177+ROW()*0.000000000001,"")</f>
        <v/>
      </c>
    </row>
    <row r="178" spans="12:17" x14ac:dyDescent="0.3">
      <c r="L178">
        <v>7</v>
      </c>
      <c r="M178">
        <v>23</v>
      </c>
      <c r="N178">
        <f>IF(L178+M178-1&lt;=$J$2,1,0)</f>
        <v>0</v>
      </c>
      <c r="O178" t="str">
        <f>IF(N178=1,_xlfn.STDEV.S(INDEX($J$5:$J$34,L178):INDEX($J$5:$J$34,L178+M178-1))/AVERAGE(INDEX($J$5:$J$34,L178):INDEX($J$5:$J$34,L178+M178-1)),"")</f>
        <v/>
      </c>
      <c r="P178" t="str">
        <f>IF(N178=1,IF(O178&lt;=COMBINACIONES!$B$5,1,0),"")</f>
        <v/>
      </c>
      <c r="Q178" t="str">
        <f>IF(N178=1,IF(P178=1,-M178,100)+O178+ROW()*0.000000000001,"")</f>
        <v/>
      </c>
    </row>
    <row r="179" spans="12:17" x14ac:dyDescent="0.3">
      <c r="L179">
        <v>7</v>
      </c>
      <c r="M179">
        <v>24</v>
      </c>
      <c r="N179">
        <f>IF(L179+M179-1&lt;=$J$2,1,0)</f>
        <v>0</v>
      </c>
      <c r="O179" t="str">
        <f>IF(N179=1,_xlfn.STDEV.S(INDEX($J$5:$J$34,L179):INDEX($J$5:$J$34,L179+M179-1))/AVERAGE(INDEX($J$5:$J$34,L179):INDEX($J$5:$J$34,L179+M179-1)),"")</f>
        <v/>
      </c>
      <c r="P179" t="str">
        <f>IF(N179=1,IF(O179&lt;=COMBINACIONES!$B$5,1,0),"")</f>
        <v/>
      </c>
      <c r="Q179" t="str">
        <f>IF(N179=1,IF(P179=1,-M179,100)+O179+ROW()*0.000000000001,"")</f>
        <v/>
      </c>
    </row>
    <row r="180" spans="12:17" x14ac:dyDescent="0.3">
      <c r="L180">
        <v>8</v>
      </c>
      <c r="M180">
        <v>3</v>
      </c>
      <c r="N180">
        <f>IF(L180+M180-1&lt;=$J$2,1,0)</f>
        <v>0</v>
      </c>
      <c r="O180" t="str">
        <f>IF(N180=1,_xlfn.STDEV.S(INDEX($J$5:$J$34,L180):INDEX($J$5:$J$34,L180+M180-1))/AVERAGE(INDEX($J$5:$J$34,L180):INDEX($J$5:$J$34,L180+M180-1)),"")</f>
        <v/>
      </c>
      <c r="P180" t="str">
        <f>IF(N180=1,IF(O180&lt;=COMBINACIONES!$B$5,1,0),"")</f>
        <v/>
      </c>
      <c r="Q180" t="str">
        <f>IF(N180=1,IF(P180=1,-M180,100)+O180+ROW()*0.000000000001,"")</f>
        <v/>
      </c>
    </row>
    <row r="181" spans="12:17" x14ac:dyDescent="0.3">
      <c r="L181">
        <v>8</v>
      </c>
      <c r="M181">
        <v>4</v>
      </c>
      <c r="N181">
        <f>IF(L181+M181-1&lt;=$J$2,1,0)</f>
        <v>0</v>
      </c>
      <c r="O181" t="str">
        <f>IF(N181=1,_xlfn.STDEV.S(INDEX($J$5:$J$34,L181):INDEX($J$5:$J$34,L181+M181-1))/AVERAGE(INDEX($J$5:$J$34,L181):INDEX($J$5:$J$34,L181+M181-1)),"")</f>
        <v/>
      </c>
      <c r="P181" t="str">
        <f>IF(N181=1,IF(O181&lt;=COMBINACIONES!$B$5,1,0),"")</f>
        <v/>
      </c>
      <c r="Q181" t="str">
        <f>IF(N181=1,IF(P181=1,-M181,100)+O181+ROW()*0.000000000001,"")</f>
        <v/>
      </c>
    </row>
    <row r="182" spans="12:17" x14ac:dyDescent="0.3">
      <c r="L182">
        <v>8</v>
      </c>
      <c r="M182">
        <v>5</v>
      </c>
      <c r="N182">
        <f>IF(L182+M182-1&lt;=$J$2,1,0)</f>
        <v>0</v>
      </c>
      <c r="O182" t="str">
        <f>IF(N182=1,_xlfn.STDEV.S(INDEX($J$5:$J$34,L182):INDEX($J$5:$J$34,L182+M182-1))/AVERAGE(INDEX($J$5:$J$34,L182):INDEX($J$5:$J$34,L182+M182-1)),"")</f>
        <v/>
      </c>
      <c r="P182" t="str">
        <f>IF(N182=1,IF(O182&lt;=COMBINACIONES!$B$5,1,0),"")</f>
        <v/>
      </c>
      <c r="Q182" t="str">
        <f>IF(N182=1,IF(P182=1,-M182,100)+O182+ROW()*0.000000000001,"")</f>
        <v/>
      </c>
    </row>
    <row r="183" spans="12:17" x14ac:dyDescent="0.3">
      <c r="L183">
        <v>8</v>
      </c>
      <c r="M183">
        <v>6</v>
      </c>
      <c r="N183">
        <f>IF(L183+M183-1&lt;=$J$2,1,0)</f>
        <v>0</v>
      </c>
      <c r="O183" t="str">
        <f>IF(N183=1,_xlfn.STDEV.S(INDEX($J$5:$J$34,L183):INDEX($J$5:$J$34,L183+M183-1))/AVERAGE(INDEX($J$5:$J$34,L183):INDEX($J$5:$J$34,L183+M183-1)),"")</f>
        <v/>
      </c>
      <c r="P183" t="str">
        <f>IF(N183=1,IF(O183&lt;=COMBINACIONES!$B$5,1,0),"")</f>
        <v/>
      </c>
      <c r="Q183" t="str">
        <f>IF(N183=1,IF(P183=1,-M183,100)+O183+ROW()*0.000000000001,"")</f>
        <v/>
      </c>
    </row>
    <row r="184" spans="12:17" x14ac:dyDescent="0.3">
      <c r="L184">
        <v>8</v>
      </c>
      <c r="M184">
        <v>7</v>
      </c>
      <c r="N184">
        <f>IF(L184+M184-1&lt;=$J$2,1,0)</f>
        <v>0</v>
      </c>
      <c r="O184" t="str">
        <f>IF(N184=1,_xlfn.STDEV.S(INDEX($J$5:$J$34,L184):INDEX($J$5:$J$34,L184+M184-1))/AVERAGE(INDEX($J$5:$J$34,L184):INDEX($J$5:$J$34,L184+M184-1)),"")</f>
        <v/>
      </c>
      <c r="P184" t="str">
        <f>IF(N184=1,IF(O184&lt;=COMBINACIONES!$B$5,1,0),"")</f>
        <v/>
      </c>
      <c r="Q184" t="str">
        <f>IF(N184=1,IF(P184=1,-M184,100)+O184+ROW()*0.000000000001,"")</f>
        <v/>
      </c>
    </row>
    <row r="185" spans="12:17" x14ac:dyDescent="0.3">
      <c r="L185">
        <v>8</v>
      </c>
      <c r="M185">
        <v>8</v>
      </c>
      <c r="N185">
        <f>IF(L185+M185-1&lt;=$J$2,1,0)</f>
        <v>0</v>
      </c>
      <c r="O185" t="str">
        <f>IF(N185=1,_xlfn.STDEV.S(INDEX($J$5:$J$34,L185):INDEX($J$5:$J$34,L185+M185-1))/AVERAGE(INDEX($J$5:$J$34,L185):INDEX($J$5:$J$34,L185+M185-1)),"")</f>
        <v/>
      </c>
      <c r="P185" t="str">
        <f>IF(N185=1,IF(O185&lt;=COMBINACIONES!$B$5,1,0),"")</f>
        <v/>
      </c>
      <c r="Q185" t="str">
        <f>IF(N185=1,IF(P185=1,-M185,100)+O185+ROW()*0.000000000001,"")</f>
        <v/>
      </c>
    </row>
    <row r="186" spans="12:17" x14ac:dyDescent="0.3">
      <c r="L186">
        <v>8</v>
      </c>
      <c r="M186">
        <v>9</v>
      </c>
      <c r="N186">
        <f>IF(L186+M186-1&lt;=$J$2,1,0)</f>
        <v>0</v>
      </c>
      <c r="O186" t="str">
        <f>IF(N186=1,_xlfn.STDEV.S(INDEX($J$5:$J$34,L186):INDEX($J$5:$J$34,L186+M186-1))/AVERAGE(INDEX($J$5:$J$34,L186):INDEX($J$5:$J$34,L186+M186-1)),"")</f>
        <v/>
      </c>
      <c r="P186" t="str">
        <f>IF(N186=1,IF(O186&lt;=COMBINACIONES!$B$5,1,0),"")</f>
        <v/>
      </c>
      <c r="Q186" t="str">
        <f>IF(N186=1,IF(P186=1,-M186,100)+O186+ROW()*0.000000000001,"")</f>
        <v/>
      </c>
    </row>
    <row r="187" spans="12:17" x14ac:dyDescent="0.3">
      <c r="L187">
        <v>8</v>
      </c>
      <c r="M187">
        <v>10</v>
      </c>
      <c r="N187">
        <f>IF(L187+M187-1&lt;=$J$2,1,0)</f>
        <v>0</v>
      </c>
      <c r="O187" t="str">
        <f>IF(N187=1,_xlfn.STDEV.S(INDEX($J$5:$J$34,L187):INDEX($J$5:$J$34,L187+M187-1))/AVERAGE(INDEX($J$5:$J$34,L187):INDEX($J$5:$J$34,L187+M187-1)),"")</f>
        <v/>
      </c>
      <c r="P187" t="str">
        <f>IF(N187=1,IF(O187&lt;=COMBINACIONES!$B$5,1,0),"")</f>
        <v/>
      </c>
      <c r="Q187" t="str">
        <f>IF(N187=1,IF(P187=1,-M187,100)+O187+ROW()*0.000000000001,"")</f>
        <v/>
      </c>
    </row>
    <row r="188" spans="12:17" x14ac:dyDescent="0.3">
      <c r="L188">
        <v>8</v>
      </c>
      <c r="M188">
        <v>11</v>
      </c>
      <c r="N188">
        <f>IF(L188+M188-1&lt;=$J$2,1,0)</f>
        <v>0</v>
      </c>
      <c r="O188" t="str">
        <f>IF(N188=1,_xlfn.STDEV.S(INDEX($J$5:$J$34,L188):INDEX($J$5:$J$34,L188+M188-1))/AVERAGE(INDEX($J$5:$J$34,L188):INDEX($J$5:$J$34,L188+M188-1)),"")</f>
        <v/>
      </c>
      <c r="P188" t="str">
        <f>IF(N188=1,IF(O188&lt;=COMBINACIONES!$B$5,1,0),"")</f>
        <v/>
      </c>
      <c r="Q188" t="str">
        <f>IF(N188=1,IF(P188=1,-M188,100)+O188+ROW()*0.000000000001,"")</f>
        <v/>
      </c>
    </row>
    <row r="189" spans="12:17" x14ac:dyDescent="0.3">
      <c r="L189">
        <v>8</v>
      </c>
      <c r="M189">
        <v>12</v>
      </c>
      <c r="N189">
        <f>IF(L189+M189-1&lt;=$J$2,1,0)</f>
        <v>0</v>
      </c>
      <c r="O189" t="str">
        <f>IF(N189=1,_xlfn.STDEV.S(INDEX($J$5:$J$34,L189):INDEX($J$5:$J$34,L189+M189-1))/AVERAGE(INDEX($J$5:$J$34,L189):INDEX($J$5:$J$34,L189+M189-1)),"")</f>
        <v/>
      </c>
      <c r="P189" t="str">
        <f>IF(N189=1,IF(O189&lt;=COMBINACIONES!$B$5,1,0),"")</f>
        <v/>
      </c>
      <c r="Q189" t="str">
        <f>IF(N189=1,IF(P189=1,-M189,100)+O189+ROW()*0.000000000001,"")</f>
        <v/>
      </c>
    </row>
    <row r="190" spans="12:17" x14ac:dyDescent="0.3">
      <c r="L190">
        <v>8</v>
      </c>
      <c r="M190">
        <v>13</v>
      </c>
      <c r="N190">
        <f>IF(L190+M190-1&lt;=$J$2,1,0)</f>
        <v>0</v>
      </c>
      <c r="O190" t="str">
        <f>IF(N190=1,_xlfn.STDEV.S(INDEX($J$5:$J$34,L190):INDEX($J$5:$J$34,L190+M190-1))/AVERAGE(INDEX($J$5:$J$34,L190):INDEX($J$5:$J$34,L190+M190-1)),"")</f>
        <v/>
      </c>
      <c r="P190" t="str">
        <f>IF(N190=1,IF(O190&lt;=COMBINACIONES!$B$5,1,0),"")</f>
        <v/>
      </c>
      <c r="Q190" t="str">
        <f>IF(N190=1,IF(P190=1,-M190,100)+O190+ROW()*0.000000000001,"")</f>
        <v/>
      </c>
    </row>
    <row r="191" spans="12:17" x14ac:dyDescent="0.3">
      <c r="L191">
        <v>8</v>
      </c>
      <c r="M191">
        <v>14</v>
      </c>
      <c r="N191">
        <f>IF(L191+M191-1&lt;=$J$2,1,0)</f>
        <v>0</v>
      </c>
      <c r="O191" t="str">
        <f>IF(N191=1,_xlfn.STDEV.S(INDEX($J$5:$J$34,L191):INDEX($J$5:$J$34,L191+M191-1))/AVERAGE(INDEX($J$5:$J$34,L191):INDEX($J$5:$J$34,L191+M191-1)),"")</f>
        <v/>
      </c>
      <c r="P191" t="str">
        <f>IF(N191=1,IF(O191&lt;=COMBINACIONES!$B$5,1,0),"")</f>
        <v/>
      </c>
      <c r="Q191" t="str">
        <f>IF(N191=1,IF(P191=1,-M191,100)+O191+ROW()*0.000000000001,"")</f>
        <v/>
      </c>
    </row>
    <row r="192" spans="12:17" x14ac:dyDescent="0.3">
      <c r="L192">
        <v>8</v>
      </c>
      <c r="M192">
        <v>15</v>
      </c>
      <c r="N192">
        <f>IF(L192+M192-1&lt;=$J$2,1,0)</f>
        <v>0</v>
      </c>
      <c r="O192" t="str">
        <f>IF(N192=1,_xlfn.STDEV.S(INDEX($J$5:$J$34,L192):INDEX($J$5:$J$34,L192+M192-1))/AVERAGE(INDEX($J$5:$J$34,L192):INDEX($J$5:$J$34,L192+M192-1)),"")</f>
        <v/>
      </c>
      <c r="P192" t="str">
        <f>IF(N192=1,IF(O192&lt;=COMBINACIONES!$B$5,1,0),"")</f>
        <v/>
      </c>
      <c r="Q192" t="str">
        <f>IF(N192=1,IF(P192=1,-M192,100)+O192+ROW()*0.000000000001,"")</f>
        <v/>
      </c>
    </row>
    <row r="193" spans="12:17" x14ac:dyDescent="0.3">
      <c r="L193">
        <v>8</v>
      </c>
      <c r="M193">
        <v>16</v>
      </c>
      <c r="N193">
        <f>IF(L193+M193-1&lt;=$J$2,1,0)</f>
        <v>0</v>
      </c>
      <c r="O193" t="str">
        <f>IF(N193=1,_xlfn.STDEV.S(INDEX($J$5:$J$34,L193):INDEX($J$5:$J$34,L193+M193-1))/AVERAGE(INDEX($J$5:$J$34,L193):INDEX($J$5:$J$34,L193+M193-1)),"")</f>
        <v/>
      </c>
      <c r="P193" t="str">
        <f>IF(N193=1,IF(O193&lt;=COMBINACIONES!$B$5,1,0),"")</f>
        <v/>
      </c>
      <c r="Q193" t="str">
        <f>IF(N193=1,IF(P193=1,-M193,100)+O193+ROW()*0.000000000001,"")</f>
        <v/>
      </c>
    </row>
    <row r="194" spans="12:17" x14ac:dyDescent="0.3">
      <c r="L194">
        <v>8</v>
      </c>
      <c r="M194">
        <v>17</v>
      </c>
      <c r="N194">
        <f>IF(L194+M194-1&lt;=$J$2,1,0)</f>
        <v>0</v>
      </c>
      <c r="O194" t="str">
        <f>IF(N194=1,_xlfn.STDEV.S(INDEX($J$5:$J$34,L194):INDEX($J$5:$J$34,L194+M194-1))/AVERAGE(INDEX($J$5:$J$34,L194):INDEX($J$5:$J$34,L194+M194-1)),"")</f>
        <v/>
      </c>
      <c r="P194" t="str">
        <f>IF(N194=1,IF(O194&lt;=COMBINACIONES!$B$5,1,0),"")</f>
        <v/>
      </c>
      <c r="Q194" t="str">
        <f>IF(N194=1,IF(P194=1,-M194,100)+O194+ROW()*0.000000000001,"")</f>
        <v/>
      </c>
    </row>
    <row r="195" spans="12:17" x14ac:dyDescent="0.3">
      <c r="L195">
        <v>8</v>
      </c>
      <c r="M195">
        <v>18</v>
      </c>
      <c r="N195">
        <f>IF(L195+M195-1&lt;=$J$2,1,0)</f>
        <v>0</v>
      </c>
      <c r="O195" t="str">
        <f>IF(N195=1,_xlfn.STDEV.S(INDEX($J$5:$J$34,L195):INDEX($J$5:$J$34,L195+M195-1))/AVERAGE(INDEX($J$5:$J$34,L195):INDEX($J$5:$J$34,L195+M195-1)),"")</f>
        <v/>
      </c>
      <c r="P195" t="str">
        <f>IF(N195=1,IF(O195&lt;=COMBINACIONES!$B$5,1,0),"")</f>
        <v/>
      </c>
      <c r="Q195" t="str">
        <f>IF(N195=1,IF(P195=1,-M195,100)+O195+ROW()*0.000000000001,"")</f>
        <v/>
      </c>
    </row>
    <row r="196" spans="12:17" x14ac:dyDescent="0.3">
      <c r="L196">
        <v>8</v>
      </c>
      <c r="M196">
        <v>19</v>
      </c>
      <c r="N196">
        <f>IF(L196+M196-1&lt;=$J$2,1,0)</f>
        <v>0</v>
      </c>
      <c r="O196" t="str">
        <f>IF(N196=1,_xlfn.STDEV.S(INDEX($J$5:$J$34,L196):INDEX($J$5:$J$34,L196+M196-1))/AVERAGE(INDEX($J$5:$J$34,L196):INDEX($J$5:$J$34,L196+M196-1)),"")</f>
        <v/>
      </c>
      <c r="P196" t="str">
        <f>IF(N196=1,IF(O196&lt;=COMBINACIONES!$B$5,1,0),"")</f>
        <v/>
      </c>
      <c r="Q196" t="str">
        <f>IF(N196=1,IF(P196=1,-M196,100)+O196+ROW()*0.000000000001,"")</f>
        <v/>
      </c>
    </row>
    <row r="197" spans="12:17" x14ac:dyDescent="0.3">
      <c r="L197">
        <v>8</v>
      </c>
      <c r="M197">
        <v>20</v>
      </c>
      <c r="N197">
        <f>IF(L197+M197-1&lt;=$J$2,1,0)</f>
        <v>0</v>
      </c>
      <c r="O197" t="str">
        <f>IF(N197=1,_xlfn.STDEV.S(INDEX($J$5:$J$34,L197):INDEX($J$5:$J$34,L197+M197-1))/AVERAGE(INDEX($J$5:$J$34,L197):INDEX($J$5:$J$34,L197+M197-1)),"")</f>
        <v/>
      </c>
      <c r="P197" t="str">
        <f>IF(N197=1,IF(O197&lt;=COMBINACIONES!$B$5,1,0),"")</f>
        <v/>
      </c>
      <c r="Q197" t="str">
        <f>IF(N197=1,IF(P197=1,-M197,100)+O197+ROW()*0.000000000001,"")</f>
        <v/>
      </c>
    </row>
    <row r="198" spans="12:17" x14ac:dyDescent="0.3">
      <c r="L198">
        <v>8</v>
      </c>
      <c r="M198">
        <v>21</v>
      </c>
      <c r="N198">
        <f>IF(L198+M198-1&lt;=$J$2,1,0)</f>
        <v>0</v>
      </c>
      <c r="O198" t="str">
        <f>IF(N198=1,_xlfn.STDEV.S(INDEX($J$5:$J$34,L198):INDEX($J$5:$J$34,L198+M198-1))/AVERAGE(INDEX($J$5:$J$34,L198):INDEX($J$5:$J$34,L198+M198-1)),"")</f>
        <v/>
      </c>
      <c r="P198" t="str">
        <f>IF(N198=1,IF(O198&lt;=COMBINACIONES!$B$5,1,0),"")</f>
        <v/>
      </c>
      <c r="Q198" t="str">
        <f>IF(N198=1,IF(P198=1,-M198,100)+O198+ROW()*0.000000000001,"")</f>
        <v/>
      </c>
    </row>
    <row r="199" spans="12:17" x14ac:dyDescent="0.3">
      <c r="L199">
        <v>8</v>
      </c>
      <c r="M199">
        <v>22</v>
      </c>
      <c r="N199">
        <f>IF(L199+M199-1&lt;=$J$2,1,0)</f>
        <v>0</v>
      </c>
      <c r="O199" t="str">
        <f>IF(N199=1,_xlfn.STDEV.S(INDEX($J$5:$J$34,L199):INDEX($J$5:$J$34,L199+M199-1))/AVERAGE(INDEX($J$5:$J$34,L199):INDEX($J$5:$J$34,L199+M199-1)),"")</f>
        <v/>
      </c>
      <c r="P199" t="str">
        <f>IF(N199=1,IF(O199&lt;=COMBINACIONES!$B$5,1,0),"")</f>
        <v/>
      </c>
      <c r="Q199" t="str">
        <f>IF(N199=1,IF(P199=1,-M199,100)+O199+ROW()*0.000000000001,"")</f>
        <v/>
      </c>
    </row>
    <row r="200" spans="12:17" x14ac:dyDescent="0.3">
      <c r="L200">
        <v>8</v>
      </c>
      <c r="M200">
        <v>23</v>
      </c>
      <c r="N200">
        <f>IF(L200+M200-1&lt;=$J$2,1,0)</f>
        <v>0</v>
      </c>
      <c r="O200" t="str">
        <f>IF(N200=1,_xlfn.STDEV.S(INDEX($J$5:$J$34,L200):INDEX($J$5:$J$34,L200+M200-1))/AVERAGE(INDEX($J$5:$J$34,L200):INDEX($J$5:$J$34,L200+M200-1)),"")</f>
        <v/>
      </c>
      <c r="P200" t="str">
        <f>IF(N200=1,IF(O200&lt;=COMBINACIONES!$B$5,1,0),"")</f>
        <v/>
      </c>
      <c r="Q200" t="str">
        <f>IF(N200=1,IF(P200=1,-M200,100)+O200+ROW()*0.000000000001,"")</f>
        <v/>
      </c>
    </row>
    <row r="201" spans="12:17" x14ac:dyDescent="0.3">
      <c r="L201">
        <v>9</v>
      </c>
      <c r="M201">
        <v>3</v>
      </c>
      <c r="N201">
        <f>IF(L201+M201-1&lt;=$J$2,1,0)</f>
        <v>0</v>
      </c>
      <c r="O201" t="str">
        <f>IF(N201=1,_xlfn.STDEV.S(INDEX($J$5:$J$34,L201):INDEX($J$5:$J$34,L201+M201-1))/AVERAGE(INDEX($J$5:$J$34,L201):INDEX($J$5:$J$34,L201+M201-1)),"")</f>
        <v/>
      </c>
      <c r="P201" t="str">
        <f>IF(N201=1,IF(O201&lt;=COMBINACIONES!$B$5,1,0),"")</f>
        <v/>
      </c>
      <c r="Q201" t="str">
        <f>IF(N201=1,IF(P201=1,-M201,100)+O201+ROW()*0.000000000001,"")</f>
        <v/>
      </c>
    </row>
    <row r="202" spans="12:17" x14ac:dyDescent="0.3">
      <c r="L202">
        <v>9</v>
      </c>
      <c r="M202">
        <v>4</v>
      </c>
      <c r="N202">
        <f>IF(L202+M202-1&lt;=$J$2,1,0)</f>
        <v>0</v>
      </c>
      <c r="O202" t="str">
        <f>IF(N202=1,_xlfn.STDEV.S(INDEX($J$5:$J$34,L202):INDEX($J$5:$J$34,L202+M202-1))/AVERAGE(INDEX($J$5:$J$34,L202):INDEX($J$5:$J$34,L202+M202-1)),"")</f>
        <v/>
      </c>
      <c r="P202" t="str">
        <f>IF(N202=1,IF(O202&lt;=COMBINACIONES!$B$5,1,0),"")</f>
        <v/>
      </c>
      <c r="Q202" t="str">
        <f>IF(N202=1,IF(P202=1,-M202,100)+O202+ROW()*0.000000000001,"")</f>
        <v/>
      </c>
    </row>
    <row r="203" spans="12:17" x14ac:dyDescent="0.3">
      <c r="L203">
        <v>9</v>
      </c>
      <c r="M203">
        <v>5</v>
      </c>
      <c r="N203">
        <f>IF(L203+M203-1&lt;=$J$2,1,0)</f>
        <v>0</v>
      </c>
      <c r="O203" t="str">
        <f>IF(N203=1,_xlfn.STDEV.S(INDEX($J$5:$J$34,L203):INDEX($J$5:$J$34,L203+M203-1))/AVERAGE(INDEX($J$5:$J$34,L203):INDEX($J$5:$J$34,L203+M203-1)),"")</f>
        <v/>
      </c>
      <c r="P203" t="str">
        <f>IF(N203=1,IF(O203&lt;=COMBINACIONES!$B$5,1,0),"")</f>
        <v/>
      </c>
      <c r="Q203" t="str">
        <f>IF(N203=1,IF(P203=1,-M203,100)+O203+ROW()*0.000000000001,"")</f>
        <v/>
      </c>
    </row>
    <row r="204" spans="12:17" x14ac:dyDescent="0.3">
      <c r="L204">
        <v>9</v>
      </c>
      <c r="M204">
        <v>6</v>
      </c>
      <c r="N204">
        <f>IF(L204+M204-1&lt;=$J$2,1,0)</f>
        <v>0</v>
      </c>
      <c r="O204" t="str">
        <f>IF(N204=1,_xlfn.STDEV.S(INDEX($J$5:$J$34,L204):INDEX($J$5:$J$34,L204+M204-1))/AVERAGE(INDEX($J$5:$J$34,L204):INDEX($J$5:$J$34,L204+M204-1)),"")</f>
        <v/>
      </c>
      <c r="P204" t="str">
        <f>IF(N204=1,IF(O204&lt;=COMBINACIONES!$B$5,1,0),"")</f>
        <v/>
      </c>
      <c r="Q204" t="str">
        <f>IF(N204=1,IF(P204=1,-M204,100)+O204+ROW()*0.000000000001,"")</f>
        <v/>
      </c>
    </row>
    <row r="205" spans="12:17" x14ac:dyDescent="0.3">
      <c r="L205">
        <v>9</v>
      </c>
      <c r="M205">
        <v>7</v>
      </c>
      <c r="N205">
        <f>IF(L205+M205-1&lt;=$J$2,1,0)</f>
        <v>0</v>
      </c>
      <c r="O205" t="str">
        <f>IF(N205=1,_xlfn.STDEV.S(INDEX($J$5:$J$34,L205):INDEX($J$5:$J$34,L205+M205-1))/AVERAGE(INDEX($J$5:$J$34,L205):INDEX($J$5:$J$34,L205+M205-1)),"")</f>
        <v/>
      </c>
      <c r="P205" t="str">
        <f>IF(N205=1,IF(O205&lt;=COMBINACIONES!$B$5,1,0),"")</f>
        <v/>
      </c>
      <c r="Q205" t="str">
        <f>IF(N205=1,IF(P205=1,-M205,100)+O205+ROW()*0.000000000001,"")</f>
        <v/>
      </c>
    </row>
    <row r="206" spans="12:17" x14ac:dyDescent="0.3">
      <c r="L206">
        <v>9</v>
      </c>
      <c r="M206">
        <v>8</v>
      </c>
      <c r="N206">
        <f>IF(L206+M206-1&lt;=$J$2,1,0)</f>
        <v>0</v>
      </c>
      <c r="O206" t="str">
        <f>IF(N206=1,_xlfn.STDEV.S(INDEX($J$5:$J$34,L206):INDEX($J$5:$J$34,L206+M206-1))/AVERAGE(INDEX($J$5:$J$34,L206):INDEX($J$5:$J$34,L206+M206-1)),"")</f>
        <v/>
      </c>
      <c r="P206" t="str">
        <f>IF(N206=1,IF(O206&lt;=COMBINACIONES!$B$5,1,0),"")</f>
        <v/>
      </c>
      <c r="Q206" t="str">
        <f>IF(N206=1,IF(P206=1,-M206,100)+O206+ROW()*0.000000000001,"")</f>
        <v/>
      </c>
    </row>
    <row r="207" spans="12:17" x14ac:dyDescent="0.3">
      <c r="L207">
        <v>9</v>
      </c>
      <c r="M207">
        <v>9</v>
      </c>
      <c r="N207">
        <f>IF(L207+M207-1&lt;=$J$2,1,0)</f>
        <v>0</v>
      </c>
      <c r="O207" t="str">
        <f>IF(N207=1,_xlfn.STDEV.S(INDEX($J$5:$J$34,L207):INDEX($J$5:$J$34,L207+M207-1))/AVERAGE(INDEX($J$5:$J$34,L207):INDEX($J$5:$J$34,L207+M207-1)),"")</f>
        <v/>
      </c>
      <c r="P207" t="str">
        <f>IF(N207=1,IF(O207&lt;=COMBINACIONES!$B$5,1,0),"")</f>
        <v/>
      </c>
      <c r="Q207" t="str">
        <f>IF(N207=1,IF(P207=1,-M207,100)+O207+ROW()*0.000000000001,"")</f>
        <v/>
      </c>
    </row>
    <row r="208" spans="12:17" x14ac:dyDescent="0.3">
      <c r="L208">
        <v>9</v>
      </c>
      <c r="M208">
        <v>10</v>
      </c>
      <c r="N208">
        <f>IF(L208+M208-1&lt;=$J$2,1,0)</f>
        <v>0</v>
      </c>
      <c r="O208" t="str">
        <f>IF(N208=1,_xlfn.STDEV.S(INDEX($J$5:$J$34,L208):INDEX($J$5:$J$34,L208+M208-1))/AVERAGE(INDEX($J$5:$J$34,L208):INDEX($J$5:$J$34,L208+M208-1)),"")</f>
        <v/>
      </c>
      <c r="P208" t="str">
        <f>IF(N208=1,IF(O208&lt;=COMBINACIONES!$B$5,1,0),"")</f>
        <v/>
      </c>
      <c r="Q208" t="str">
        <f>IF(N208=1,IF(P208=1,-M208,100)+O208+ROW()*0.000000000001,"")</f>
        <v/>
      </c>
    </row>
    <row r="209" spans="12:17" x14ac:dyDescent="0.3">
      <c r="L209">
        <v>9</v>
      </c>
      <c r="M209">
        <v>11</v>
      </c>
      <c r="N209">
        <f>IF(L209+M209-1&lt;=$J$2,1,0)</f>
        <v>0</v>
      </c>
      <c r="O209" t="str">
        <f>IF(N209=1,_xlfn.STDEV.S(INDEX($J$5:$J$34,L209):INDEX($J$5:$J$34,L209+M209-1))/AVERAGE(INDEX($J$5:$J$34,L209):INDEX($J$5:$J$34,L209+M209-1)),"")</f>
        <v/>
      </c>
      <c r="P209" t="str">
        <f>IF(N209=1,IF(O209&lt;=COMBINACIONES!$B$5,1,0),"")</f>
        <v/>
      </c>
      <c r="Q209" t="str">
        <f>IF(N209=1,IF(P209=1,-M209,100)+O209+ROW()*0.000000000001,"")</f>
        <v/>
      </c>
    </row>
    <row r="210" spans="12:17" x14ac:dyDescent="0.3">
      <c r="L210">
        <v>9</v>
      </c>
      <c r="M210">
        <v>12</v>
      </c>
      <c r="N210">
        <f>IF(L210+M210-1&lt;=$J$2,1,0)</f>
        <v>0</v>
      </c>
      <c r="O210" t="str">
        <f>IF(N210=1,_xlfn.STDEV.S(INDEX($J$5:$J$34,L210):INDEX($J$5:$J$34,L210+M210-1))/AVERAGE(INDEX($J$5:$J$34,L210):INDEX($J$5:$J$34,L210+M210-1)),"")</f>
        <v/>
      </c>
      <c r="P210" t="str">
        <f>IF(N210=1,IF(O210&lt;=COMBINACIONES!$B$5,1,0),"")</f>
        <v/>
      </c>
      <c r="Q210" t="str">
        <f>IF(N210=1,IF(P210=1,-M210,100)+O210+ROW()*0.000000000001,"")</f>
        <v/>
      </c>
    </row>
    <row r="211" spans="12:17" x14ac:dyDescent="0.3">
      <c r="L211">
        <v>9</v>
      </c>
      <c r="M211">
        <v>13</v>
      </c>
      <c r="N211">
        <f>IF(L211+M211-1&lt;=$J$2,1,0)</f>
        <v>0</v>
      </c>
      <c r="O211" t="str">
        <f>IF(N211=1,_xlfn.STDEV.S(INDEX($J$5:$J$34,L211):INDEX($J$5:$J$34,L211+M211-1))/AVERAGE(INDEX($J$5:$J$34,L211):INDEX($J$5:$J$34,L211+M211-1)),"")</f>
        <v/>
      </c>
      <c r="P211" t="str">
        <f>IF(N211=1,IF(O211&lt;=COMBINACIONES!$B$5,1,0),"")</f>
        <v/>
      </c>
      <c r="Q211" t="str">
        <f>IF(N211=1,IF(P211=1,-M211,100)+O211+ROW()*0.000000000001,"")</f>
        <v/>
      </c>
    </row>
    <row r="212" spans="12:17" x14ac:dyDescent="0.3">
      <c r="L212">
        <v>9</v>
      </c>
      <c r="M212">
        <v>14</v>
      </c>
      <c r="N212">
        <f>IF(L212+M212-1&lt;=$J$2,1,0)</f>
        <v>0</v>
      </c>
      <c r="O212" t="str">
        <f>IF(N212=1,_xlfn.STDEV.S(INDEX($J$5:$J$34,L212):INDEX($J$5:$J$34,L212+M212-1))/AVERAGE(INDEX($J$5:$J$34,L212):INDEX($J$5:$J$34,L212+M212-1)),"")</f>
        <v/>
      </c>
      <c r="P212" t="str">
        <f>IF(N212=1,IF(O212&lt;=COMBINACIONES!$B$5,1,0),"")</f>
        <v/>
      </c>
      <c r="Q212" t="str">
        <f>IF(N212=1,IF(P212=1,-M212,100)+O212+ROW()*0.000000000001,"")</f>
        <v/>
      </c>
    </row>
    <row r="213" spans="12:17" x14ac:dyDescent="0.3">
      <c r="L213">
        <v>9</v>
      </c>
      <c r="M213">
        <v>15</v>
      </c>
      <c r="N213">
        <f>IF(L213+M213-1&lt;=$J$2,1,0)</f>
        <v>0</v>
      </c>
      <c r="O213" t="str">
        <f>IF(N213=1,_xlfn.STDEV.S(INDEX($J$5:$J$34,L213):INDEX($J$5:$J$34,L213+M213-1))/AVERAGE(INDEX($J$5:$J$34,L213):INDEX($J$5:$J$34,L213+M213-1)),"")</f>
        <v/>
      </c>
      <c r="P213" t="str">
        <f>IF(N213=1,IF(O213&lt;=COMBINACIONES!$B$5,1,0),"")</f>
        <v/>
      </c>
      <c r="Q213" t="str">
        <f>IF(N213=1,IF(P213=1,-M213,100)+O213+ROW()*0.000000000001,"")</f>
        <v/>
      </c>
    </row>
    <row r="214" spans="12:17" x14ac:dyDescent="0.3">
      <c r="L214">
        <v>9</v>
      </c>
      <c r="M214">
        <v>16</v>
      </c>
      <c r="N214">
        <f>IF(L214+M214-1&lt;=$J$2,1,0)</f>
        <v>0</v>
      </c>
      <c r="O214" t="str">
        <f>IF(N214=1,_xlfn.STDEV.S(INDEX($J$5:$J$34,L214):INDEX($J$5:$J$34,L214+M214-1))/AVERAGE(INDEX($J$5:$J$34,L214):INDEX($J$5:$J$34,L214+M214-1)),"")</f>
        <v/>
      </c>
      <c r="P214" t="str">
        <f>IF(N214=1,IF(O214&lt;=COMBINACIONES!$B$5,1,0),"")</f>
        <v/>
      </c>
      <c r="Q214" t="str">
        <f>IF(N214=1,IF(P214=1,-M214,100)+O214+ROW()*0.000000000001,"")</f>
        <v/>
      </c>
    </row>
    <row r="215" spans="12:17" x14ac:dyDescent="0.3">
      <c r="L215">
        <v>9</v>
      </c>
      <c r="M215">
        <v>17</v>
      </c>
      <c r="N215">
        <f>IF(L215+M215-1&lt;=$J$2,1,0)</f>
        <v>0</v>
      </c>
      <c r="O215" t="str">
        <f>IF(N215=1,_xlfn.STDEV.S(INDEX($J$5:$J$34,L215):INDEX($J$5:$J$34,L215+M215-1))/AVERAGE(INDEX($J$5:$J$34,L215):INDEX($J$5:$J$34,L215+M215-1)),"")</f>
        <v/>
      </c>
      <c r="P215" t="str">
        <f>IF(N215=1,IF(O215&lt;=COMBINACIONES!$B$5,1,0),"")</f>
        <v/>
      </c>
      <c r="Q215" t="str">
        <f>IF(N215=1,IF(P215=1,-M215,100)+O215+ROW()*0.000000000001,"")</f>
        <v/>
      </c>
    </row>
    <row r="216" spans="12:17" x14ac:dyDescent="0.3">
      <c r="L216">
        <v>9</v>
      </c>
      <c r="M216">
        <v>18</v>
      </c>
      <c r="N216">
        <f>IF(L216+M216-1&lt;=$J$2,1,0)</f>
        <v>0</v>
      </c>
      <c r="O216" t="str">
        <f>IF(N216=1,_xlfn.STDEV.S(INDEX($J$5:$J$34,L216):INDEX($J$5:$J$34,L216+M216-1))/AVERAGE(INDEX($J$5:$J$34,L216):INDEX($J$5:$J$34,L216+M216-1)),"")</f>
        <v/>
      </c>
      <c r="P216" t="str">
        <f>IF(N216=1,IF(O216&lt;=COMBINACIONES!$B$5,1,0),"")</f>
        <v/>
      </c>
      <c r="Q216" t="str">
        <f>IF(N216=1,IF(P216=1,-M216,100)+O216+ROW()*0.000000000001,"")</f>
        <v/>
      </c>
    </row>
    <row r="217" spans="12:17" x14ac:dyDescent="0.3">
      <c r="L217">
        <v>9</v>
      </c>
      <c r="M217">
        <v>19</v>
      </c>
      <c r="N217">
        <f>IF(L217+M217-1&lt;=$J$2,1,0)</f>
        <v>0</v>
      </c>
      <c r="O217" t="str">
        <f>IF(N217=1,_xlfn.STDEV.S(INDEX($J$5:$J$34,L217):INDEX($J$5:$J$34,L217+M217-1))/AVERAGE(INDEX($J$5:$J$34,L217):INDEX($J$5:$J$34,L217+M217-1)),"")</f>
        <v/>
      </c>
      <c r="P217" t="str">
        <f>IF(N217=1,IF(O217&lt;=COMBINACIONES!$B$5,1,0),"")</f>
        <v/>
      </c>
      <c r="Q217" t="str">
        <f>IF(N217=1,IF(P217=1,-M217,100)+O217+ROW()*0.000000000001,"")</f>
        <v/>
      </c>
    </row>
    <row r="218" spans="12:17" x14ac:dyDescent="0.3">
      <c r="L218">
        <v>9</v>
      </c>
      <c r="M218">
        <v>20</v>
      </c>
      <c r="N218">
        <f>IF(L218+M218-1&lt;=$J$2,1,0)</f>
        <v>0</v>
      </c>
      <c r="O218" t="str">
        <f>IF(N218=1,_xlfn.STDEV.S(INDEX($J$5:$J$34,L218):INDEX($J$5:$J$34,L218+M218-1))/AVERAGE(INDEX($J$5:$J$34,L218):INDEX($J$5:$J$34,L218+M218-1)),"")</f>
        <v/>
      </c>
      <c r="P218" t="str">
        <f>IF(N218=1,IF(O218&lt;=COMBINACIONES!$B$5,1,0),"")</f>
        <v/>
      </c>
      <c r="Q218" t="str">
        <f>IF(N218=1,IF(P218=1,-M218,100)+O218+ROW()*0.000000000001,"")</f>
        <v/>
      </c>
    </row>
    <row r="219" spans="12:17" x14ac:dyDescent="0.3">
      <c r="L219">
        <v>9</v>
      </c>
      <c r="M219">
        <v>21</v>
      </c>
      <c r="N219">
        <f>IF(L219+M219-1&lt;=$J$2,1,0)</f>
        <v>0</v>
      </c>
      <c r="O219" t="str">
        <f>IF(N219=1,_xlfn.STDEV.S(INDEX($J$5:$J$34,L219):INDEX($J$5:$J$34,L219+M219-1))/AVERAGE(INDEX($J$5:$J$34,L219):INDEX($J$5:$J$34,L219+M219-1)),"")</f>
        <v/>
      </c>
      <c r="P219" t="str">
        <f>IF(N219=1,IF(O219&lt;=COMBINACIONES!$B$5,1,0),"")</f>
        <v/>
      </c>
      <c r="Q219" t="str">
        <f>IF(N219=1,IF(P219=1,-M219,100)+O219+ROW()*0.000000000001,"")</f>
        <v/>
      </c>
    </row>
    <row r="220" spans="12:17" x14ac:dyDescent="0.3">
      <c r="L220">
        <v>9</v>
      </c>
      <c r="M220">
        <v>22</v>
      </c>
      <c r="N220">
        <f>IF(L220+M220-1&lt;=$J$2,1,0)</f>
        <v>0</v>
      </c>
      <c r="O220" t="str">
        <f>IF(N220=1,_xlfn.STDEV.S(INDEX($J$5:$J$34,L220):INDEX($J$5:$J$34,L220+M220-1))/AVERAGE(INDEX($J$5:$J$34,L220):INDEX($J$5:$J$34,L220+M220-1)),"")</f>
        <v/>
      </c>
      <c r="P220" t="str">
        <f>IF(N220=1,IF(O220&lt;=COMBINACIONES!$B$5,1,0),"")</f>
        <v/>
      </c>
      <c r="Q220" t="str">
        <f>IF(N220=1,IF(P220=1,-M220,100)+O220+ROW()*0.000000000001,"")</f>
        <v/>
      </c>
    </row>
    <row r="221" spans="12:17" x14ac:dyDescent="0.3">
      <c r="L221">
        <v>10</v>
      </c>
      <c r="M221">
        <v>3</v>
      </c>
      <c r="N221">
        <f>IF(L221+M221-1&lt;=$J$2,1,0)</f>
        <v>0</v>
      </c>
      <c r="O221" t="str">
        <f>IF(N221=1,_xlfn.STDEV.S(INDEX($J$5:$J$34,L221):INDEX($J$5:$J$34,L221+M221-1))/AVERAGE(INDEX($J$5:$J$34,L221):INDEX($J$5:$J$34,L221+M221-1)),"")</f>
        <v/>
      </c>
      <c r="P221" t="str">
        <f>IF(N221=1,IF(O221&lt;=COMBINACIONES!$B$5,1,0),"")</f>
        <v/>
      </c>
      <c r="Q221" t="str">
        <f>IF(N221=1,IF(P221=1,-M221,100)+O221+ROW()*0.000000000001,"")</f>
        <v/>
      </c>
    </row>
    <row r="222" spans="12:17" x14ac:dyDescent="0.3">
      <c r="L222">
        <v>10</v>
      </c>
      <c r="M222">
        <v>4</v>
      </c>
      <c r="N222">
        <f>IF(L222+M222-1&lt;=$J$2,1,0)</f>
        <v>0</v>
      </c>
      <c r="O222" t="str">
        <f>IF(N222=1,_xlfn.STDEV.S(INDEX($J$5:$J$34,L222):INDEX($J$5:$J$34,L222+M222-1))/AVERAGE(INDEX($J$5:$J$34,L222):INDEX($J$5:$J$34,L222+M222-1)),"")</f>
        <v/>
      </c>
      <c r="P222" t="str">
        <f>IF(N222=1,IF(O222&lt;=COMBINACIONES!$B$5,1,0),"")</f>
        <v/>
      </c>
      <c r="Q222" t="str">
        <f>IF(N222=1,IF(P222=1,-M222,100)+O222+ROW()*0.000000000001,"")</f>
        <v/>
      </c>
    </row>
    <row r="223" spans="12:17" x14ac:dyDescent="0.3">
      <c r="L223">
        <v>10</v>
      </c>
      <c r="M223">
        <v>5</v>
      </c>
      <c r="N223">
        <f>IF(L223+M223-1&lt;=$J$2,1,0)</f>
        <v>0</v>
      </c>
      <c r="O223" t="str">
        <f>IF(N223=1,_xlfn.STDEV.S(INDEX($J$5:$J$34,L223):INDEX($J$5:$J$34,L223+M223-1))/AVERAGE(INDEX($J$5:$J$34,L223):INDEX($J$5:$J$34,L223+M223-1)),"")</f>
        <v/>
      </c>
      <c r="P223" t="str">
        <f>IF(N223=1,IF(O223&lt;=COMBINACIONES!$B$5,1,0),"")</f>
        <v/>
      </c>
      <c r="Q223" t="str">
        <f>IF(N223=1,IF(P223=1,-M223,100)+O223+ROW()*0.000000000001,"")</f>
        <v/>
      </c>
    </row>
    <row r="224" spans="12:17" x14ac:dyDescent="0.3">
      <c r="L224">
        <v>10</v>
      </c>
      <c r="M224">
        <v>6</v>
      </c>
      <c r="N224">
        <f>IF(L224+M224-1&lt;=$J$2,1,0)</f>
        <v>0</v>
      </c>
      <c r="O224" t="str">
        <f>IF(N224=1,_xlfn.STDEV.S(INDEX($J$5:$J$34,L224):INDEX($J$5:$J$34,L224+M224-1))/AVERAGE(INDEX($J$5:$J$34,L224):INDEX($J$5:$J$34,L224+M224-1)),"")</f>
        <v/>
      </c>
      <c r="P224" t="str">
        <f>IF(N224=1,IF(O224&lt;=COMBINACIONES!$B$5,1,0),"")</f>
        <v/>
      </c>
      <c r="Q224" t="str">
        <f>IF(N224=1,IF(P224=1,-M224,100)+O224+ROW()*0.000000000001,"")</f>
        <v/>
      </c>
    </row>
    <row r="225" spans="12:17" x14ac:dyDescent="0.3">
      <c r="L225">
        <v>10</v>
      </c>
      <c r="M225">
        <v>7</v>
      </c>
      <c r="N225">
        <f>IF(L225+M225-1&lt;=$J$2,1,0)</f>
        <v>0</v>
      </c>
      <c r="O225" t="str">
        <f>IF(N225=1,_xlfn.STDEV.S(INDEX($J$5:$J$34,L225):INDEX($J$5:$J$34,L225+M225-1))/AVERAGE(INDEX($J$5:$J$34,L225):INDEX($J$5:$J$34,L225+M225-1)),"")</f>
        <v/>
      </c>
      <c r="P225" t="str">
        <f>IF(N225=1,IF(O225&lt;=COMBINACIONES!$B$5,1,0),"")</f>
        <v/>
      </c>
      <c r="Q225" t="str">
        <f>IF(N225=1,IF(P225=1,-M225,100)+O225+ROW()*0.000000000001,"")</f>
        <v/>
      </c>
    </row>
    <row r="226" spans="12:17" x14ac:dyDescent="0.3">
      <c r="L226">
        <v>10</v>
      </c>
      <c r="M226">
        <v>8</v>
      </c>
      <c r="N226">
        <f>IF(L226+M226-1&lt;=$J$2,1,0)</f>
        <v>0</v>
      </c>
      <c r="O226" t="str">
        <f>IF(N226=1,_xlfn.STDEV.S(INDEX($J$5:$J$34,L226):INDEX($J$5:$J$34,L226+M226-1))/AVERAGE(INDEX($J$5:$J$34,L226):INDEX($J$5:$J$34,L226+M226-1)),"")</f>
        <v/>
      </c>
      <c r="P226" t="str">
        <f>IF(N226=1,IF(O226&lt;=COMBINACIONES!$B$5,1,0),"")</f>
        <v/>
      </c>
      <c r="Q226" t="str">
        <f>IF(N226=1,IF(P226=1,-M226,100)+O226+ROW()*0.000000000001,"")</f>
        <v/>
      </c>
    </row>
    <row r="227" spans="12:17" x14ac:dyDescent="0.3">
      <c r="L227">
        <v>10</v>
      </c>
      <c r="M227">
        <v>9</v>
      </c>
      <c r="N227">
        <f>IF(L227+M227-1&lt;=$J$2,1,0)</f>
        <v>0</v>
      </c>
      <c r="O227" t="str">
        <f>IF(N227=1,_xlfn.STDEV.S(INDEX($J$5:$J$34,L227):INDEX($J$5:$J$34,L227+M227-1))/AVERAGE(INDEX($J$5:$J$34,L227):INDEX($J$5:$J$34,L227+M227-1)),"")</f>
        <v/>
      </c>
      <c r="P227" t="str">
        <f>IF(N227=1,IF(O227&lt;=COMBINACIONES!$B$5,1,0),"")</f>
        <v/>
      </c>
      <c r="Q227" t="str">
        <f>IF(N227=1,IF(P227=1,-M227,100)+O227+ROW()*0.000000000001,"")</f>
        <v/>
      </c>
    </row>
    <row r="228" spans="12:17" x14ac:dyDescent="0.3">
      <c r="L228">
        <v>10</v>
      </c>
      <c r="M228">
        <v>10</v>
      </c>
      <c r="N228">
        <f>IF(L228+M228-1&lt;=$J$2,1,0)</f>
        <v>0</v>
      </c>
      <c r="O228" t="str">
        <f>IF(N228=1,_xlfn.STDEV.S(INDEX($J$5:$J$34,L228):INDEX($J$5:$J$34,L228+M228-1))/AVERAGE(INDEX($J$5:$J$34,L228):INDEX($J$5:$J$34,L228+M228-1)),"")</f>
        <v/>
      </c>
      <c r="P228" t="str">
        <f>IF(N228=1,IF(O228&lt;=COMBINACIONES!$B$5,1,0),"")</f>
        <v/>
      </c>
      <c r="Q228" t="str">
        <f>IF(N228=1,IF(P228=1,-M228,100)+O228+ROW()*0.000000000001,"")</f>
        <v/>
      </c>
    </row>
    <row r="229" spans="12:17" x14ac:dyDescent="0.3">
      <c r="L229">
        <v>10</v>
      </c>
      <c r="M229">
        <v>11</v>
      </c>
      <c r="N229">
        <f>IF(L229+M229-1&lt;=$J$2,1,0)</f>
        <v>0</v>
      </c>
      <c r="O229" t="str">
        <f>IF(N229=1,_xlfn.STDEV.S(INDEX($J$5:$J$34,L229):INDEX($J$5:$J$34,L229+M229-1))/AVERAGE(INDEX($J$5:$J$34,L229):INDEX($J$5:$J$34,L229+M229-1)),"")</f>
        <v/>
      </c>
      <c r="P229" t="str">
        <f>IF(N229=1,IF(O229&lt;=COMBINACIONES!$B$5,1,0),"")</f>
        <v/>
      </c>
      <c r="Q229" t="str">
        <f>IF(N229=1,IF(P229=1,-M229,100)+O229+ROW()*0.000000000001,"")</f>
        <v/>
      </c>
    </row>
    <row r="230" spans="12:17" x14ac:dyDescent="0.3">
      <c r="L230">
        <v>10</v>
      </c>
      <c r="M230">
        <v>12</v>
      </c>
      <c r="N230">
        <f>IF(L230+M230-1&lt;=$J$2,1,0)</f>
        <v>0</v>
      </c>
      <c r="O230" t="str">
        <f>IF(N230=1,_xlfn.STDEV.S(INDEX($J$5:$J$34,L230):INDEX($J$5:$J$34,L230+M230-1))/AVERAGE(INDEX($J$5:$J$34,L230):INDEX($J$5:$J$34,L230+M230-1)),"")</f>
        <v/>
      </c>
      <c r="P230" t="str">
        <f>IF(N230=1,IF(O230&lt;=COMBINACIONES!$B$5,1,0),"")</f>
        <v/>
      </c>
      <c r="Q230" t="str">
        <f>IF(N230=1,IF(P230=1,-M230,100)+O230+ROW()*0.000000000001,"")</f>
        <v/>
      </c>
    </row>
    <row r="231" spans="12:17" x14ac:dyDescent="0.3">
      <c r="L231">
        <v>10</v>
      </c>
      <c r="M231">
        <v>13</v>
      </c>
      <c r="N231">
        <f>IF(L231+M231-1&lt;=$J$2,1,0)</f>
        <v>0</v>
      </c>
      <c r="O231" t="str">
        <f>IF(N231=1,_xlfn.STDEV.S(INDEX($J$5:$J$34,L231):INDEX($J$5:$J$34,L231+M231-1))/AVERAGE(INDEX($J$5:$J$34,L231):INDEX($J$5:$J$34,L231+M231-1)),"")</f>
        <v/>
      </c>
      <c r="P231" t="str">
        <f>IF(N231=1,IF(O231&lt;=COMBINACIONES!$B$5,1,0),"")</f>
        <v/>
      </c>
      <c r="Q231" t="str">
        <f>IF(N231=1,IF(P231=1,-M231,100)+O231+ROW()*0.000000000001,"")</f>
        <v/>
      </c>
    </row>
    <row r="232" spans="12:17" x14ac:dyDescent="0.3">
      <c r="L232">
        <v>10</v>
      </c>
      <c r="M232">
        <v>14</v>
      </c>
      <c r="N232">
        <f>IF(L232+M232-1&lt;=$J$2,1,0)</f>
        <v>0</v>
      </c>
      <c r="O232" t="str">
        <f>IF(N232=1,_xlfn.STDEV.S(INDEX($J$5:$J$34,L232):INDEX($J$5:$J$34,L232+M232-1))/AVERAGE(INDEX($J$5:$J$34,L232):INDEX($J$5:$J$34,L232+M232-1)),"")</f>
        <v/>
      </c>
      <c r="P232" t="str">
        <f>IF(N232=1,IF(O232&lt;=COMBINACIONES!$B$5,1,0),"")</f>
        <v/>
      </c>
      <c r="Q232" t="str">
        <f>IF(N232=1,IF(P232=1,-M232,100)+O232+ROW()*0.000000000001,"")</f>
        <v/>
      </c>
    </row>
    <row r="233" spans="12:17" x14ac:dyDescent="0.3">
      <c r="L233">
        <v>10</v>
      </c>
      <c r="M233">
        <v>15</v>
      </c>
      <c r="N233">
        <f>IF(L233+M233-1&lt;=$J$2,1,0)</f>
        <v>0</v>
      </c>
      <c r="O233" t="str">
        <f>IF(N233=1,_xlfn.STDEV.S(INDEX($J$5:$J$34,L233):INDEX($J$5:$J$34,L233+M233-1))/AVERAGE(INDEX($J$5:$J$34,L233):INDEX($J$5:$J$34,L233+M233-1)),"")</f>
        <v/>
      </c>
      <c r="P233" t="str">
        <f>IF(N233=1,IF(O233&lt;=COMBINACIONES!$B$5,1,0),"")</f>
        <v/>
      </c>
      <c r="Q233" t="str">
        <f>IF(N233=1,IF(P233=1,-M233,100)+O233+ROW()*0.000000000001,"")</f>
        <v/>
      </c>
    </row>
    <row r="234" spans="12:17" x14ac:dyDescent="0.3">
      <c r="L234">
        <v>10</v>
      </c>
      <c r="M234">
        <v>16</v>
      </c>
      <c r="N234">
        <f>IF(L234+M234-1&lt;=$J$2,1,0)</f>
        <v>0</v>
      </c>
      <c r="O234" t="str">
        <f>IF(N234=1,_xlfn.STDEV.S(INDEX($J$5:$J$34,L234):INDEX($J$5:$J$34,L234+M234-1))/AVERAGE(INDEX($J$5:$J$34,L234):INDEX($J$5:$J$34,L234+M234-1)),"")</f>
        <v/>
      </c>
      <c r="P234" t="str">
        <f>IF(N234=1,IF(O234&lt;=COMBINACIONES!$B$5,1,0),"")</f>
        <v/>
      </c>
      <c r="Q234" t="str">
        <f>IF(N234=1,IF(P234=1,-M234,100)+O234+ROW()*0.000000000001,"")</f>
        <v/>
      </c>
    </row>
    <row r="235" spans="12:17" x14ac:dyDescent="0.3">
      <c r="L235">
        <v>10</v>
      </c>
      <c r="M235">
        <v>17</v>
      </c>
      <c r="N235">
        <f>IF(L235+M235-1&lt;=$J$2,1,0)</f>
        <v>0</v>
      </c>
      <c r="O235" t="str">
        <f>IF(N235=1,_xlfn.STDEV.S(INDEX($J$5:$J$34,L235):INDEX($J$5:$J$34,L235+M235-1))/AVERAGE(INDEX($J$5:$J$34,L235):INDEX($J$5:$J$34,L235+M235-1)),"")</f>
        <v/>
      </c>
      <c r="P235" t="str">
        <f>IF(N235=1,IF(O235&lt;=COMBINACIONES!$B$5,1,0),"")</f>
        <v/>
      </c>
      <c r="Q235" t="str">
        <f>IF(N235=1,IF(P235=1,-M235,100)+O235+ROW()*0.000000000001,"")</f>
        <v/>
      </c>
    </row>
    <row r="236" spans="12:17" x14ac:dyDescent="0.3">
      <c r="L236">
        <v>10</v>
      </c>
      <c r="M236">
        <v>18</v>
      </c>
      <c r="N236">
        <f>IF(L236+M236-1&lt;=$J$2,1,0)</f>
        <v>0</v>
      </c>
      <c r="O236" t="str">
        <f>IF(N236=1,_xlfn.STDEV.S(INDEX($J$5:$J$34,L236):INDEX($J$5:$J$34,L236+M236-1))/AVERAGE(INDEX($J$5:$J$34,L236):INDEX($J$5:$J$34,L236+M236-1)),"")</f>
        <v/>
      </c>
      <c r="P236" t="str">
        <f>IF(N236=1,IF(O236&lt;=COMBINACIONES!$B$5,1,0),"")</f>
        <v/>
      </c>
      <c r="Q236" t="str">
        <f>IF(N236=1,IF(P236=1,-M236,100)+O236+ROW()*0.000000000001,"")</f>
        <v/>
      </c>
    </row>
    <row r="237" spans="12:17" x14ac:dyDescent="0.3">
      <c r="L237">
        <v>10</v>
      </c>
      <c r="M237">
        <v>19</v>
      </c>
      <c r="N237">
        <f>IF(L237+M237-1&lt;=$J$2,1,0)</f>
        <v>0</v>
      </c>
      <c r="O237" t="str">
        <f>IF(N237=1,_xlfn.STDEV.S(INDEX($J$5:$J$34,L237):INDEX($J$5:$J$34,L237+M237-1))/AVERAGE(INDEX($J$5:$J$34,L237):INDEX($J$5:$J$34,L237+M237-1)),"")</f>
        <v/>
      </c>
      <c r="P237" t="str">
        <f>IF(N237=1,IF(O237&lt;=COMBINACIONES!$B$5,1,0),"")</f>
        <v/>
      </c>
      <c r="Q237" t="str">
        <f>IF(N237=1,IF(P237=1,-M237,100)+O237+ROW()*0.000000000001,"")</f>
        <v/>
      </c>
    </row>
    <row r="238" spans="12:17" x14ac:dyDescent="0.3">
      <c r="L238">
        <v>10</v>
      </c>
      <c r="M238">
        <v>20</v>
      </c>
      <c r="N238">
        <f>IF(L238+M238-1&lt;=$J$2,1,0)</f>
        <v>0</v>
      </c>
      <c r="O238" t="str">
        <f>IF(N238=1,_xlfn.STDEV.S(INDEX($J$5:$J$34,L238):INDEX($J$5:$J$34,L238+M238-1))/AVERAGE(INDEX($J$5:$J$34,L238):INDEX($J$5:$J$34,L238+M238-1)),"")</f>
        <v/>
      </c>
      <c r="P238" t="str">
        <f>IF(N238=1,IF(O238&lt;=COMBINACIONES!$B$5,1,0),"")</f>
        <v/>
      </c>
      <c r="Q238" t="str">
        <f>IF(N238=1,IF(P238=1,-M238,100)+O238+ROW()*0.000000000001,"")</f>
        <v/>
      </c>
    </row>
    <row r="239" spans="12:17" x14ac:dyDescent="0.3">
      <c r="L239">
        <v>10</v>
      </c>
      <c r="M239">
        <v>21</v>
      </c>
      <c r="N239">
        <f>IF(L239+M239-1&lt;=$J$2,1,0)</f>
        <v>0</v>
      </c>
      <c r="O239" t="str">
        <f>IF(N239=1,_xlfn.STDEV.S(INDEX($J$5:$J$34,L239):INDEX($J$5:$J$34,L239+M239-1))/AVERAGE(INDEX($J$5:$J$34,L239):INDEX($J$5:$J$34,L239+M239-1)),"")</f>
        <v/>
      </c>
      <c r="P239" t="str">
        <f>IF(N239=1,IF(O239&lt;=COMBINACIONES!$B$5,1,0),"")</f>
        <v/>
      </c>
      <c r="Q239" t="str">
        <f>IF(N239=1,IF(P239=1,-M239,100)+O239+ROW()*0.000000000001,"")</f>
        <v/>
      </c>
    </row>
    <row r="240" spans="12:17" x14ac:dyDescent="0.3">
      <c r="L240">
        <v>11</v>
      </c>
      <c r="M240">
        <v>3</v>
      </c>
      <c r="N240">
        <f>IF(L240+M240-1&lt;=$J$2,1,0)</f>
        <v>0</v>
      </c>
      <c r="O240" t="str">
        <f>IF(N240=1,_xlfn.STDEV.S(INDEX($J$5:$J$34,L240):INDEX($J$5:$J$34,L240+M240-1))/AVERAGE(INDEX($J$5:$J$34,L240):INDEX($J$5:$J$34,L240+M240-1)),"")</f>
        <v/>
      </c>
      <c r="P240" t="str">
        <f>IF(N240=1,IF(O240&lt;=COMBINACIONES!$B$5,1,0),"")</f>
        <v/>
      </c>
      <c r="Q240" t="str">
        <f>IF(N240=1,IF(P240=1,-M240,100)+O240+ROW()*0.000000000001,"")</f>
        <v/>
      </c>
    </row>
    <row r="241" spans="12:17" x14ac:dyDescent="0.3">
      <c r="L241">
        <v>11</v>
      </c>
      <c r="M241">
        <v>4</v>
      </c>
      <c r="N241">
        <f>IF(L241+M241-1&lt;=$J$2,1,0)</f>
        <v>0</v>
      </c>
      <c r="O241" t="str">
        <f>IF(N241=1,_xlfn.STDEV.S(INDEX($J$5:$J$34,L241):INDEX($J$5:$J$34,L241+M241-1))/AVERAGE(INDEX($J$5:$J$34,L241):INDEX($J$5:$J$34,L241+M241-1)),"")</f>
        <v/>
      </c>
      <c r="P241" t="str">
        <f>IF(N241=1,IF(O241&lt;=COMBINACIONES!$B$5,1,0),"")</f>
        <v/>
      </c>
      <c r="Q241" t="str">
        <f>IF(N241=1,IF(P241=1,-M241,100)+O241+ROW()*0.000000000001,"")</f>
        <v/>
      </c>
    </row>
    <row r="242" spans="12:17" x14ac:dyDescent="0.3">
      <c r="L242">
        <v>11</v>
      </c>
      <c r="M242">
        <v>5</v>
      </c>
      <c r="N242">
        <f>IF(L242+M242-1&lt;=$J$2,1,0)</f>
        <v>0</v>
      </c>
      <c r="O242" t="str">
        <f>IF(N242=1,_xlfn.STDEV.S(INDEX($J$5:$J$34,L242):INDEX($J$5:$J$34,L242+M242-1))/AVERAGE(INDEX($J$5:$J$34,L242):INDEX($J$5:$J$34,L242+M242-1)),"")</f>
        <v/>
      </c>
      <c r="P242" t="str">
        <f>IF(N242=1,IF(O242&lt;=COMBINACIONES!$B$5,1,0),"")</f>
        <v/>
      </c>
      <c r="Q242" t="str">
        <f>IF(N242=1,IF(P242=1,-M242,100)+O242+ROW()*0.000000000001,"")</f>
        <v/>
      </c>
    </row>
    <row r="243" spans="12:17" x14ac:dyDescent="0.3">
      <c r="L243">
        <v>11</v>
      </c>
      <c r="M243">
        <v>6</v>
      </c>
      <c r="N243">
        <f>IF(L243+M243-1&lt;=$J$2,1,0)</f>
        <v>0</v>
      </c>
      <c r="O243" t="str">
        <f>IF(N243=1,_xlfn.STDEV.S(INDEX($J$5:$J$34,L243):INDEX($J$5:$J$34,L243+M243-1))/AVERAGE(INDEX($J$5:$J$34,L243):INDEX($J$5:$J$34,L243+M243-1)),"")</f>
        <v/>
      </c>
      <c r="P243" t="str">
        <f>IF(N243=1,IF(O243&lt;=COMBINACIONES!$B$5,1,0),"")</f>
        <v/>
      </c>
      <c r="Q243" t="str">
        <f>IF(N243=1,IF(P243=1,-M243,100)+O243+ROW()*0.000000000001,"")</f>
        <v/>
      </c>
    </row>
    <row r="244" spans="12:17" x14ac:dyDescent="0.3">
      <c r="L244">
        <v>11</v>
      </c>
      <c r="M244">
        <v>7</v>
      </c>
      <c r="N244">
        <f>IF(L244+M244-1&lt;=$J$2,1,0)</f>
        <v>0</v>
      </c>
      <c r="O244" t="str">
        <f>IF(N244=1,_xlfn.STDEV.S(INDEX($J$5:$J$34,L244):INDEX($J$5:$J$34,L244+M244-1))/AVERAGE(INDEX($J$5:$J$34,L244):INDEX($J$5:$J$34,L244+M244-1)),"")</f>
        <v/>
      </c>
      <c r="P244" t="str">
        <f>IF(N244=1,IF(O244&lt;=COMBINACIONES!$B$5,1,0),"")</f>
        <v/>
      </c>
      <c r="Q244" t="str">
        <f>IF(N244=1,IF(P244=1,-M244,100)+O244+ROW()*0.000000000001,"")</f>
        <v/>
      </c>
    </row>
    <row r="245" spans="12:17" x14ac:dyDescent="0.3">
      <c r="L245">
        <v>11</v>
      </c>
      <c r="M245">
        <v>8</v>
      </c>
      <c r="N245">
        <f>IF(L245+M245-1&lt;=$J$2,1,0)</f>
        <v>0</v>
      </c>
      <c r="O245" t="str">
        <f>IF(N245=1,_xlfn.STDEV.S(INDEX($J$5:$J$34,L245):INDEX($J$5:$J$34,L245+M245-1))/AVERAGE(INDEX($J$5:$J$34,L245):INDEX($J$5:$J$34,L245+M245-1)),"")</f>
        <v/>
      </c>
      <c r="P245" t="str">
        <f>IF(N245=1,IF(O245&lt;=COMBINACIONES!$B$5,1,0),"")</f>
        <v/>
      </c>
      <c r="Q245" t="str">
        <f>IF(N245=1,IF(P245=1,-M245,100)+O245+ROW()*0.000000000001,"")</f>
        <v/>
      </c>
    </row>
    <row r="246" spans="12:17" x14ac:dyDescent="0.3">
      <c r="L246">
        <v>11</v>
      </c>
      <c r="M246">
        <v>9</v>
      </c>
      <c r="N246">
        <f>IF(L246+M246-1&lt;=$J$2,1,0)</f>
        <v>0</v>
      </c>
      <c r="O246" t="str">
        <f>IF(N246=1,_xlfn.STDEV.S(INDEX($J$5:$J$34,L246):INDEX($J$5:$J$34,L246+M246-1))/AVERAGE(INDEX($J$5:$J$34,L246):INDEX($J$5:$J$34,L246+M246-1)),"")</f>
        <v/>
      </c>
      <c r="P246" t="str">
        <f>IF(N246=1,IF(O246&lt;=COMBINACIONES!$B$5,1,0),"")</f>
        <v/>
      </c>
      <c r="Q246" t="str">
        <f>IF(N246=1,IF(P246=1,-M246,100)+O246+ROW()*0.000000000001,"")</f>
        <v/>
      </c>
    </row>
    <row r="247" spans="12:17" x14ac:dyDescent="0.3">
      <c r="L247">
        <v>11</v>
      </c>
      <c r="M247">
        <v>10</v>
      </c>
      <c r="N247">
        <f>IF(L247+M247-1&lt;=$J$2,1,0)</f>
        <v>0</v>
      </c>
      <c r="O247" t="str">
        <f>IF(N247=1,_xlfn.STDEV.S(INDEX($J$5:$J$34,L247):INDEX($J$5:$J$34,L247+M247-1))/AVERAGE(INDEX($J$5:$J$34,L247):INDEX($J$5:$J$34,L247+M247-1)),"")</f>
        <v/>
      </c>
      <c r="P247" t="str">
        <f>IF(N247=1,IF(O247&lt;=COMBINACIONES!$B$5,1,0),"")</f>
        <v/>
      </c>
      <c r="Q247" t="str">
        <f>IF(N247=1,IF(P247=1,-M247,100)+O247+ROW()*0.000000000001,"")</f>
        <v/>
      </c>
    </row>
    <row r="248" spans="12:17" x14ac:dyDescent="0.3">
      <c r="L248">
        <v>11</v>
      </c>
      <c r="M248">
        <v>11</v>
      </c>
      <c r="N248">
        <f>IF(L248+M248-1&lt;=$J$2,1,0)</f>
        <v>0</v>
      </c>
      <c r="O248" t="str">
        <f>IF(N248=1,_xlfn.STDEV.S(INDEX($J$5:$J$34,L248):INDEX($J$5:$J$34,L248+M248-1))/AVERAGE(INDEX($J$5:$J$34,L248):INDEX($J$5:$J$34,L248+M248-1)),"")</f>
        <v/>
      </c>
      <c r="P248" t="str">
        <f>IF(N248=1,IF(O248&lt;=COMBINACIONES!$B$5,1,0),"")</f>
        <v/>
      </c>
      <c r="Q248" t="str">
        <f>IF(N248=1,IF(P248=1,-M248,100)+O248+ROW()*0.000000000001,"")</f>
        <v/>
      </c>
    </row>
    <row r="249" spans="12:17" x14ac:dyDescent="0.3">
      <c r="L249">
        <v>11</v>
      </c>
      <c r="M249">
        <v>12</v>
      </c>
      <c r="N249">
        <f>IF(L249+M249-1&lt;=$J$2,1,0)</f>
        <v>0</v>
      </c>
      <c r="O249" t="str">
        <f>IF(N249=1,_xlfn.STDEV.S(INDEX($J$5:$J$34,L249):INDEX($J$5:$J$34,L249+M249-1))/AVERAGE(INDEX($J$5:$J$34,L249):INDEX($J$5:$J$34,L249+M249-1)),"")</f>
        <v/>
      </c>
      <c r="P249" t="str">
        <f>IF(N249=1,IF(O249&lt;=COMBINACIONES!$B$5,1,0),"")</f>
        <v/>
      </c>
      <c r="Q249" t="str">
        <f>IF(N249=1,IF(P249=1,-M249,100)+O249+ROW()*0.000000000001,"")</f>
        <v/>
      </c>
    </row>
    <row r="250" spans="12:17" x14ac:dyDescent="0.3">
      <c r="L250">
        <v>11</v>
      </c>
      <c r="M250">
        <v>13</v>
      </c>
      <c r="N250">
        <f>IF(L250+M250-1&lt;=$J$2,1,0)</f>
        <v>0</v>
      </c>
      <c r="O250" t="str">
        <f>IF(N250=1,_xlfn.STDEV.S(INDEX($J$5:$J$34,L250):INDEX($J$5:$J$34,L250+M250-1))/AVERAGE(INDEX($J$5:$J$34,L250):INDEX($J$5:$J$34,L250+M250-1)),"")</f>
        <v/>
      </c>
      <c r="P250" t="str">
        <f>IF(N250=1,IF(O250&lt;=COMBINACIONES!$B$5,1,0),"")</f>
        <v/>
      </c>
      <c r="Q250" t="str">
        <f>IF(N250=1,IF(P250=1,-M250,100)+O250+ROW()*0.000000000001,"")</f>
        <v/>
      </c>
    </row>
    <row r="251" spans="12:17" x14ac:dyDescent="0.3">
      <c r="L251">
        <v>11</v>
      </c>
      <c r="M251">
        <v>14</v>
      </c>
      <c r="N251">
        <f>IF(L251+M251-1&lt;=$J$2,1,0)</f>
        <v>0</v>
      </c>
      <c r="O251" t="str">
        <f>IF(N251=1,_xlfn.STDEV.S(INDEX($J$5:$J$34,L251):INDEX($J$5:$J$34,L251+M251-1))/AVERAGE(INDEX($J$5:$J$34,L251):INDEX($J$5:$J$34,L251+M251-1)),"")</f>
        <v/>
      </c>
      <c r="P251" t="str">
        <f>IF(N251=1,IF(O251&lt;=COMBINACIONES!$B$5,1,0),"")</f>
        <v/>
      </c>
      <c r="Q251" t="str">
        <f>IF(N251=1,IF(P251=1,-M251,100)+O251+ROW()*0.000000000001,"")</f>
        <v/>
      </c>
    </row>
    <row r="252" spans="12:17" x14ac:dyDescent="0.3">
      <c r="L252">
        <v>11</v>
      </c>
      <c r="M252">
        <v>15</v>
      </c>
      <c r="N252">
        <f>IF(L252+M252-1&lt;=$J$2,1,0)</f>
        <v>0</v>
      </c>
      <c r="O252" t="str">
        <f>IF(N252=1,_xlfn.STDEV.S(INDEX($J$5:$J$34,L252):INDEX($J$5:$J$34,L252+M252-1))/AVERAGE(INDEX($J$5:$J$34,L252):INDEX($J$5:$J$34,L252+M252-1)),"")</f>
        <v/>
      </c>
      <c r="P252" t="str">
        <f>IF(N252=1,IF(O252&lt;=COMBINACIONES!$B$5,1,0),"")</f>
        <v/>
      </c>
      <c r="Q252" t="str">
        <f>IF(N252=1,IF(P252=1,-M252,100)+O252+ROW()*0.000000000001,"")</f>
        <v/>
      </c>
    </row>
    <row r="253" spans="12:17" x14ac:dyDescent="0.3">
      <c r="L253">
        <v>11</v>
      </c>
      <c r="M253">
        <v>16</v>
      </c>
      <c r="N253">
        <f>IF(L253+M253-1&lt;=$J$2,1,0)</f>
        <v>0</v>
      </c>
      <c r="O253" t="str">
        <f>IF(N253=1,_xlfn.STDEV.S(INDEX($J$5:$J$34,L253):INDEX($J$5:$J$34,L253+M253-1))/AVERAGE(INDEX($J$5:$J$34,L253):INDEX($J$5:$J$34,L253+M253-1)),"")</f>
        <v/>
      </c>
      <c r="P253" t="str">
        <f>IF(N253=1,IF(O253&lt;=COMBINACIONES!$B$5,1,0),"")</f>
        <v/>
      </c>
      <c r="Q253" t="str">
        <f>IF(N253=1,IF(P253=1,-M253,100)+O253+ROW()*0.000000000001,"")</f>
        <v/>
      </c>
    </row>
    <row r="254" spans="12:17" x14ac:dyDescent="0.3">
      <c r="L254">
        <v>11</v>
      </c>
      <c r="M254">
        <v>17</v>
      </c>
      <c r="N254">
        <f>IF(L254+M254-1&lt;=$J$2,1,0)</f>
        <v>0</v>
      </c>
      <c r="O254" t="str">
        <f>IF(N254=1,_xlfn.STDEV.S(INDEX($J$5:$J$34,L254):INDEX($J$5:$J$34,L254+M254-1))/AVERAGE(INDEX($J$5:$J$34,L254):INDEX($J$5:$J$34,L254+M254-1)),"")</f>
        <v/>
      </c>
      <c r="P254" t="str">
        <f>IF(N254=1,IF(O254&lt;=COMBINACIONES!$B$5,1,0),"")</f>
        <v/>
      </c>
      <c r="Q254" t="str">
        <f>IF(N254=1,IF(P254=1,-M254,100)+O254+ROW()*0.000000000001,"")</f>
        <v/>
      </c>
    </row>
    <row r="255" spans="12:17" x14ac:dyDescent="0.3">
      <c r="L255">
        <v>11</v>
      </c>
      <c r="M255">
        <v>18</v>
      </c>
      <c r="N255">
        <f>IF(L255+M255-1&lt;=$J$2,1,0)</f>
        <v>0</v>
      </c>
      <c r="O255" t="str">
        <f>IF(N255=1,_xlfn.STDEV.S(INDEX($J$5:$J$34,L255):INDEX($J$5:$J$34,L255+M255-1))/AVERAGE(INDEX($J$5:$J$34,L255):INDEX($J$5:$J$34,L255+M255-1)),"")</f>
        <v/>
      </c>
      <c r="P255" t="str">
        <f>IF(N255=1,IF(O255&lt;=COMBINACIONES!$B$5,1,0),"")</f>
        <v/>
      </c>
      <c r="Q255" t="str">
        <f>IF(N255=1,IF(P255=1,-M255,100)+O255+ROW()*0.000000000001,"")</f>
        <v/>
      </c>
    </row>
    <row r="256" spans="12:17" x14ac:dyDescent="0.3">
      <c r="L256">
        <v>11</v>
      </c>
      <c r="M256">
        <v>19</v>
      </c>
      <c r="N256">
        <f>IF(L256+M256-1&lt;=$J$2,1,0)</f>
        <v>0</v>
      </c>
      <c r="O256" t="str">
        <f>IF(N256=1,_xlfn.STDEV.S(INDEX($J$5:$J$34,L256):INDEX($J$5:$J$34,L256+M256-1))/AVERAGE(INDEX($J$5:$J$34,L256):INDEX($J$5:$J$34,L256+M256-1)),"")</f>
        <v/>
      </c>
      <c r="P256" t="str">
        <f>IF(N256=1,IF(O256&lt;=COMBINACIONES!$B$5,1,0),"")</f>
        <v/>
      </c>
      <c r="Q256" t="str">
        <f>IF(N256=1,IF(P256=1,-M256,100)+O256+ROW()*0.000000000001,"")</f>
        <v/>
      </c>
    </row>
    <row r="257" spans="12:17" x14ac:dyDescent="0.3">
      <c r="L257">
        <v>11</v>
      </c>
      <c r="M257">
        <v>20</v>
      </c>
      <c r="N257">
        <f>IF(L257+M257-1&lt;=$J$2,1,0)</f>
        <v>0</v>
      </c>
      <c r="O257" t="str">
        <f>IF(N257=1,_xlfn.STDEV.S(INDEX($J$5:$J$34,L257):INDEX($J$5:$J$34,L257+M257-1))/AVERAGE(INDEX($J$5:$J$34,L257):INDEX($J$5:$J$34,L257+M257-1)),"")</f>
        <v/>
      </c>
      <c r="P257" t="str">
        <f>IF(N257=1,IF(O257&lt;=COMBINACIONES!$B$5,1,0),"")</f>
        <v/>
      </c>
      <c r="Q257" t="str">
        <f>IF(N257=1,IF(P257=1,-M257,100)+O257+ROW()*0.000000000001,"")</f>
        <v/>
      </c>
    </row>
    <row r="258" spans="12:17" x14ac:dyDescent="0.3">
      <c r="L258">
        <v>12</v>
      </c>
      <c r="M258">
        <v>3</v>
      </c>
      <c r="N258">
        <f>IF(L258+M258-1&lt;=$J$2,1,0)</f>
        <v>0</v>
      </c>
      <c r="O258" t="str">
        <f>IF(N258=1,_xlfn.STDEV.S(INDEX($J$5:$J$34,L258):INDEX($J$5:$J$34,L258+M258-1))/AVERAGE(INDEX($J$5:$J$34,L258):INDEX($J$5:$J$34,L258+M258-1)),"")</f>
        <v/>
      </c>
      <c r="P258" t="str">
        <f>IF(N258=1,IF(O258&lt;=COMBINACIONES!$B$5,1,0),"")</f>
        <v/>
      </c>
      <c r="Q258" t="str">
        <f>IF(N258=1,IF(P258=1,-M258,100)+O258+ROW()*0.000000000001,"")</f>
        <v/>
      </c>
    </row>
    <row r="259" spans="12:17" x14ac:dyDescent="0.3">
      <c r="L259">
        <v>12</v>
      </c>
      <c r="M259">
        <v>4</v>
      </c>
      <c r="N259">
        <f>IF(L259+M259-1&lt;=$J$2,1,0)</f>
        <v>0</v>
      </c>
      <c r="O259" t="str">
        <f>IF(N259=1,_xlfn.STDEV.S(INDEX($J$5:$J$34,L259):INDEX($J$5:$J$34,L259+M259-1))/AVERAGE(INDEX($J$5:$J$34,L259):INDEX($J$5:$J$34,L259+M259-1)),"")</f>
        <v/>
      </c>
      <c r="P259" t="str">
        <f>IF(N259=1,IF(O259&lt;=COMBINACIONES!$B$5,1,0),"")</f>
        <v/>
      </c>
      <c r="Q259" t="str">
        <f>IF(N259=1,IF(P259=1,-M259,100)+O259+ROW()*0.000000000001,"")</f>
        <v/>
      </c>
    </row>
    <row r="260" spans="12:17" x14ac:dyDescent="0.3">
      <c r="L260">
        <v>12</v>
      </c>
      <c r="M260">
        <v>5</v>
      </c>
      <c r="N260">
        <f>IF(L260+M260-1&lt;=$J$2,1,0)</f>
        <v>0</v>
      </c>
      <c r="O260" t="str">
        <f>IF(N260=1,_xlfn.STDEV.S(INDEX($J$5:$J$34,L260):INDEX($J$5:$J$34,L260+M260-1))/AVERAGE(INDEX($J$5:$J$34,L260):INDEX($J$5:$J$34,L260+M260-1)),"")</f>
        <v/>
      </c>
      <c r="P260" t="str">
        <f>IF(N260=1,IF(O260&lt;=COMBINACIONES!$B$5,1,0),"")</f>
        <v/>
      </c>
      <c r="Q260" t="str">
        <f>IF(N260=1,IF(P260=1,-M260,100)+O260+ROW()*0.000000000001,"")</f>
        <v/>
      </c>
    </row>
    <row r="261" spans="12:17" x14ac:dyDescent="0.3">
      <c r="L261">
        <v>12</v>
      </c>
      <c r="M261">
        <v>6</v>
      </c>
      <c r="N261">
        <f>IF(L261+M261-1&lt;=$J$2,1,0)</f>
        <v>0</v>
      </c>
      <c r="O261" t="str">
        <f>IF(N261=1,_xlfn.STDEV.S(INDEX($J$5:$J$34,L261):INDEX($J$5:$J$34,L261+M261-1))/AVERAGE(INDEX($J$5:$J$34,L261):INDEX($J$5:$J$34,L261+M261-1)),"")</f>
        <v/>
      </c>
      <c r="P261" t="str">
        <f>IF(N261=1,IF(O261&lt;=COMBINACIONES!$B$5,1,0),"")</f>
        <v/>
      </c>
      <c r="Q261" t="str">
        <f>IF(N261=1,IF(P261=1,-M261,100)+O261+ROW()*0.000000000001,"")</f>
        <v/>
      </c>
    </row>
    <row r="262" spans="12:17" x14ac:dyDescent="0.3">
      <c r="L262">
        <v>12</v>
      </c>
      <c r="M262">
        <v>7</v>
      </c>
      <c r="N262">
        <f>IF(L262+M262-1&lt;=$J$2,1,0)</f>
        <v>0</v>
      </c>
      <c r="O262" t="str">
        <f>IF(N262=1,_xlfn.STDEV.S(INDEX($J$5:$J$34,L262):INDEX($J$5:$J$34,L262+M262-1))/AVERAGE(INDEX($J$5:$J$34,L262):INDEX($J$5:$J$34,L262+M262-1)),"")</f>
        <v/>
      </c>
      <c r="P262" t="str">
        <f>IF(N262=1,IF(O262&lt;=COMBINACIONES!$B$5,1,0),"")</f>
        <v/>
      </c>
      <c r="Q262" t="str">
        <f>IF(N262=1,IF(P262=1,-M262,100)+O262+ROW()*0.000000000001,"")</f>
        <v/>
      </c>
    </row>
    <row r="263" spans="12:17" x14ac:dyDescent="0.3">
      <c r="L263">
        <v>12</v>
      </c>
      <c r="M263">
        <v>8</v>
      </c>
      <c r="N263">
        <f>IF(L263+M263-1&lt;=$J$2,1,0)</f>
        <v>0</v>
      </c>
      <c r="O263" t="str">
        <f>IF(N263=1,_xlfn.STDEV.S(INDEX($J$5:$J$34,L263):INDEX($J$5:$J$34,L263+M263-1))/AVERAGE(INDEX($J$5:$J$34,L263):INDEX($J$5:$J$34,L263+M263-1)),"")</f>
        <v/>
      </c>
      <c r="P263" t="str">
        <f>IF(N263=1,IF(O263&lt;=COMBINACIONES!$B$5,1,0),"")</f>
        <v/>
      </c>
      <c r="Q263" t="str">
        <f>IF(N263=1,IF(P263=1,-M263,100)+O263+ROW()*0.000000000001,"")</f>
        <v/>
      </c>
    </row>
    <row r="264" spans="12:17" x14ac:dyDescent="0.3">
      <c r="L264">
        <v>12</v>
      </c>
      <c r="M264">
        <v>9</v>
      </c>
      <c r="N264">
        <f>IF(L264+M264-1&lt;=$J$2,1,0)</f>
        <v>0</v>
      </c>
      <c r="O264" t="str">
        <f>IF(N264=1,_xlfn.STDEV.S(INDEX($J$5:$J$34,L264):INDEX($J$5:$J$34,L264+M264-1))/AVERAGE(INDEX($J$5:$J$34,L264):INDEX($J$5:$J$34,L264+M264-1)),"")</f>
        <v/>
      </c>
      <c r="P264" t="str">
        <f>IF(N264=1,IF(O264&lt;=COMBINACIONES!$B$5,1,0),"")</f>
        <v/>
      </c>
      <c r="Q264" t="str">
        <f>IF(N264=1,IF(P264=1,-M264,100)+O264+ROW()*0.000000000001,"")</f>
        <v/>
      </c>
    </row>
    <row r="265" spans="12:17" x14ac:dyDescent="0.3">
      <c r="L265">
        <v>12</v>
      </c>
      <c r="M265">
        <v>10</v>
      </c>
      <c r="N265">
        <f>IF(L265+M265-1&lt;=$J$2,1,0)</f>
        <v>0</v>
      </c>
      <c r="O265" t="str">
        <f>IF(N265=1,_xlfn.STDEV.S(INDEX($J$5:$J$34,L265):INDEX($J$5:$J$34,L265+M265-1))/AVERAGE(INDEX($J$5:$J$34,L265):INDEX($J$5:$J$34,L265+M265-1)),"")</f>
        <v/>
      </c>
      <c r="P265" t="str">
        <f>IF(N265=1,IF(O265&lt;=COMBINACIONES!$B$5,1,0),"")</f>
        <v/>
      </c>
      <c r="Q265" t="str">
        <f>IF(N265=1,IF(P265=1,-M265,100)+O265+ROW()*0.000000000001,"")</f>
        <v/>
      </c>
    </row>
    <row r="266" spans="12:17" x14ac:dyDescent="0.3">
      <c r="L266">
        <v>12</v>
      </c>
      <c r="M266">
        <v>11</v>
      </c>
      <c r="N266">
        <f>IF(L266+M266-1&lt;=$J$2,1,0)</f>
        <v>0</v>
      </c>
      <c r="O266" t="str">
        <f>IF(N266=1,_xlfn.STDEV.S(INDEX($J$5:$J$34,L266):INDEX($J$5:$J$34,L266+M266-1))/AVERAGE(INDEX($J$5:$J$34,L266):INDEX($J$5:$J$34,L266+M266-1)),"")</f>
        <v/>
      </c>
      <c r="P266" t="str">
        <f>IF(N266=1,IF(O266&lt;=COMBINACIONES!$B$5,1,0),"")</f>
        <v/>
      </c>
      <c r="Q266" t="str">
        <f>IF(N266=1,IF(P266=1,-M266,100)+O266+ROW()*0.000000000001,"")</f>
        <v/>
      </c>
    </row>
    <row r="267" spans="12:17" x14ac:dyDescent="0.3">
      <c r="L267">
        <v>12</v>
      </c>
      <c r="M267">
        <v>12</v>
      </c>
      <c r="N267">
        <f>IF(L267+M267-1&lt;=$J$2,1,0)</f>
        <v>0</v>
      </c>
      <c r="O267" t="str">
        <f>IF(N267=1,_xlfn.STDEV.S(INDEX($J$5:$J$34,L267):INDEX($J$5:$J$34,L267+M267-1))/AVERAGE(INDEX($J$5:$J$34,L267):INDEX($J$5:$J$34,L267+M267-1)),"")</f>
        <v/>
      </c>
      <c r="P267" t="str">
        <f>IF(N267=1,IF(O267&lt;=COMBINACIONES!$B$5,1,0),"")</f>
        <v/>
      </c>
      <c r="Q267" t="str">
        <f>IF(N267=1,IF(P267=1,-M267,100)+O267+ROW()*0.000000000001,"")</f>
        <v/>
      </c>
    </row>
    <row r="268" spans="12:17" x14ac:dyDescent="0.3">
      <c r="L268">
        <v>12</v>
      </c>
      <c r="M268">
        <v>13</v>
      </c>
      <c r="N268">
        <f>IF(L268+M268-1&lt;=$J$2,1,0)</f>
        <v>0</v>
      </c>
      <c r="O268" t="str">
        <f>IF(N268=1,_xlfn.STDEV.S(INDEX($J$5:$J$34,L268):INDEX($J$5:$J$34,L268+M268-1))/AVERAGE(INDEX($J$5:$J$34,L268):INDEX($J$5:$J$34,L268+M268-1)),"")</f>
        <v/>
      </c>
      <c r="P268" t="str">
        <f>IF(N268=1,IF(O268&lt;=COMBINACIONES!$B$5,1,0),"")</f>
        <v/>
      </c>
      <c r="Q268" t="str">
        <f>IF(N268=1,IF(P268=1,-M268,100)+O268+ROW()*0.000000000001,"")</f>
        <v/>
      </c>
    </row>
    <row r="269" spans="12:17" x14ac:dyDescent="0.3">
      <c r="L269">
        <v>12</v>
      </c>
      <c r="M269">
        <v>14</v>
      </c>
      <c r="N269">
        <f>IF(L269+M269-1&lt;=$J$2,1,0)</f>
        <v>0</v>
      </c>
      <c r="O269" t="str">
        <f>IF(N269=1,_xlfn.STDEV.S(INDEX($J$5:$J$34,L269):INDEX($J$5:$J$34,L269+M269-1))/AVERAGE(INDEX($J$5:$J$34,L269):INDEX($J$5:$J$34,L269+M269-1)),"")</f>
        <v/>
      </c>
      <c r="P269" t="str">
        <f>IF(N269=1,IF(O269&lt;=COMBINACIONES!$B$5,1,0),"")</f>
        <v/>
      </c>
      <c r="Q269" t="str">
        <f>IF(N269=1,IF(P269=1,-M269,100)+O269+ROW()*0.000000000001,"")</f>
        <v/>
      </c>
    </row>
    <row r="270" spans="12:17" x14ac:dyDescent="0.3">
      <c r="L270">
        <v>12</v>
      </c>
      <c r="M270">
        <v>15</v>
      </c>
      <c r="N270">
        <f>IF(L270+M270-1&lt;=$J$2,1,0)</f>
        <v>0</v>
      </c>
      <c r="O270" t="str">
        <f>IF(N270=1,_xlfn.STDEV.S(INDEX($J$5:$J$34,L270):INDEX($J$5:$J$34,L270+M270-1))/AVERAGE(INDEX($J$5:$J$34,L270):INDEX($J$5:$J$34,L270+M270-1)),"")</f>
        <v/>
      </c>
      <c r="P270" t="str">
        <f>IF(N270=1,IF(O270&lt;=COMBINACIONES!$B$5,1,0),"")</f>
        <v/>
      </c>
      <c r="Q270" t="str">
        <f>IF(N270=1,IF(P270=1,-M270,100)+O270+ROW()*0.000000000001,"")</f>
        <v/>
      </c>
    </row>
    <row r="271" spans="12:17" x14ac:dyDescent="0.3">
      <c r="L271">
        <v>12</v>
      </c>
      <c r="M271">
        <v>16</v>
      </c>
      <c r="N271">
        <f>IF(L271+M271-1&lt;=$J$2,1,0)</f>
        <v>0</v>
      </c>
      <c r="O271" t="str">
        <f>IF(N271=1,_xlfn.STDEV.S(INDEX($J$5:$J$34,L271):INDEX($J$5:$J$34,L271+M271-1))/AVERAGE(INDEX($J$5:$J$34,L271):INDEX($J$5:$J$34,L271+M271-1)),"")</f>
        <v/>
      </c>
      <c r="P271" t="str">
        <f>IF(N271=1,IF(O271&lt;=COMBINACIONES!$B$5,1,0),"")</f>
        <v/>
      </c>
      <c r="Q271" t="str">
        <f>IF(N271=1,IF(P271=1,-M271,100)+O271+ROW()*0.000000000001,"")</f>
        <v/>
      </c>
    </row>
    <row r="272" spans="12:17" x14ac:dyDescent="0.3">
      <c r="L272">
        <v>12</v>
      </c>
      <c r="M272">
        <v>17</v>
      </c>
      <c r="N272">
        <f>IF(L272+M272-1&lt;=$J$2,1,0)</f>
        <v>0</v>
      </c>
      <c r="O272" t="str">
        <f>IF(N272=1,_xlfn.STDEV.S(INDEX($J$5:$J$34,L272):INDEX($J$5:$J$34,L272+M272-1))/AVERAGE(INDEX($J$5:$J$34,L272):INDEX($J$5:$J$34,L272+M272-1)),"")</f>
        <v/>
      </c>
      <c r="P272" t="str">
        <f>IF(N272=1,IF(O272&lt;=COMBINACIONES!$B$5,1,0),"")</f>
        <v/>
      </c>
      <c r="Q272" t="str">
        <f>IF(N272=1,IF(P272=1,-M272,100)+O272+ROW()*0.000000000001,"")</f>
        <v/>
      </c>
    </row>
    <row r="273" spans="12:17" x14ac:dyDescent="0.3">
      <c r="L273">
        <v>12</v>
      </c>
      <c r="M273">
        <v>18</v>
      </c>
      <c r="N273">
        <f>IF(L273+M273-1&lt;=$J$2,1,0)</f>
        <v>0</v>
      </c>
      <c r="O273" t="str">
        <f>IF(N273=1,_xlfn.STDEV.S(INDEX($J$5:$J$34,L273):INDEX($J$5:$J$34,L273+M273-1))/AVERAGE(INDEX($J$5:$J$34,L273):INDEX($J$5:$J$34,L273+M273-1)),"")</f>
        <v/>
      </c>
      <c r="P273" t="str">
        <f>IF(N273=1,IF(O273&lt;=COMBINACIONES!$B$5,1,0),"")</f>
        <v/>
      </c>
      <c r="Q273" t="str">
        <f>IF(N273=1,IF(P273=1,-M273,100)+O273+ROW()*0.000000000001,"")</f>
        <v/>
      </c>
    </row>
    <row r="274" spans="12:17" x14ac:dyDescent="0.3">
      <c r="L274">
        <v>12</v>
      </c>
      <c r="M274">
        <v>19</v>
      </c>
      <c r="N274">
        <f>IF(L274+M274-1&lt;=$J$2,1,0)</f>
        <v>0</v>
      </c>
      <c r="O274" t="str">
        <f>IF(N274=1,_xlfn.STDEV.S(INDEX($J$5:$J$34,L274):INDEX($J$5:$J$34,L274+M274-1))/AVERAGE(INDEX($J$5:$J$34,L274):INDEX($J$5:$J$34,L274+M274-1)),"")</f>
        <v/>
      </c>
      <c r="P274" t="str">
        <f>IF(N274=1,IF(O274&lt;=COMBINACIONES!$B$5,1,0),"")</f>
        <v/>
      </c>
      <c r="Q274" t="str">
        <f>IF(N274=1,IF(P274=1,-M274,100)+O274+ROW()*0.000000000001,"")</f>
        <v/>
      </c>
    </row>
    <row r="275" spans="12:17" x14ac:dyDescent="0.3">
      <c r="L275">
        <v>13</v>
      </c>
      <c r="M275">
        <v>3</v>
      </c>
      <c r="N275">
        <f>IF(L275+M275-1&lt;=$J$2,1,0)</f>
        <v>0</v>
      </c>
      <c r="O275" t="str">
        <f>IF(N275=1,_xlfn.STDEV.S(INDEX($J$5:$J$34,L275):INDEX($J$5:$J$34,L275+M275-1))/AVERAGE(INDEX($J$5:$J$34,L275):INDEX($J$5:$J$34,L275+M275-1)),"")</f>
        <v/>
      </c>
      <c r="P275" t="str">
        <f>IF(N275=1,IF(O275&lt;=COMBINACIONES!$B$5,1,0),"")</f>
        <v/>
      </c>
      <c r="Q275" t="str">
        <f>IF(N275=1,IF(P275=1,-M275,100)+O275+ROW()*0.000000000001,"")</f>
        <v/>
      </c>
    </row>
    <row r="276" spans="12:17" x14ac:dyDescent="0.3">
      <c r="L276">
        <v>13</v>
      </c>
      <c r="M276">
        <v>4</v>
      </c>
      <c r="N276">
        <f>IF(L276+M276-1&lt;=$J$2,1,0)</f>
        <v>0</v>
      </c>
      <c r="O276" t="str">
        <f>IF(N276=1,_xlfn.STDEV.S(INDEX($J$5:$J$34,L276):INDEX($J$5:$J$34,L276+M276-1))/AVERAGE(INDEX($J$5:$J$34,L276):INDEX($J$5:$J$34,L276+M276-1)),"")</f>
        <v/>
      </c>
      <c r="P276" t="str">
        <f>IF(N276=1,IF(O276&lt;=COMBINACIONES!$B$5,1,0),"")</f>
        <v/>
      </c>
      <c r="Q276" t="str">
        <f>IF(N276=1,IF(P276=1,-M276,100)+O276+ROW()*0.000000000001,"")</f>
        <v/>
      </c>
    </row>
    <row r="277" spans="12:17" x14ac:dyDescent="0.3">
      <c r="L277">
        <v>13</v>
      </c>
      <c r="M277">
        <v>5</v>
      </c>
      <c r="N277">
        <f>IF(L277+M277-1&lt;=$J$2,1,0)</f>
        <v>0</v>
      </c>
      <c r="O277" t="str">
        <f>IF(N277=1,_xlfn.STDEV.S(INDEX($J$5:$J$34,L277):INDEX($J$5:$J$34,L277+M277-1))/AVERAGE(INDEX($J$5:$J$34,L277):INDEX($J$5:$J$34,L277+M277-1)),"")</f>
        <v/>
      </c>
      <c r="P277" t="str">
        <f>IF(N277=1,IF(O277&lt;=COMBINACIONES!$B$5,1,0),"")</f>
        <v/>
      </c>
      <c r="Q277" t="str">
        <f>IF(N277=1,IF(P277=1,-M277,100)+O277+ROW()*0.000000000001,"")</f>
        <v/>
      </c>
    </row>
    <row r="278" spans="12:17" x14ac:dyDescent="0.3">
      <c r="L278">
        <v>13</v>
      </c>
      <c r="M278">
        <v>6</v>
      </c>
      <c r="N278">
        <f>IF(L278+M278-1&lt;=$J$2,1,0)</f>
        <v>0</v>
      </c>
      <c r="O278" t="str">
        <f>IF(N278=1,_xlfn.STDEV.S(INDEX($J$5:$J$34,L278):INDEX($J$5:$J$34,L278+M278-1))/AVERAGE(INDEX($J$5:$J$34,L278):INDEX($J$5:$J$34,L278+M278-1)),"")</f>
        <v/>
      </c>
      <c r="P278" t="str">
        <f>IF(N278=1,IF(O278&lt;=COMBINACIONES!$B$5,1,0),"")</f>
        <v/>
      </c>
      <c r="Q278" t="str">
        <f>IF(N278=1,IF(P278=1,-M278,100)+O278+ROW()*0.000000000001,"")</f>
        <v/>
      </c>
    </row>
    <row r="279" spans="12:17" x14ac:dyDescent="0.3">
      <c r="L279">
        <v>13</v>
      </c>
      <c r="M279">
        <v>7</v>
      </c>
      <c r="N279">
        <f>IF(L279+M279-1&lt;=$J$2,1,0)</f>
        <v>0</v>
      </c>
      <c r="O279" t="str">
        <f>IF(N279=1,_xlfn.STDEV.S(INDEX($J$5:$J$34,L279):INDEX($J$5:$J$34,L279+M279-1))/AVERAGE(INDEX($J$5:$J$34,L279):INDEX($J$5:$J$34,L279+M279-1)),"")</f>
        <v/>
      </c>
      <c r="P279" t="str">
        <f>IF(N279=1,IF(O279&lt;=COMBINACIONES!$B$5,1,0),"")</f>
        <v/>
      </c>
      <c r="Q279" t="str">
        <f>IF(N279=1,IF(P279=1,-M279,100)+O279+ROW()*0.000000000001,"")</f>
        <v/>
      </c>
    </row>
    <row r="280" spans="12:17" x14ac:dyDescent="0.3">
      <c r="L280">
        <v>13</v>
      </c>
      <c r="M280">
        <v>8</v>
      </c>
      <c r="N280">
        <f>IF(L280+M280-1&lt;=$J$2,1,0)</f>
        <v>0</v>
      </c>
      <c r="O280" t="str">
        <f>IF(N280=1,_xlfn.STDEV.S(INDEX($J$5:$J$34,L280):INDEX($J$5:$J$34,L280+M280-1))/AVERAGE(INDEX($J$5:$J$34,L280):INDEX($J$5:$J$34,L280+M280-1)),"")</f>
        <v/>
      </c>
      <c r="P280" t="str">
        <f>IF(N280=1,IF(O280&lt;=COMBINACIONES!$B$5,1,0),"")</f>
        <v/>
      </c>
      <c r="Q280" t="str">
        <f>IF(N280=1,IF(P280=1,-M280,100)+O280+ROW()*0.000000000001,"")</f>
        <v/>
      </c>
    </row>
    <row r="281" spans="12:17" x14ac:dyDescent="0.3">
      <c r="L281">
        <v>13</v>
      </c>
      <c r="M281">
        <v>9</v>
      </c>
      <c r="N281">
        <f>IF(L281+M281-1&lt;=$J$2,1,0)</f>
        <v>0</v>
      </c>
      <c r="O281" t="str">
        <f>IF(N281=1,_xlfn.STDEV.S(INDEX($J$5:$J$34,L281):INDEX($J$5:$J$34,L281+M281-1))/AVERAGE(INDEX($J$5:$J$34,L281):INDEX($J$5:$J$34,L281+M281-1)),"")</f>
        <v/>
      </c>
      <c r="P281" t="str">
        <f>IF(N281=1,IF(O281&lt;=COMBINACIONES!$B$5,1,0),"")</f>
        <v/>
      </c>
      <c r="Q281" t="str">
        <f>IF(N281=1,IF(P281=1,-M281,100)+O281+ROW()*0.000000000001,"")</f>
        <v/>
      </c>
    </row>
    <row r="282" spans="12:17" x14ac:dyDescent="0.3">
      <c r="L282">
        <v>13</v>
      </c>
      <c r="M282">
        <v>10</v>
      </c>
      <c r="N282">
        <f>IF(L282+M282-1&lt;=$J$2,1,0)</f>
        <v>0</v>
      </c>
      <c r="O282" t="str">
        <f>IF(N282=1,_xlfn.STDEV.S(INDEX($J$5:$J$34,L282):INDEX($J$5:$J$34,L282+M282-1))/AVERAGE(INDEX($J$5:$J$34,L282):INDEX($J$5:$J$34,L282+M282-1)),"")</f>
        <v/>
      </c>
      <c r="P282" t="str">
        <f>IF(N282=1,IF(O282&lt;=COMBINACIONES!$B$5,1,0),"")</f>
        <v/>
      </c>
      <c r="Q282" t="str">
        <f>IF(N282=1,IF(P282=1,-M282,100)+O282+ROW()*0.000000000001,"")</f>
        <v/>
      </c>
    </row>
    <row r="283" spans="12:17" x14ac:dyDescent="0.3">
      <c r="L283">
        <v>13</v>
      </c>
      <c r="M283">
        <v>11</v>
      </c>
      <c r="N283">
        <f>IF(L283+M283-1&lt;=$J$2,1,0)</f>
        <v>0</v>
      </c>
      <c r="O283" t="str">
        <f>IF(N283=1,_xlfn.STDEV.S(INDEX($J$5:$J$34,L283):INDEX($J$5:$J$34,L283+M283-1))/AVERAGE(INDEX($J$5:$J$34,L283):INDEX($J$5:$J$34,L283+M283-1)),"")</f>
        <v/>
      </c>
      <c r="P283" t="str">
        <f>IF(N283=1,IF(O283&lt;=COMBINACIONES!$B$5,1,0),"")</f>
        <v/>
      </c>
      <c r="Q283" t="str">
        <f>IF(N283=1,IF(P283=1,-M283,100)+O283+ROW()*0.000000000001,"")</f>
        <v/>
      </c>
    </row>
    <row r="284" spans="12:17" x14ac:dyDescent="0.3">
      <c r="L284">
        <v>13</v>
      </c>
      <c r="M284">
        <v>12</v>
      </c>
      <c r="N284">
        <f>IF(L284+M284-1&lt;=$J$2,1,0)</f>
        <v>0</v>
      </c>
      <c r="O284" t="str">
        <f>IF(N284=1,_xlfn.STDEV.S(INDEX($J$5:$J$34,L284):INDEX($J$5:$J$34,L284+M284-1))/AVERAGE(INDEX($J$5:$J$34,L284):INDEX($J$5:$J$34,L284+M284-1)),"")</f>
        <v/>
      </c>
      <c r="P284" t="str">
        <f>IF(N284=1,IF(O284&lt;=COMBINACIONES!$B$5,1,0),"")</f>
        <v/>
      </c>
      <c r="Q284" t="str">
        <f>IF(N284=1,IF(P284=1,-M284,100)+O284+ROW()*0.000000000001,"")</f>
        <v/>
      </c>
    </row>
    <row r="285" spans="12:17" x14ac:dyDescent="0.3">
      <c r="L285">
        <v>13</v>
      </c>
      <c r="M285">
        <v>13</v>
      </c>
      <c r="N285">
        <f>IF(L285+M285-1&lt;=$J$2,1,0)</f>
        <v>0</v>
      </c>
      <c r="O285" t="str">
        <f>IF(N285=1,_xlfn.STDEV.S(INDEX($J$5:$J$34,L285):INDEX($J$5:$J$34,L285+M285-1))/AVERAGE(INDEX($J$5:$J$34,L285):INDEX($J$5:$J$34,L285+M285-1)),"")</f>
        <v/>
      </c>
      <c r="P285" t="str">
        <f>IF(N285=1,IF(O285&lt;=COMBINACIONES!$B$5,1,0),"")</f>
        <v/>
      </c>
      <c r="Q285" t="str">
        <f>IF(N285=1,IF(P285=1,-M285,100)+O285+ROW()*0.000000000001,"")</f>
        <v/>
      </c>
    </row>
    <row r="286" spans="12:17" x14ac:dyDescent="0.3">
      <c r="L286">
        <v>13</v>
      </c>
      <c r="M286">
        <v>14</v>
      </c>
      <c r="N286">
        <f>IF(L286+M286-1&lt;=$J$2,1,0)</f>
        <v>0</v>
      </c>
      <c r="O286" t="str">
        <f>IF(N286=1,_xlfn.STDEV.S(INDEX($J$5:$J$34,L286):INDEX($J$5:$J$34,L286+M286-1))/AVERAGE(INDEX($J$5:$J$34,L286):INDEX($J$5:$J$34,L286+M286-1)),"")</f>
        <v/>
      </c>
      <c r="P286" t="str">
        <f>IF(N286=1,IF(O286&lt;=COMBINACIONES!$B$5,1,0),"")</f>
        <v/>
      </c>
      <c r="Q286" t="str">
        <f>IF(N286=1,IF(P286=1,-M286,100)+O286+ROW()*0.000000000001,"")</f>
        <v/>
      </c>
    </row>
    <row r="287" spans="12:17" x14ac:dyDescent="0.3">
      <c r="L287">
        <v>13</v>
      </c>
      <c r="M287">
        <v>15</v>
      </c>
      <c r="N287">
        <f>IF(L287+M287-1&lt;=$J$2,1,0)</f>
        <v>0</v>
      </c>
      <c r="O287" t="str">
        <f>IF(N287=1,_xlfn.STDEV.S(INDEX($J$5:$J$34,L287):INDEX($J$5:$J$34,L287+M287-1))/AVERAGE(INDEX($J$5:$J$34,L287):INDEX($J$5:$J$34,L287+M287-1)),"")</f>
        <v/>
      </c>
      <c r="P287" t="str">
        <f>IF(N287=1,IF(O287&lt;=COMBINACIONES!$B$5,1,0),"")</f>
        <v/>
      </c>
      <c r="Q287" t="str">
        <f>IF(N287=1,IF(P287=1,-M287,100)+O287+ROW()*0.000000000001,"")</f>
        <v/>
      </c>
    </row>
    <row r="288" spans="12:17" x14ac:dyDescent="0.3">
      <c r="L288">
        <v>13</v>
      </c>
      <c r="M288">
        <v>16</v>
      </c>
      <c r="N288">
        <f>IF(L288+M288-1&lt;=$J$2,1,0)</f>
        <v>0</v>
      </c>
      <c r="O288" t="str">
        <f>IF(N288=1,_xlfn.STDEV.S(INDEX($J$5:$J$34,L288):INDEX($J$5:$J$34,L288+M288-1))/AVERAGE(INDEX($J$5:$J$34,L288):INDEX($J$5:$J$34,L288+M288-1)),"")</f>
        <v/>
      </c>
      <c r="P288" t="str">
        <f>IF(N288=1,IF(O288&lt;=COMBINACIONES!$B$5,1,0),"")</f>
        <v/>
      </c>
      <c r="Q288" t="str">
        <f>IF(N288=1,IF(P288=1,-M288,100)+O288+ROW()*0.000000000001,"")</f>
        <v/>
      </c>
    </row>
    <row r="289" spans="12:17" x14ac:dyDescent="0.3">
      <c r="L289">
        <v>13</v>
      </c>
      <c r="M289">
        <v>17</v>
      </c>
      <c r="N289">
        <f>IF(L289+M289-1&lt;=$J$2,1,0)</f>
        <v>0</v>
      </c>
      <c r="O289" t="str">
        <f>IF(N289=1,_xlfn.STDEV.S(INDEX($J$5:$J$34,L289):INDEX($J$5:$J$34,L289+M289-1))/AVERAGE(INDEX($J$5:$J$34,L289):INDEX($J$5:$J$34,L289+M289-1)),"")</f>
        <v/>
      </c>
      <c r="P289" t="str">
        <f>IF(N289=1,IF(O289&lt;=COMBINACIONES!$B$5,1,0),"")</f>
        <v/>
      </c>
      <c r="Q289" t="str">
        <f>IF(N289=1,IF(P289=1,-M289,100)+O289+ROW()*0.000000000001,"")</f>
        <v/>
      </c>
    </row>
    <row r="290" spans="12:17" x14ac:dyDescent="0.3">
      <c r="L290">
        <v>13</v>
      </c>
      <c r="M290">
        <v>18</v>
      </c>
      <c r="N290">
        <f>IF(L290+M290-1&lt;=$J$2,1,0)</f>
        <v>0</v>
      </c>
      <c r="O290" t="str">
        <f>IF(N290=1,_xlfn.STDEV.S(INDEX($J$5:$J$34,L290):INDEX($J$5:$J$34,L290+M290-1))/AVERAGE(INDEX($J$5:$J$34,L290):INDEX($J$5:$J$34,L290+M290-1)),"")</f>
        <v/>
      </c>
      <c r="P290" t="str">
        <f>IF(N290=1,IF(O290&lt;=COMBINACIONES!$B$5,1,0),"")</f>
        <v/>
      </c>
      <c r="Q290" t="str">
        <f>IF(N290=1,IF(P290=1,-M290,100)+O290+ROW()*0.000000000001,"")</f>
        <v/>
      </c>
    </row>
    <row r="291" spans="12:17" x14ac:dyDescent="0.3">
      <c r="L291">
        <v>14</v>
      </c>
      <c r="M291">
        <v>3</v>
      </c>
      <c r="N291">
        <f>IF(L291+M291-1&lt;=$J$2,1,0)</f>
        <v>0</v>
      </c>
      <c r="O291" t="str">
        <f>IF(N291=1,_xlfn.STDEV.S(INDEX($J$5:$J$34,L291):INDEX($J$5:$J$34,L291+M291-1))/AVERAGE(INDEX($J$5:$J$34,L291):INDEX($J$5:$J$34,L291+M291-1)),"")</f>
        <v/>
      </c>
      <c r="P291" t="str">
        <f>IF(N291=1,IF(O291&lt;=COMBINACIONES!$B$5,1,0),"")</f>
        <v/>
      </c>
      <c r="Q291" t="str">
        <f>IF(N291=1,IF(P291=1,-M291,100)+O291+ROW()*0.000000000001,"")</f>
        <v/>
      </c>
    </row>
    <row r="292" spans="12:17" x14ac:dyDescent="0.3">
      <c r="L292">
        <v>14</v>
      </c>
      <c r="M292">
        <v>4</v>
      </c>
      <c r="N292">
        <f>IF(L292+M292-1&lt;=$J$2,1,0)</f>
        <v>0</v>
      </c>
      <c r="O292" t="str">
        <f>IF(N292=1,_xlfn.STDEV.S(INDEX($J$5:$J$34,L292):INDEX($J$5:$J$34,L292+M292-1))/AVERAGE(INDEX($J$5:$J$34,L292):INDEX($J$5:$J$34,L292+M292-1)),"")</f>
        <v/>
      </c>
      <c r="P292" t="str">
        <f>IF(N292=1,IF(O292&lt;=COMBINACIONES!$B$5,1,0),"")</f>
        <v/>
      </c>
      <c r="Q292" t="str">
        <f>IF(N292=1,IF(P292=1,-M292,100)+O292+ROW()*0.000000000001,"")</f>
        <v/>
      </c>
    </row>
    <row r="293" spans="12:17" x14ac:dyDescent="0.3">
      <c r="L293">
        <v>14</v>
      </c>
      <c r="M293">
        <v>5</v>
      </c>
      <c r="N293">
        <f>IF(L293+M293-1&lt;=$J$2,1,0)</f>
        <v>0</v>
      </c>
      <c r="O293" t="str">
        <f>IF(N293=1,_xlfn.STDEV.S(INDEX($J$5:$J$34,L293):INDEX($J$5:$J$34,L293+M293-1))/AVERAGE(INDEX($J$5:$J$34,L293):INDEX($J$5:$J$34,L293+M293-1)),"")</f>
        <v/>
      </c>
      <c r="P293" t="str">
        <f>IF(N293=1,IF(O293&lt;=COMBINACIONES!$B$5,1,0),"")</f>
        <v/>
      </c>
      <c r="Q293" t="str">
        <f>IF(N293=1,IF(P293=1,-M293,100)+O293+ROW()*0.000000000001,"")</f>
        <v/>
      </c>
    </row>
    <row r="294" spans="12:17" x14ac:dyDescent="0.3">
      <c r="L294">
        <v>14</v>
      </c>
      <c r="M294">
        <v>6</v>
      </c>
      <c r="N294">
        <f>IF(L294+M294-1&lt;=$J$2,1,0)</f>
        <v>0</v>
      </c>
      <c r="O294" t="str">
        <f>IF(N294=1,_xlfn.STDEV.S(INDEX($J$5:$J$34,L294):INDEX($J$5:$J$34,L294+M294-1))/AVERAGE(INDEX($J$5:$J$34,L294):INDEX($J$5:$J$34,L294+M294-1)),"")</f>
        <v/>
      </c>
      <c r="P294" t="str">
        <f>IF(N294=1,IF(O294&lt;=COMBINACIONES!$B$5,1,0),"")</f>
        <v/>
      </c>
      <c r="Q294" t="str">
        <f>IF(N294=1,IF(P294=1,-M294,100)+O294+ROW()*0.000000000001,"")</f>
        <v/>
      </c>
    </row>
    <row r="295" spans="12:17" x14ac:dyDescent="0.3">
      <c r="L295">
        <v>14</v>
      </c>
      <c r="M295">
        <v>7</v>
      </c>
      <c r="N295">
        <f>IF(L295+M295-1&lt;=$J$2,1,0)</f>
        <v>0</v>
      </c>
      <c r="O295" t="str">
        <f>IF(N295=1,_xlfn.STDEV.S(INDEX($J$5:$J$34,L295):INDEX($J$5:$J$34,L295+M295-1))/AVERAGE(INDEX($J$5:$J$34,L295):INDEX($J$5:$J$34,L295+M295-1)),"")</f>
        <v/>
      </c>
      <c r="P295" t="str">
        <f>IF(N295=1,IF(O295&lt;=COMBINACIONES!$B$5,1,0),"")</f>
        <v/>
      </c>
      <c r="Q295" t="str">
        <f>IF(N295=1,IF(P295=1,-M295,100)+O295+ROW()*0.000000000001,"")</f>
        <v/>
      </c>
    </row>
    <row r="296" spans="12:17" x14ac:dyDescent="0.3">
      <c r="L296">
        <v>14</v>
      </c>
      <c r="M296">
        <v>8</v>
      </c>
      <c r="N296">
        <f>IF(L296+M296-1&lt;=$J$2,1,0)</f>
        <v>0</v>
      </c>
      <c r="O296" t="str">
        <f>IF(N296=1,_xlfn.STDEV.S(INDEX($J$5:$J$34,L296):INDEX($J$5:$J$34,L296+M296-1))/AVERAGE(INDEX($J$5:$J$34,L296):INDEX($J$5:$J$34,L296+M296-1)),"")</f>
        <v/>
      </c>
      <c r="P296" t="str">
        <f>IF(N296=1,IF(O296&lt;=COMBINACIONES!$B$5,1,0),"")</f>
        <v/>
      </c>
      <c r="Q296" t="str">
        <f>IF(N296=1,IF(P296=1,-M296,100)+O296+ROW()*0.000000000001,"")</f>
        <v/>
      </c>
    </row>
    <row r="297" spans="12:17" x14ac:dyDescent="0.3">
      <c r="L297">
        <v>14</v>
      </c>
      <c r="M297">
        <v>9</v>
      </c>
      <c r="N297">
        <f>IF(L297+M297-1&lt;=$J$2,1,0)</f>
        <v>0</v>
      </c>
      <c r="O297" t="str">
        <f>IF(N297=1,_xlfn.STDEV.S(INDEX($J$5:$J$34,L297):INDEX($J$5:$J$34,L297+M297-1))/AVERAGE(INDEX($J$5:$J$34,L297):INDEX($J$5:$J$34,L297+M297-1)),"")</f>
        <v/>
      </c>
      <c r="P297" t="str">
        <f>IF(N297=1,IF(O297&lt;=COMBINACIONES!$B$5,1,0),"")</f>
        <v/>
      </c>
      <c r="Q297" t="str">
        <f>IF(N297=1,IF(P297=1,-M297,100)+O297+ROW()*0.000000000001,"")</f>
        <v/>
      </c>
    </row>
    <row r="298" spans="12:17" x14ac:dyDescent="0.3">
      <c r="L298">
        <v>14</v>
      </c>
      <c r="M298">
        <v>10</v>
      </c>
      <c r="N298">
        <f>IF(L298+M298-1&lt;=$J$2,1,0)</f>
        <v>0</v>
      </c>
      <c r="O298" t="str">
        <f>IF(N298=1,_xlfn.STDEV.S(INDEX($J$5:$J$34,L298):INDEX($J$5:$J$34,L298+M298-1))/AVERAGE(INDEX($J$5:$J$34,L298):INDEX($J$5:$J$34,L298+M298-1)),"")</f>
        <v/>
      </c>
      <c r="P298" t="str">
        <f>IF(N298=1,IF(O298&lt;=COMBINACIONES!$B$5,1,0),"")</f>
        <v/>
      </c>
      <c r="Q298" t="str">
        <f>IF(N298=1,IF(P298=1,-M298,100)+O298+ROW()*0.000000000001,"")</f>
        <v/>
      </c>
    </row>
    <row r="299" spans="12:17" x14ac:dyDescent="0.3">
      <c r="L299">
        <v>14</v>
      </c>
      <c r="M299">
        <v>11</v>
      </c>
      <c r="N299">
        <f>IF(L299+M299-1&lt;=$J$2,1,0)</f>
        <v>0</v>
      </c>
      <c r="O299" t="str">
        <f>IF(N299=1,_xlfn.STDEV.S(INDEX($J$5:$J$34,L299):INDEX($J$5:$J$34,L299+M299-1))/AVERAGE(INDEX($J$5:$J$34,L299):INDEX($J$5:$J$34,L299+M299-1)),"")</f>
        <v/>
      </c>
      <c r="P299" t="str">
        <f>IF(N299=1,IF(O299&lt;=COMBINACIONES!$B$5,1,0),"")</f>
        <v/>
      </c>
      <c r="Q299" t="str">
        <f>IF(N299=1,IF(P299=1,-M299,100)+O299+ROW()*0.000000000001,"")</f>
        <v/>
      </c>
    </row>
    <row r="300" spans="12:17" x14ac:dyDescent="0.3">
      <c r="L300">
        <v>14</v>
      </c>
      <c r="M300">
        <v>12</v>
      </c>
      <c r="N300">
        <f>IF(L300+M300-1&lt;=$J$2,1,0)</f>
        <v>0</v>
      </c>
      <c r="O300" t="str">
        <f>IF(N300=1,_xlfn.STDEV.S(INDEX($J$5:$J$34,L300):INDEX($J$5:$J$34,L300+M300-1))/AVERAGE(INDEX($J$5:$J$34,L300):INDEX($J$5:$J$34,L300+M300-1)),"")</f>
        <v/>
      </c>
      <c r="P300" t="str">
        <f>IF(N300=1,IF(O300&lt;=COMBINACIONES!$B$5,1,0),"")</f>
        <v/>
      </c>
      <c r="Q300" t="str">
        <f>IF(N300=1,IF(P300=1,-M300,100)+O300+ROW()*0.000000000001,"")</f>
        <v/>
      </c>
    </row>
    <row r="301" spans="12:17" x14ac:dyDescent="0.3">
      <c r="L301">
        <v>14</v>
      </c>
      <c r="M301">
        <v>13</v>
      </c>
      <c r="N301">
        <f>IF(L301+M301-1&lt;=$J$2,1,0)</f>
        <v>0</v>
      </c>
      <c r="O301" t="str">
        <f>IF(N301=1,_xlfn.STDEV.S(INDEX($J$5:$J$34,L301):INDEX($J$5:$J$34,L301+M301-1))/AVERAGE(INDEX($J$5:$J$34,L301):INDEX($J$5:$J$34,L301+M301-1)),"")</f>
        <v/>
      </c>
      <c r="P301" t="str">
        <f>IF(N301=1,IF(O301&lt;=COMBINACIONES!$B$5,1,0),"")</f>
        <v/>
      </c>
      <c r="Q301" t="str">
        <f>IF(N301=1,IF(P301=1,-M301,100)+O301+ROW()*0.000000000001,"")</f>
        <v/>
      </c>
    </row>
    <row r="302" spans="12:17" x14ac:dyDescent="0.3">
      <c r="L302">
        <v>14</v>
      </c>
      <c r="M302">
        <v>14</v>
      </c>
      <c r="N302">
        <f>IF(L302+M302-1&lt;=$J$2,1,0)</f>
        <v>0</v>
      </c>
      <c r="O302" t="str">
        <f>IF(N302=1,_xlfn.STDEV.S(INDEX($J$5:$J$34,L302):INDEX($J$5:$J$34,L302+M302-1))/AVERAGE(INDEX($J$5:$J$34,L302):INDEX($J$5:$J$34,L302+M302-1)),"")</f>
        <v/>
      </c>
      <c r="P302" t="str">
        <f>IF(N302=1,IF(O302&lt;=COMBINACIONES!$B$5,1,0),"")</f>
        <v/>
      </c>
      <c r="Q302" t="str">
        <f>IF(N302=1,IF(P302=1,-M302,100)+O302+ROW()*0.000000000001,"")</f>
        <v/>
      </c>
    </row>
    <row r="303" spans="12:17" x14ac:dyDescent="0.3">
      <c r="L303">
        <v>14</v>
      </c>
      <c r="M303">
        <v>15</v>
      </c>
      <c r="N303">
        <f>IF(L303+M303-1&lt;=$J$2,1,0)</f>
        <v>0</v>
      </c>
      <c r="O303" t="str">
        <f>IF(N303=1,_xlfn.STDEV.S(INDEX($J$5:$J$34,L303):INDEX($J$5:$J$34,L303+M303-1))/AVERAGE(INDEX($J$5:$J$34,L303):INDEX($J$5:$J$34,L303+M303-1)),"")</f>
        <v/>
      </c>
      <c r="P303" t="str">
        <f>IF(N303=1,IF(O303&lt;=COMBINACIONES!$B$5,1,0),"")</f>
        <v/>
      </c>
      <c r="Q303" t="str">
        <f>IF(N303=1,IF(P303=1,-M303,100)+O303+ROW()*0.000000000001,"")</f>
        <v/>
      </c>
    </row>
    <row r="304" spans="12:17" x14ac:dyDescent="0.3">
      <c r="L304">
        <v>14</v>
      </c>
      <c r="M304">
        <v>16</v>
      </c>
      <c r="N304">
        <f>IF(L304+M304-1&lt;=$J$2,1,0)</f>
        <v>0</v>
      </c>
      <c r="O304" t="str">
        <f>IF(N304=1,_xlfn.STDEV.S(INDEX($J$5:$J$34,L304):INDEX($J$5:$J$34,L304+M304-1))/AVERAGE(INDEX($J$5:$J$34,L304):INDEX($J$5:$J$34,L304+M304-1)),"")</f>
        <v/>
      </c>
      <c r="P304" t="str">
        <f>IF(N304=1,IF(O304&lt;=COMBINACIONES!$B$5,1,0),"")</f>
        <v/>
      </c>
      <c r="Q304" t="str">
        <f>IF(N304=1,IF(P304=1,-M304,100)+O304+ROW()*0.000000000001,"")</f>
        <v/>
      </c>
    </row>
    <row r="305" spans="12:17" x14ac:dyDescent="0.3">
      <c r="L305">
        <v>14</v>
      </c>
      <c r="M305">
        <v>17</v>
      </c>
      <c r="N305">
        <f>IF(L305+M305-1&lt;=$J$2,1,0)</f>
        <v>0</v>
      </c>
      <c r="O305" t="str">
        <f>IF(N305=1,_xlfn.STDEV.S(INDEX($J$5:$J$34,L305):INDEX($J$5:$J$34,L305+M305-1))/AVERAGE(INDEX($J$5:$J$34,L305):INDEX($J$5:$J$34,L305+M305-1)),"")</f>
        <v/>
      </c>
      <c r="P305" t="str">
        <f>IF(N305=1,IF(O305&lt;=COMBINACIONES!$B$5,1,0),"")</f>
        <v/>
      </c>
      <c r="Q305" t="str">
        <f>IF(N305=1,IF(P305=1,-M305,100)+O305+ROW()*0.000000000001,"")</f>
        <v/>
      </c>
    </row>
    <row r="306" spans="12:17" x14ac:dyDescent="0.3">
      <c r="L306">
        <v>15</v>
      </c>
      <c r="M306">
        <v>3</v>
      </c>
      <c r="N306">
        <f>IF(L306+M306-1&lt;=$J$2,1,0)</f>
        <v>0</v>
      </c>
      <c r="O306" t="str">
        <f>IF(N306=1,_xlfn.STDEV.S(INDEX($J$5:$J$34,L306):INDEX($J$5:$J$34,L306+M306-1))/AVERAGE(INDEX($J$5:$J$34,L306):INDEX($J$5:$J$34,L306+M306-1)),"")</f>
        <v/>
      </c>
      <c r="P306" t="str">
        <f>IF(N306=1,IF(O306&lt;=COMBINACIONES!$B$5,1,0),"")</f>
        <v/>
      </c>
      <c r="Q306" t="str">
        <f>IF(N306=1,IF(P306=1,-M306,100)+O306+ROW()*0.000000000001,"")</f>
        <v/>
      </c>
    </row>
    <row r="307" spans="12:17" x14ac:dyDescent="0.3">
      <c r="L307">
        <v>15</v>
      </c>
      <c r="M307">
        <v>4</v>
      </c>
      <c r="N307">
        <f>IF(L307+M307-1&lt;=$J$2,1,0)</f>
        <v>0</v>
      </c>
      <c r="O307" t="str">
        <f>IF(N307=1,_xlfn.STDEV.S(INDEX($J$5:$J$34,L307):INDEX($J$5:$J$34,L307+M307-1))/AVERAGE(INDEX($J$5:$J$34,L307):INDEX($J$5:$J$34,L307+M307-1)),"")</f>
        <v/>
      </c>
      <c r="P307" t="str">
        <f>IF(N307=1,IF(O307&lt;=COMBINACIONES!$B$5,1,0),"")</f>
        <v/>
      </c>
      <c r="Q307" t="str">
        <f>IF(N307=1,IF(P307=1,-M307,100)+O307+ROW()*0.000000000001,"")</f>
        <v/>
      </c>
    </row>
    <row r="308" spans="12:17" x14ac:dyDescent="0.3">
      <c r="L308">
        <v>15</v>
      </c>
      <c r="M308">
        <v>5</v>
      </c>
      <c r="N308">
        <f>IF(L308+M308-1&lt;=$J$2,1,0)</f>
        <v>0</v>
      </c>
      <c r="O308" t="str">
        <f>IF(N308=1,_xlfn.STDEV.S(INDEX($J$5:$J$34,L308):INDEX($J$5:$J$34,L308+M308-1))/AVERAGE(INDEX($J$5:$J$34,L308):INDEX($J$5:$J$34,L308+M308-1)),"")</f>
        <v/>
      </c>
      <c r="P308" t="str">
        <f>IF(N308=1,IF(O308&lt;=COMBINACIONES!$B$5,1,0),"")</f>
        <v/>
      </c>
      <c r="Q308" t="str">
        <f>IF(N308=1,IF(P308=1,-M308,100)+O308+ROW()*0.000000000001,"")</f>
        <v/>
      </c>
    </row>
    <row r="309" spans="12:17" x14ac:dyDescent="0.3">
      <c r="L309">
        <v>15</v>
      </c>
      <c r="M309">
        <v>6</v>
      </c>
      <c r="N309">
        <f>IF(L309+M309-1&lt;=$J$2,1,0)</f>
        <v>0</v>
      </c>
      <c r="O309" t="str">
        <f>IF(N309=1,_xlfn.STDEV.S(INDEX($J$5:$J$34,L309):INDEX($J$5:$J$34,L309+M309-1))/AVERAGE(INDEX($J$5:$J$34,L309):INDEX($J$5:$J$34,L309+M309-1)),"")</f>
        <v/>
      </c>
      <c r="P309" t="str">
        <f>IF(N309=1,IF(O309&lt;=COMBINACIONES!$B$5,1,0),"")</f>
        <v/>
      </c>
      <c r="Q309" t="str">
        <f>IF(N309=1,IF(P309=1,-M309,100)+O309+ROW()*0.000000000001,"")</f>
        <v/>
      </c>
    </row>
    <row r="310" spans="12:17" x14ac:dyDescent="0.3">
      <c r="L310">
        <v>15</v>
      </c>
      <c r="M310">
        <v>7</v>
      </c>
      <c r="N310">
        <f>IF(L310+M310-1&lt;=$J$2,1,0)</f>
        <v>0</v>
      </c>
      <c r="O310" t="str">
        <f>IF(N310=1,_xlfn.STDEV.S(INDEX($J$5:$J$34,L310):INDEX($J$5:$J$34,L310+M310-1))/AVERAGE(INDEX($J$5:$J$34,L310):INDEX($J$5:$J$34,L310+M310-1)),"")</f>
        <v/>
      </c>
      <c r="P310" t="str">
        <f>IF(N310=1,IF(O310&lt;=COMBINACIONES!$B$5,1,0),"")</f>
        <v/>
      </c>
      <c r="Q310" t="str">
        <f>IF(N310=1,IF(P310=1,-M310,100)+O310+ROW()*0.000000000001,"")</f>
        <v/>
      </c>
    </row>
    <row r="311" spans="12:17" x14ac:dyDescent="0.3">
      <c r="L311">
        <v>15</v>
      </c>
      <c r="M311">
        <v>8</v>
      </c>
      <c r="N311">
        <f>IF(L311+M311-1&lt;=$J$2,1,0)</f>
        <v>0</v>
      </c>
      <c r="O311" t="str">
        <f>IF(N311=1,_xlfn.STDEV.S(INDEX($J$5:$J$34,L311):INDEX($J$5:$J$34,L311+M311-1))/AVERAGE(INDEX($J$5:$J$34,L311):INDEX($J$5:$J$34,L311+M311-1)),"")</f>
        <v/>
      </c>
      <c r="P311" t="str">
        <f>IF(N311=1,IF(O311&lt;=COMBINACIONES!$B$5,1,0),"")</f>
        <v/>
      </c>
      <c r="Q311" t="str">
        <f>IF(N311=1,IF(P311=1,-M311,100)+O311+ROW()*0.000000000001,"")</f>
        <v/>
      </c>
    </row>
    <row r="312" spans="12:17" x14ac:dyDescent="0.3">
      <c r="L312">
        <v>15</v>
      </c>
      <c r="M312">
        <v>9</v>
      </c>
      <c r="N312">
        <f>IF(L312+M312-1&lt;=$J$2,1,0)</f>
        <v>0</v>
      </c>
      <c r="O312" t="str">
        <f>IF(N312=1,_xlfn.STDEV.S(INDEX($J$5:$J$34,L312):INDEX($J$5:$J$34,L312+M312-1))/AVERAGE(INDEX($J$5:$J$34,L312):INDEX($J$5:$J$34,L312+M312-1)),"")</f>
        <v/>
      </c>
      <c r="P312" t="str">
        <f>IF(N312=1,IF(O312&lt;=COMBINACIONES!$B$5,1,0),"")</f>
        <v/>
      </c>
      <c r="Q312" t="str">
        <f>IF(N312=1,IF(P312=1,-M312,100)+O312+ROW()*0.000000000001,"")</f>
        <v/>
      </c>
    </row>
    <row r="313" spans="12:17" x14ac:dyDescent="0.3">
      <c r="L313">
        <v>15</v>
      </c>
      <c r="M313">
        <v>10</v>
      </c>
      <c r="N313">
        <f>IF(L313+M313-1&lt;=$J$2,1,0)</f>
        <v>0</v>
      </c>
      <c r="O313" t="str">
        <f>IF(N313=1,_xlfn.STDEV.S(INDEX($J$5:$J$34,L313):INDEX($J$5:$J$34,L313+M313-1))/AVERAGE(INDEX($J$5:$J$34,L313):INDEX($J$5:$J$34,L313+M313-1)),"")</f>
        <v/>
      </c>
      <c r="P313" t="str">
        <f>IF(N313=1,IF(O313&lt;=COMBINACIONES!$B$5,1,0),"")</f>
        <v/>
      </c>
      <c r="Q313" t="str">
        <f>IF(N313=1,IF(P313=1,-M313,100)+O313+ROW()*0.000000000001,"")</f>
        <v/>
      </c>
    </row>
    <row r="314" spans="12:17" x14ac:dyDescent="0.3">
      <c r="L314">
        <v>15</v>
      </c>
      <c r="M314">
        <v>11</v>
      </c>
      <c r="N314">
        <f>IF(L314+M314-1&lt;=$J$2,1,0)</f>
        <v>0</v>
      </c>
      <c r="O314" t="str">
        <f>IF(N314=1,_xlfn.STDEV.S(INDEX($J$5:$J$34,L314):INDEX($J$5:$J$34,L314+M314-1))/AVERAGE(INDEX($J$5:$J$34,L314):INDEX($J$5:$J$34,L314+M314-1)),"")</f>
        <v/>
      </c>
      <c r="P314" t="str">
        <f>IF(N314=1,IF(O314&lt;=COMBINACIONES!$B$5,1,0),"")</f>
        <v/>
      </c>
      <c r="Q314" t="str">
        <f>IF(N314=1,IF(P314=1,-M314,100)+O314+ROW()*0.000000000001,"")</f>
        <v/>
      </c>
    </row>
    <row r="315" spans="12:17" x14ac:dyDescent="0.3">
      <c r="L315">
        <v>15</v>
      </c>
      <c r="M315">
        <v>12</v>
      </c>
      <c r="N315">
        <f>IF(L315+M315-1&lt;=$J$2,1,0)</f>
        <v>0</v>
      </c>
      <c r="O315" t="str">
        <f>IF(N315=1,_xlfn.STDEV.S(INDEX($J$5:$J$34,L315):INDEX($J$5:$J$34,L315+M315-1))/AVERAGE(INDEX($J$5:$J$34,L315):INDEX($J$5:$J$34,L315+M315-1)),"")</f>
        <v/>
      </c>
      <c r="P315" t="str">
        <f>IF(N315=1,IF(O315&lt;=COMBINACIONES!$B$5,1,0),"")</f>
        <v/>
      </c>
      <c r="Q315" t="str">
        <f>IF(N315=1,IF(P315=1,-M315,100)+O315+ROW()*0.000000000001,"")</f>
        <v/>
      </c>
    </row>
    <row r="316" spans="12:17" x14ac:dyDescent="0.3">
      <c r="L316">
        <v>15</v>
      </c>
      <c r="M316">
        <v>13</v>
      </c>
      <c r="N316">
        <f>IF(L316+M316-1&lt;=$J$2,1,0)</f>
        <v>0</v>
      </c>
      <c r="O316" t="str">
        <f>IF(N316=1,_xlfn.STDEV.S(INDEX($J$5:$J$34,L316):INDEX($J$5:$J$34,L316+M316-1))/AVERAGE(INDEX($J$5:$J$34,L316):INDEX($J$5:$J$34,L316+M316-1)),"")</f>
        <v/>
      </c>
      <c r="P316" t="str">
        <f>IF(N316=1,IF(O316&lt;=COMBINACIONES!$B$5,1,0),"")</f>
        <v/>
      </c>
      <c r="Q316" t="str">
        <f>IF(N316=1,IF(P316=1,-M316,100)+O316+ROW()*0.000000000001,"")</f>
        <v/>
      </c>
    </row>
    <row r="317" spans="12:17" x14ac:dyDescent="0.3">
      <c r="L317">
        <v>15</v>
      </c>
      <c r="M317">
        <v>14</v>
      </c>
      <c r="N317">
        <f>IF(L317+M317-1&lt;=$J$2,1,0)</f>
        <v>0</v>
      </c>
      <c r="O317" t="str">
        <f>IF(N317=1,_xlfn.STDEV.S(INDEX($J$5:$J$34,L317):INDEX($J$5:$J$34,L317+M317-1))/AVERAGE(INDEX($J$5:$J$34,L317):INDEX($J$5:$J$34,L317+M317-1)),"")</f>
        <v/>
      </c>
      <c r="P317" t="str">
        <f>IF(N317=1,IF(O317&lt;=COMBINACIONES!$B$5,1,0),"")</f>
        <v/>
      </c>
      <c r="Q317" t="str">
        <f>IF(N317=1,IF(P317=1,-M317,100)+O317+ROW()*0.000000000001,"")</f>
        <v/>
      </c>
    </row>
    <row r="318" spans="12:17" x14ac:dyDescent="0.3">
      <c r="L318">
        <v>15</v>
      </c>
      <c r="M318">
        <v>15</v>
      </c>
      <c r="N318">
        <f>IF(L318+M318-1&lt;=$J$2,1,0)</f>
        <v>0</v>
      </c>
      <c r="O318" t="str">
        <f>IF(N318=1,_xlfn.STDEV.S(INDEX($J$5:$J$34,L318):INDEX($J$5:$J$34,L318+M318-1))/AVERAGE(INDEX($J$5:$J$34,L318):INDEX($J$5:$J$34,L318+M318-1)),"")</f>
        <v/>
      </c>
      <c r="P318" t="str">
        <f>IF(N318=1,IF(O318&lt;=COMBINACIONES!$B$5,1,0),"")</f>
        <v/>
      </c>
      <c r="Q318" t="str">
        <f>IF(N318=1,IF(P318=1,-M318,100)+O318+ROW()*0.000000000001,"")</f>
        <v/>
      </c>
    </row>
    <row r="319" spans="12:17" x14ac:dyDescent="0.3">
      <c r="L319">
        <v>15</v>
      </c>
      <c r="M319">
        <v>16</v>
      </c>
      <c r="N319">
        <f>IF(L319+M319-1&lt;=$J$2,1,0)</f>
        <v>0</v>
      </c>
      <c r="O319" t="str">
        <f>IF(N319=1,_xlfn.STDEV.S(INDEX($J$5:$J$34,L319):INDEX($J$5:$J$34,L319+M319-1))/AVERAGE(INDEX($J$5:$J$34,L319):INDEX($J$5:$J$34,L319+M319-1)),"")</f>
        <v/>
      </c>
      <c r="P319" t="str">
        <f>IF(N319=1,IF(O319&lt;=COMBINACIONES!$B$5,1,0),"")</f>
        <v/>
      </c>
      <c r="Q319" t="str">
        <f>IF(N319=1,IF(P319=1,-M319,100)+O319+ROW()*0.000000000001,"")</f>
        <v/>
      </c>
    </row>
    <row r="320" spans="12:17" x14ac:dyDescent="0.3">
      <c r="L320">
        <v>16</v>
      </c>
      <c r="M320">
        <v>3</v>
      </c>
      <c r="N320">
        <f>IF(L320+M320-1&lt;=$J$2,1,0)</f>
        <v>0</v>
      </c>
      <c r="O320" t="str">
        <f>IF(N320=1,_xlfn.STDEV.S(INDEX($J$5:$J$34,L320):INDEX($J$5:$J$34,L320+M320-1))/AVERAGE(INDEX($J$5:$J$34,L320):INDEX($J$5:$J$34,L320+M320-1)),"")</f>
        <v/>
      </c>
      <c r="P320" t="str">
        <f>IF(N320=1,IF(O320&lt;=COMBINACIONES!$B$5,1,0),"")</f>
        <v/>
      </c>
      <c r="Q320" t="str">
        <f>IF(N320=1,IF(P320=1,-M320,100)+O320+ROW()*0.000000000001,"")</f>
        <v/>
      </c>
    </row>
    <row r="321" spans="12:17" x14ac:dyDescent="0.3">
      <c r="L321">
        <v>16</v>
      </c>
      <c r="M321">
        <v>4</v>
      </c>
      <c r="N321">
        <f>IF(L321+M321-1&lt;=$J$2,1,0)</f>
        <v>0</v>
      </c>
      <c r="O321" t="str">
        <f>IF(N321=1,_xlfn.STDEV.S(INDEX($J$5:$J$34,L321):INDEX($J$5:$J$34,L321+M321-1))/AVERAGE(INDEX($J$5:$J$34,L321):INDEX($J$5:$J$34,L321+M321-1)),"")</f>
        <v/>
      </c>
      <c r="P321" t="str">
        <f>IF(N321=1,IF(O321&lt;=COMBINACIONES!$B$5,1,0),"")</f>
        <v/>
      </c>
      <c r="Q321" t="str">
        <f>IF(N321=1,IF(P321=1,-M321,100)+O321+ROW()*0.000000000001,"")</f>
        <v/>
      </c>
    </row>
    <row r="322" spans="12:17" x14ac:dyDescent="0.3">
      <c r="L322">
        <v>16</v>
      </c>
      <c r="M322">
        <v>5</v>
      </c>
      <c r="N322">
        <f>IF(L322+M322-1&lt;=$J$2,1,0)</f>
        <v>0</v>
      </c>
      <c r="O322" t="str">
        <f>IF(N322=1,_xlfn.STDEV.S(INDEX($J$5:$J$34,L322):INDEX($J$5:$J$34,L322+M322-1))/AVERAGE(INDEX($J$5:$J$34,L322):INDEX($J$5:$J$34,L322+M322-1)),"")</f>
        <v/>
      </c>
      <c r="P322" t="str">
        <f>IF(N322=1,IF(O322&lt;=COMBINACIONES!$B$5,1,0),"")</f>
        <v/>
      </c>
      <c r="Q322" t="str">
        <f>IF(N322=1,IF(P322=1,-M322,100)+O322+ROW()*0.000000000001,"")</f>
        <v/>
      </c>
    </row>
    <row r="323" spans="12:17" x14ac:dyDescent="0.3">
      <c r="L323">
        <v>16</v>
      </c>
      <c r="M323">
        <v>6</v>
      </c>
      <c r="N323">
        <f>IF(L323+M323-1&lt;=$J$2,1,0)</f>
        <v>0</v>
      </c>
      <c r="O323" t="str">
        <f>IF(N323=1,_xlfn.STDEV.S(INDEX($J$5:$J$34,L323):INDEX($J$5:$J$34,L323+M323-1))/AVERAGE(INDEX($J$5:$J$34,L323):INDEX($J$5:$J$34,L323+M323-1)),"")</f>
        <v/>
      </c>
      <c r="P323" t="str">
        <f>IF(N323=1,IF(O323&lt;=COMBINACIONES!$B$5,1,0),"")</f>
        <v/>
      </c>
      <c r="Q323" t="str">
        <f>IF(N323=1,IF(P323=1,-M323,100)+O323+ROW()*0.000000000001,"")</f>
        <v/>
      </c>
    </row>
    <row r="324" spans="12:17" x14ac:dyDescent="0.3">
      <c r="L324">
        <v>16</v>
      </c>
      <c r="M324">
        <v>7</v>
      </c>
      <c r="N324">
        <f>IF(L324+M324-1&lt;=$J$2,1,0)</f>
        <v>0</v>
      </c>
      <c r="O324" t="str">
        <f>IF(N324=1,_xlfn.STDEV.S(INDEX($J$5:$J$34,L324):INDEX($J$5:$J$34,L324+M324-1))/AVERAGE(INDEX($J$5:$J$34,L324):INDEX($J$5:$J$34,L324+M324-1)),"")</f>
        <v/>
      </c>
      <c r="P324" t="str">
        <f>IF(N324=1,IF(O324&lt;=COMBINACIONES!$B$5,1,0),"")</f>
        <v/>
      </c>
      <c r="Q324" t="str">
        <f>IF(N324=1,IF(P324=1,-M324,100)+O324+ROW()*0.000000000001,"")</f>
        <v/>
      </c>
    </row>
    <row r="325" spans="12:17" x14ac:dyDescent="0.3">
      <c r="L325">
        <v>16</v>
      </c>
      <c r="M325">
        <v>8</v>
      </c>
      <c r="N325">
        <f>IF(L325+M325-1&lt;=$J$2,1,0)</f>
        <v>0</v>
      </c>
      <c r="O325" t="str">
        <f>IF(N325=1,_xlfn.STDEV.S(INDEX($J$5:$J$34,L325):INDEX($J$5:$J$34,L325+M325-1))/AVERAGE(INDEX($J$5:$J$34,L325):INDEX($J$5:$J$34,L325+M325-1)),"")</f>
        <v/>
      </c>
      <c r="P325" t="str">
        <f>IF(N325=1,IF(O325&lt;=COMBINACIONES!$B$5,1,0),"")</f>
        <v/>
      </c>
      <c r="Q325" t="str">
        <f>IF(N325=1,IF(P325=1,-M325,100)+O325+ROW()*0.000000000001,"")</f>
        <v/>
      </c>
    </row>
    <row r="326" spans="12:17" x14ac:dyDescent="0.3">
      <c r="L326">
        <v>16</v>
      </c>
      <c r="M326">
        <v>9</v>
      </c>
      <c r="N326">
        <f>IF(L326+M326-1&lt;=$J$2,1,0)</f>
        <v>0</v>
      </c>
      <c r="O326" t="str">
        <f>IF(N326=1,_xlfn.STDEV.S(INDEX($J$5:$J$34,L326):INDEX($J$5:$J$34,L326+M326-1))/AVERAGE(INDEX($J$5:$J$34,L326):INDEX($J$5:$J$34,L326+M326-1)),"")</f>
        <v/>
      </c>
      <c r="P326" t="str">
        <f>IF(N326=1,IF(O326&lt;=COMBINACIONES!$B$5,1,0),"")</f>
        <v/>
      </c>
      <c r="Q326" t="str">
        <f>IF(N326=1,IF(P326=1,-M326,100)+O326+ROW()*0.000000000001,"")</f>
        <v/>
      </c>
    </row>
    <row r="327" spans="12:17" x14ac:dyDescent="0.3">
      <c r="L327">
        <v>16</v>
      </c>
      <c r="M327">
        <v>10</v>
      </c>
      <c r="N327">
        <f>IF(L327+M327-1&lt;=$J$2,1,0)</f>
        <v>0</v>
      </c>
      <c r="O327" t="str">
        <f>IF(N327=1,_xlfn.STDEV.S(INDEX($J$5:$J$34,L327):INDEX($J$5:$J$34,L327+M327-1))/AVERAGE(INDEX($J$5:$J$34,L327):INDEX($J$5:$J$34,L327+M327-1)),"")</f>
        <v/>
      </c>
      <c r="P327" t="str">
        <f>IF(N327=1,IF(O327&lt;=COMBINACIONES!$B$5,1,0),"")</f>
        <v/>
      </c>
      <c r="Q327" t="str">
        <f>IF(N327=1,IF(P327=1,-M327,100)+O327+ROW()*0.000000000001,"")</f>
        <v/>
      </c>
    </row>
    <row r="328" spans="12:17" x14ac:dyDescent="0.3">
      <c r="L328">
        <v>16</v>
      </c>
      <c r="M328">
        <v>11</v>
      </c>
      <c r="N328">
        <f>IF(L328+M328-1&lt;=$J$2,1,0)</f>
        <v>0</v>
      </c>
      <c r="O328" t="str">
        <f>IF(N328=1,_xlfn.STDEV.S(INDEX($J$5:$J$34,L328):INDEX($J$5:$J$34,L328+M328-1))/AVERAGE(INDEX($J$5:$J$34,L328):INDEX($J$5:$J$34,L328+M328-1)),"")</f>
        <v/>
      </c>
      <c r="P328" t="str">
        <f>IF(N328=1,IF(O328&lt;=COMBINACIONES!$B$5,1,0),"")</f>
        <v/>
      </c>
      <c r="Q328" t="str">
        <f>IF(N328=1,IF(P328=1,-M328,100)+O328+ROW()*0.000000000001,"")</f>
        <v/>
      </c>
    </row>
    <row r="329" spans="12:17" x14ac:dyDescent="0.3">
      <c r="L329">
        <v>16</v>
      </c>
      <c r="M329">
        <v>12</v>
      </c>
      <c r="N329">
        <f>IF(L329+M329-1&lt;=$J$2,1,0)</f>
        <v>0</v>
      </c>
      <c r="O329" t="str">
        <f>IF(N329=1,_xlfn.STDEV.S(INDEX($J$5:$J$34,L329):INDEX($J$5:$J$34,L329+M329-1))/AVERAGE(INDEX($J$5:$J$34,L329):INDEX($J$5:$J$34,L329+M329-1)),"")</f>
        <v/>
      </c>
      <c r="P329" t="str">
        <f>IF(N329=1,IF(O329&lt;=COMBINACIONES!$B$5,1,0),"")</f>
        <v/>
      </c>
      <c r="Q329" t="str">
        <f>IF(N329=1,IF(P329=1,-M329,100)+O329+ROW()*0.000000000001,"")</f>
        <v/>
      </c>
    </row>
    <row r="330" spans="12:17" x14ac:dyDescent="0.3">
      <c r="L330">
        <v>16</v>
      </c>
      <c r="M330">
        <v>13</v>
      </c>
      <c r="N330">
        <f>IF(L330+M330-1&lt;=$J$2,1,0)</f>
        <v>0</v>
      </c>
      <c r="O330" t="str">
        <f>IF(N330=1,_xlfn.STDEV.S(INDEX($J$5:$J$34,L330):INDEX($J$5:$J$34,L330+M330-1))/AVERAGE(INDEX($J$5:$J$34,L330):INDEX($J$5:$J$34,L330+M330-1)),"")</f>
        <v/>
      </c>
      <c r="P330" t="str">
        <f>IF(N330=1,IF(O330&lt;=COMBINACIONES!$B$5,1,0),"")</f>
        <v/>
      </c>
      <c r="Q330" t="str">
        <f>IF(N330=1,IF(P330=1,-M330,100)+O330+ROW()*0.000000000001,"")</f>
        <v/>
      </c>
    </row>
    <row r="331" spans="12:17" x14ac:dyDescent="0.3">
      <c r="L331">
        <v>16</v>
      </c>
      <c r="M331">
        <v>14</v>
      </c>
      <c r="N331">
        <f>IF(L331+M331-1&lt;=$J$2,1,0)</f>
        <v>0</v>
      </c>
      <c r="O331" t="str">
        <f>IF(N331=1,_xlfn.STDEV.S(INDEX($J$5:$J$34,L331):INDEX($J$5:$J$34,L331+M331-1))/AVERAGE(INDEX($J$5:$J$34,L331):INDEX($J$5:$J$34,L331+M331-1)),"")</f>
        <v/>
      </c>
      <c r="P331" t="str">
        <f>IF(N331=1,IF(O331&lt;=COMBINACIONES!$B$5,1,0),"")</f>
        <v/>
      </c>
      <c r="Q331" t="str">
        <f>IF(N331=1,IF(P331=1,-M331,100)+O331+ROW()*0.000000000001,"")</f>
        <v/>
      </c>
    </row>
    <row r="332" spans="12:17" x14ac:dyDescent="0.3">
      <c r="L332">
        <v>16</v>
      </c>
      <c r="M332">
        <v>15</v>
      </c>
      <c r="N332">
        <f>IF(L332+M332-1&lt;=$J$2,1,0)</f>
        <v>0</v>
      </c>
      <c r="O332" t="str">
        <f>IF(N332=1,_xlfn.STDEV.S(INDEX($J$5:$J$34,L332):INDEX($J$5:$J$34,L332+M332-1))/AVERAGE(INDEX($J$5:$J$34,L332):INDEX($J$5:$J$34,L332+M332-1)),"")</f>
        <v/>
      </c>
      <c r="P332" t="str">
        <f>IF(N332=1,IF(O332&lt;=COMBINACIONES!$B$5,1,0),"")</f>
        <v/>
      </c>
      <c r="Q332" t="str">
        <f>IF(N332=1,IF(P332=1,-M332,100)+O332+ROW()*0.000000000001,"")</f>
        <v/>
      </c>
    </row>
    <row r="333" spans="12:17" x14ac:dyDescent="0.3">
      <c r="L333">
        <v>17</v>
      </c>
      <c r="M333">
        <v>3</v>
      </c>
      <c r="N333">
        <f>IF(L333+M333-1&lt;=$J$2,1,0)</f>
        <v>0</v>
      </c>
      <c r="O333" t="str">
        <f>IF(N333=1,_xlfn.STDEV.S(INDEX($J$5:$J$34,L333):INDEX($J$5:$J$34,L333+M333-1))/AVERAGE(INDEX($J$5:$J$34,L333):INDEX($J$5:$J$34,L333+M333-1)),"")</f>
        <v/>
      </c>
      <c r="P333" t="str">
        <f>IF(N333=1,IF(O333&lt;=COMBINACIONES!$B$5,1,0),"")</f>
        <v/>
      </c>
      <c r="Q333" t="str">
        <f>IF(N333=1,IF(P333=1,-M333,100)+O333+ROW()*0.000000000001,"")</f>
        <v/>
      </c>
    </row>
    <row r="334" spans="12:17" x14ac:dyDescent="0.3">
      <c r="L334">
        <v>17</v>
      </c>
      <c r="M334">
        <v>4</v>
      </c>
      <c r="N334">
        <f>IF(L334+M334-1&lt;=$J$2,1,0)</f>
        <v>0</v>
      </c>
      <c r="O334" t="str">
        <f>IF(N334=1,_xlfn.STDEV.S(INDEX($J$5:$J$34,L334):INDEX($J$5:$J$34,L334+M334-1))/AVERAGE(INDEX($J$5:$J$34,L334):INDEX($J$5:$J$34,L334+M334-1)),"")</f>
        <v/>
      </c>
      <c r="P334" t="str">
        <f>IF(N334=1,IF(O334&lt;=COMBINACIONES!$B$5,1,0),"")</f>
        <v/>
      </c>
      <c r="Q334" t="str">
        <f>IF(N334=1,IF(P334=1,-M334,100)+O334+ROW()*0.000000000001,"")</f>
        <v/>
      </c>
    </row>
    <row r="335" spans="12:17" x14ac:dyDescent="0.3">
      <c r="L335">
        <v>17</v>
      </c>
      <c r="M335">
        <v>5</v>
      </c>
      <c r="N335">
        <f>IF(L335+M335-1&lt;=$J$2,1,0)</f>
        <v>0</v>
      </c>
      <c r="O335" t="str">
        <f>IF(N335=1,_xlfn.STDEV.S(INDEX($J$5:$J$34,L335):INDEX($J$5:$J$34,L335+M335-1))/AVERAGE(INDEX($J$5:$J$34,L335):INDEX($J$5:$J$34,L335+M335-1)),"")</f>
        <v/>
      </c>
      <c r="P335" t="str">
        <f>IF(N335=1,IF(O335&lt;=COMBINACIONES!$B$5,1,0),"")</f>
        <v/>
      </c>
      <c r="Q335" t="str">
        <f>IF(N335=1,IF(P335=1,-M335,100)+O335+ROW()*0.000000000001,"")</f>
        <v/>
      </c>
    </row>
    <row r="336" spans="12:17" x14ac:dyDescent="0.3">
      <c r="L336">
        <v>17</v>
      </c>
      <c r="M336">
        <v>6</v>
      </c>
      <c r="N336">
        <f>IF(L336+M336-1&lt;=$J$2,1,0)</f>
        <v>0</v>
      </c>
      <c r="O336" t="str">
        <f>IF(N336=1,_xlfn.STDEV.S(INDEX($J$5:$J$34,L336):INDEX($J$5:$J$34,L336+M336-1))/AVERAGE(INDEX($J$5:$J$34,L336):INDEX($J$5:$J$34,L336+M336-1)),"")</f>
        <v/>
      </c>
      <c r="P336" t="str">
        <f>IF(N336=1,IF(O336&lt;=COMBINACIONES!$B$5,1,0),"")</f>
        <v/>
      </c>
      <c r="Q336" t="str">
        <f>IF(N336=1,IF(P336=1,-M336,100)+O336+ROW()*0.000000000001,"")</f>
        <v/>
      </c>
    </row>
    <row r="337" spans="12:17" x14ac:dyDescent="0.3">
      <c r="L337">
        <v>17</v>
      </c>
      <c r="M337">
        <v>7</v>
      </c>
      <c r="N337">
        <f>IF(L337+M337-1&lt;=$J$2,1,0)</f>
        <v>0</v>
      </c>
      <c r="O337" t="str">
        <f>IF(N337=1,_xlfn.STDEV.S(INDEX($J$5:$J$34,L337):INDEX($J$5:$J$34,L337+M337-1))/AVERAGE(INDEX($J$5:$J$34,L337):INDEX($J$5:$J$34,L337+M337-1)),"")</f>
        <v/>
      </c>
      <c r="P337" t="str">
        <f>IF(N337=1,IF(O337&lt;=COMBINACIONES!$B$5,1,0),"")</f>
        <v/>
      </c>
      <c r="Q337" t="str">
        <f>IF(N337=1,IF(P337=1,-M337,100)+O337+ROW()*0.000000000001,"")</f>
        <v/>
      </c>
    </row>
    <row r="338" spans="12:17" x14ac:dyDescent="0.3">
      <c r="L338">
        <v>17</v>
      </c>
      <c r="M338">
        <v>8</v>
      </c>
      <c r="N338">
        <f>IF(L338+M338-1&lt;=$J$2,1,0)</f>
        <v>0</v>
      </c>
      <c r="O338" t="str">
        <f>IF(N338=1,_xlfn.STDEV.S(INDEX($J$5:$J$34,L338):INDEX($J$5:$J$34,L338+M338-1))/AVERAGE(INDEX($J$5:$J$34,L338):INDEX($J$5:$J$34,L338+M338-1)),"")</f>
        <v/>
      </c>
      <c r="P338" t="str">
        <f>IF(N338=1,IF(O338&lt;=COMBINACIONES!$B$5,1,0),"")</f>
        <v/>
      </c>
      <c r="Q338" t="str">
        <f>IF(N338=1,IF(P338=1,-M338,100)+O338+ROW()*0.000000000001,"")</f>
        <v/>
      </c>
    </row>
    <row r="339" spans="12:17" x14ac:dyDescent="0.3">
      <c r="L339">
        <v>17</v>
      </c>
      <c r="M339">
        <v>9</v>
      </c>
      <c r="N339">
        <f>IF(L339+M339-1&lt;=$J$2,1,0)</f>
        <v>0</v>
      </c>
      <c r="O339" t="str">
        <f>IF(N339=1,_xlfn.STDEV.S(INDEX($J$5:$J$34,L339):INDEX($J$5:$J$34,L339+M339-1))/AVERAGE(INDEX($J$5:$J$34,L339):INDEX($J$5:$J$34,L339+M339-1)),"")</f>
        <v/>
      </c>
      <c r="P339" t="str">
        <f>IF(N339=1,IF(O339&lt;=COMBINACIONES!$B$5,1,0),"")</f>
        <v/>
      </c>
      <c r="Q339" t="str">
        <f>IF(N339=1,IF(P339=1,-M339,100)+O339+ROW()*0.000000000001,"")</f>
        <v/>
      </c>
    </row>
    <row r="340" spans="12:17" x14ac:dyDescent="0.3">
      <c r="L340">
        <v>17</v>
      </c>
      <c r="M340">
        <v>10</v>
      </c>
      <c r="N340">
        <f>IF(L340+M340-1&lt;=$J$2,1,0)</f>
        <v>0</v>
      </c>
      <c r="O340" t="str">
        <f>IF(N340=1,_xlfn.STDEV.S(INDEX($J$5:$J$34,L340):INDEX($J$5:$J$34,L340+M340-1))/AVERAGE(INDEX($J$5:$J$34,L340):INDEX($J$5:$J$34,L340+M340-1)),"")</f>
        <v/>
      </c>
      <c r="P340" t="str">
        <f>IF(N340=1,IF(O340&lt;=COMBINACIONES!$B$5,1,0),"")</f>
        <v/>
      </c>
      <c r="Q340" t="str">
        <f>IF(N340=1,IF(P340=1,-M340,100)+O340+ROW()*0.000000000001,"")</f>
        <v/>
      </c>
    </row>
    <row r="341" spans="12:17" x14ac:dyDescent="0.3">
      <c r="L341">
        <v>17</v>
      </c>
      <c r="M341">
        <v>11</v>
      </c>
      <c r="N341">
        <f>IF(L341+M341-1&lt;=$J$2,1,0)</f>
        <v>0</v>
      </c>
      <c r="O341" t="str">
        <f>IF(N341=1,_xlfn.STDEV.S(INDEX($J$5:$J$34,L341):INDEX($J$5:$J$34,L341+M341-1))/AVERAGE(INDEX($J$5:$J$34,L341):INDEX($J$5:$J$34,L341+M341-1)),"")</f>
        <v/>
      </c>
      <c r="P341" t="str">
        <f>IF(N341=1,IF(O341&lt;=COMBINACIONES!$B$5,1,0),"")</f>
        <v/>
      </c>
      <c r="Q341" t="str">
        <f>IF(N341=1,IF(P341=1,-M341,100)+O341+ROW()*0.000000000001,"")</f>
        <v/>
      </c>
    </row>
    <row r="342" spans="12:17" x14ac:dyDescent="0.3">
      <c r="L342">
        <v>17</v>
      </c>
      <c r="M342">
        <v>12</v>
      </c>
      <c r="N342">
        <f>IF(L342+M342-1&lt;=$J$2,1,0)</f>
        <v>0</v>
      </c>
      <c r="O342" t="str">
        <f>IF(N342=1,_xlfn.STDEV.S(INDEX($J$5:$J$34,L342):INDEX($J$5:$J$34,L342+M342-1))/AVERAGE(INDEX($J$5:$J$34,L342):INDEX($J$5:$J$34,L342+M342-1)),"")</f>
        <v/>
      </c>
      <c r="P342" t="str">
        <f>IF(N342=1,IF(O342&lt;=COMBINACIONES!$B$5,1,0),"")</f>
        <v/>
      </c>
      <c r="Q342" t="str">
        <f>IF(N342=1,IF(P342=1,-M342,100)+O342+ROW()*0.000000000001,"")</f>
        <v/>
      </c>
    </row>
    <row r="343" spans="12:17" x14ac:dyDescent="0.3">
      <c r="L343">
        <v>17</v>
      </c>
      <c r="M343">
        <v>13</v>
      </c>
      <c r="N343">
        <f>IF(L343+M343-1&lt;=$J$2,1,0)</f>
        <v>0</v>
      </c>
      <c r="O343" t="str">
        <f>IF(N343=1,_xlfn.STDEV.S(INDEX($J$5:$J$34,L343):INDEX($J$5:$J$34,L343+M343-1))/AVERAGE(INDEX($J$5:$J$34,L343):INDEX($J$5:$J$34,L343+M343-1)),"")</f>
        <v/>
      </c>
      <c r="P343" t="str">
        <f>IF(N343=1,IF(O343&lt;=COMBINACIONES!$B$5,1,0),"")</f>
        <v/>
      </c>
      <c r="Q343" t="str">
        <f>IF(N343=1,IF(P343=1,-M343,100)+O343+ROW()*0.000000000001,"")</f>
        <v/>
      </c>
    </row>
    <row r="344" spans="12:17" x14ac:dyDescent="0.3">
      <c r="L344">
        <v>17</v>
      </c>
      <c r="M344">
        <v>14</v>
      </c>
      <c r="N344">
        <f>IF(L344+M344-1&lt;=$J$2,1,0)</f>
        <v>0</v>
      </c>
      <c r="O344" t="str">
        <f>IF(N344=1,_xlfn.STDEV.S(INDEX($J$5:$J$34,L344):INDEX($J$5:$J$34,L344+M344-1))/AVERAGE(INDEX($J$5:$J$34,L344):INDEX($J$5:$J$34,L344+M344-1)),"")</f>
        <v/>
      </c>
      <c r="P344" t="str">
        <f>IF(N344=1,IF(O344&lt;=COMBINACIONES!$B$5,1,0),"")</f>
        <v/>
      </c>
      <c r="Q344" t="str">
        <f>IF(N344=1,IF(P344=1,-M344,100)+O344+ROW()*0.000000000001,"")</f>
        <v/>
      </c>
    </row>
    <row r="345" spans="12:17" x14ac:dyDescent="0.3">
      <c r="L345">
        <v>18</v>
      </c>
      <c r="M345">
        <v>3</v>
      </c>
      <c r="N345">
        <f>IF(L345+M345-1&lt;=$J$2,1,0)</f>
        <v>0</v>
      </c>
      <c r="O345" t="str">
        <f>IF(N345=1,_xlfn.STDEV.S(INDEX($J$5:$J$34,L345):INDEX($J$5:$J$34,L345+M345-1))/AVERAGE(INDEX($J$5:$J$34,L345):INDEX($J$5:$J$34,L345+M345-1)),"")</f>
        <v/>
      </c>
      <c r="P345" t="str">
        <f>IF(N345=1,IF(O345&lt;=COMBINACIONES!$B$5,1,0),"")</f>
        <v/>
      </c>
      <c r="Q345" t="str">
        <f>IF(N345=1,IF(P345=1,-M345,100)+O345+ROW()*0.000000000001,"")</f>
        <v/>
      </c>
    </row>
    <row r="346" spans="12:17" x14ac:dyDescent="0.3">
      <c r="L346">
        <v>18</v>
      </c>
      <c r="M346">
        <v>4</v>
      </c>
      <c r="N346">
        <f>IF(L346+M346-1&lt;=$J$2,1,0)</f>
        <v>0</v>
      </c>
      <c r="O346" t="str">
        <f>IF(N346=1,_xlfn.STDEV.S(INDEX($J$5:$J$34,L346):INDEX($J$5:$J$34,L346+M346-1))/AVERAGE(INDEX($J$5:$J$34,L346):INDEX($J$5:$J$34,L346+M346-1)),"")</f>
        <v/>
      </c>
      <c r="P346" t="str">
        <f>IF(N346=1,IF(O346&lt;=COMBINACIONES!$B$5,1,0),"")</f>
        <v/>
      </c>
      <c r="Q346" t="str">
        <f>IF(N346=1,IF(P346=1,-M346,100)+O346+ROW()*0.000000000001,"")</f>
        <v/>
      </c>
    </row>
    <row r="347" spans="12:17" x14ac:dyDescent="0.3">
      <c r="L347">
        <v>18</v>
      </c>
      <c r="M347">
        <v>5</v>
      </c>
      <c r="N347">
        <f>IF(L347+M347-1&lt;=$J$2,1,0)</f>
        <v>0</v>
      </c>
      <c r="O347" t="str">
        <f>IF(N347=1,_xlfn.STDEV.S(INDEX($J$5:$J$34,L347):INDEX($J$5:$J$34,L347+M347-1))/AVERAGE(INDEX($J$5:$J$34,L347):INDEX($J$5:$J$34,L347+M347-1)),"")</f>
        <v/>
      </c>
      <c r="P347" t="str">
        <f>IF(N347=1,IF(O347&lt;=COMBINACIONES!$B$5,1,0),"")</f>
        <v/>
      </c>
      <c r="Q347" t="str">
        <f>IF(N347=1,IF(P347=1,-M347,100)+O347+ROW()*0.000000000001,"")</f>
        <v/>
      </c>
    </row>
    <row r="348" spans="12:17" x14ac:dyDescent="0.3">
      <c r="L348">
        <v>18</v>
      </c>
      <c r="M348">
        <v>6</v>
      </c>
      <c r="N348">
        <f>IF(L348+M348-1&lt;=$J$2,1,0)</f>
        <v>0</v>
      </c>
      <c r="O348" t="str">
        <f>IF(N348=1,_xlfn.STDEV.S(INDEX($J$5:$J$34,L348):INDEX($J$5:$J$34,L348+M348-1))/AVERAGE(INDEX($J$5:$J$34,L348):INDEX($J$5:$J$34,L348+M348-1)),"")</f>
        <v/>
      </c>
      <c r="P348" t="str">
        <f>IF(N348=1,IF(O348&lt;=COMBINACIONES!$B$5,1,0),"")</f>
        <v/>
      </c>
      <c r="Q348" t="str">
        <f>IF(N348=1,IF(P348=1,-M348,100)+O348+ROW()*0.000000000001,"")</f>
        <v/>
      </c>
    </row>
    <row r="349" spans="12:17" x14ac:dyDescent="0.3">
      <c r="L349">
        <v>18</v>
      </c>
      <c r="M349">
        <v>7</v>
      </c>
      <c r="N349">
        <f>IF(L349+M349-1&lt;=$J$2,1,0)</f>
        <v>0</v>
      </c>
      <c r="O349" t="str">
        <f>IF(N349=1,_xlfn.STDEV.S(INDEX($J$5:$J$34,L349):INDEX($J$5:$J$34,L349+M349-1))/AVERAGE(INDEX($J$5:$J$34,L349):INDEX($J$5:$J$34,L349+M349-1)),"")</f>
        <v/>
      </c>
      <c r="P349" t="str">
        <f>IF(N349=1,IF(O349&lt;=COMBINACIONES!$B$5,1,0),"")</f>
        <v/>
      </c>
      <c r="Q349" t="str">
        <f>IF(N349=1,IF(P349=1,-M349,100)+O349+ROW()*0.000000000001,"")</f>
        <v/>
      </c>
    </row>
    <row r="350" spans="12:17" x14ac:dyDescent="0.3">
      <c r="L350">
        <v>18</v>
      </c>
      <c r="M350">
        <v>8</v>
      </c>
      <c r="N350">
        <f>IF(L350+M350-1&lt;=$J$2,1,0)</f>
        <v>0</v>
      </c>
      <c r="O350" t="str">
        <f>IF(N350=1,_xlfn.STDEV.S(INDEX($J$5:$J$34,L350):INDEX($J$5:$J$34,L350+M350-1))/AVERAGE(INDEX($J$5:$J$34,L350):INDEX($J$5:$J$34,L350+M350-1)),"")</f>
        <v/>
      </c>
      <c r="P350" t="str">
        <f>IF(N350=1,IF(O350&lt;=COMBINACIONES!$B$5,1,0),"")</f>
        <v/>
      </c>
      <c r="Q350" t="str">
        <f>IF(N350=1,IF(P350=1,-M350,100)+O350+ROW()*0.000000000001,"")</f>
        <v/>
      </c>
    </row>
    <row r="351" spans="12:17" x14ac:dyDescent="0.3">
      <c r="L351">
        <v>18</v>
      </c>
      <c r="M351">
        <v>9</v>
      </c>
      <c r="N351">
        <f>IF(L351+M351-1&lt;=$J$2,1,0)</f>
        <v>0</v>
      </c>
      <c r="O351" t="str">
        <f>IF(N351=1,_xlfn.STDEV.S(INDEX($J$5:$J$34,L351):INDEX($J$5:$J$34,L351+M351-1))/AVERAGE(INDEX($J$5:$J$34,L351):INDEX($J$5:$J$34,L351+M351-1)),"")</f>
        <v/>
      </c>
      <c r="P351" t="str">
        <f>IF(N351=1,IF(O351&lt;=COMBINACIONES!$B$5,1,0),"")</f>
        <v/>
      </c>
      <c r="Q351" t="str">
        <f>IF(N351=1,IF(P351=1,-M351,100)+O351+ROW()*0.000000000001,"")</f>
        <v/>
      </c>
    </row>
    <row r="352" spans="12:17" x14ac:dyDescent="0.3">
      <c r="L352">
        <v>18</v>
      </c>
      <c r="M352">
        <v>10</v>
      </c>
      <c r="N352">
        <f>IF(L352+M352-1&lt;=$J$2,1,0)</f>
        <v>0</v>
      </c>
      <c r="O352" t="str">
        <f>IF(N352=1,_xlfn.STDEV.S(INDEX($J$5:$J$34,L352):INDEX($J$5:$J$34,L352+M352-1))/AVERAGE(INDEX($J$5:$J$34,L352):INDEX($J$5:$J$34,L352+M352-1)),"")</f>
        <v/>
      </c>
      <c r="P352" t="str">
        <f>IF(N352=1,IF(O352&lt;=COMBINACIONES!$B$5,1,0),"")</f>
        <v/>
      </c>
      <c r="Q352" t="str">
        <f>IF(N352=1,IF(P352=1,-M352,100)+O352+ROW()*0.000000000001,"")</f>
        <v/>
      </c>
    </row>
    <row r="353" spans="12:17" x14ac:dyDescent="0.3">
      <c r="L353">
        <v>18</v>
      </c>
      <c r="M353">
        <v>11</v>
      </c>
      <c r="N353">
        <f>IF(L353+M353-1&lt;=$J$2,1,0)</f>
        <v>0</v>
      </c>
      <c r="O353" t="str">
        <f>IF(N353=1,_xlfn.STDEV.S(INDEX($J$5:$J$34,L353):INDEX($J$5:$J$34,L353+M353-1))/AVERAGE(INDEX($J$5:$J$34,L353):INDEX($J$5:$J$34,L353+M353-1)),"")</f>
        <v/>
      </c>
      <c r="P353" t="str">
        <f>IF(N353=1,IF(O353&lt;=COMBINACIONES!$B$5,1,0),"")</f>
        <v/>
      </c>
      <c r="Q353" t="str">
        <f>IF(N353=1,IF(P353=1,-M353,100)+O353+ROW()*0.000000000001,"")</f>
        <v/>
      </c>
    </row>
    <row r="354" spans="12:17" x14ac:dyDescent="0.3">
      <c r="L354">
        <v>18</v>
      </c>
      <c r="M354">
        <v>12</v>
      </c>
      <c r="N354">
        <f>IF(L354+M354-1&lt;=$J$2,1,0)</f>
        <v>0</v>
      </c>
      <c r="O354" t="str">
        <f>IF(N354=1,_xlfn.STDEV.S(INDEX($J$5:$J$34,L354):INDEX($J$5:$J$34,L354+M354-1))/AVERAGE(INDEX($J$5:$J$34,L354):INDEX($J$5:$J$34,L354+M354-1)),"")</f>
        <v/>
      </c>
      <c r="P354" t="str">
        <f>IF(N354=1,IF(O354&lt;=COMBINACIONES!$B$5,1,0),"")</f>
        <v/>
      </c>
      <c r="Q354" t="str">
        <f>IF(N354=1,IF(P354=1,-M354,100)+O354+ROW()*0.000000000001,"")</f>
        <v/>
      </c>
    </row>
    <row r="355" spans="12:17" x14ac:dyDescent="0.3">
      <c r="L355">
        <v>18</v>
      </c>
      <c r="M355">
        <v>13</v>
      </c>
      <c r="N355">
        <f>IF(L355+M355-1&lt;=$J$2,1,0)</f>
        <v>0</v>
      </c>
      <c r="O355" t="str">
        <f>IF(N355=1,_xlfn.STDEV.S(INDEX($J$5:$J$34,L355):INDEX($J$5:$J$34,L355+M355-1))/AVERAGE(INDEX($J$5:$J$34,L355):INDEX($J$5:$J$34,L355+M355-1)),"")</f>
        <v/>
      </c>
      <c r="P355" t="str">
        <f>IF(N355=1,IF(O355&lt;=COMBINACIONES!$B$5,1,0),"")</f>
        <v/>
      </c>
      <c r="Q355" t="str">
        <f>IF(N355=1,IF(P355=1,-M355,100)+O355+ROW()*0.000000000001,"")</f>
        <v/>
      </c>
    </row>
    <row r="356" spans="12:17" x14ac:dyDescent="0.3">
      <c r="L356">
        <v>19</v>
      </c>
      <c r="M356">
        <v>3</v>
      </c>
      <c r="N356">
        <f>IF(L356+M356-1&lt;=$J$2,1,0)</f>
        <v>0</v>
      </c>
      <c r="O356" t="str">
        <f>IF(N356=1,_xlfn.STDEV.S(INDEX($J$5:$J$34,L356):INDEX($J$5:$J$34,L356+M356-1))/AVERAGE(INDEX($J$5:$J$34,L356):INDEX($J$5:$J$34,L356+M356-1)),"")</f>
        <v/>
      </c>
      <c r="P356" t="str">
        <f>IF(N356=1,IF(O356&lt;=COMBINACIONES!$B$5,1,0),"")</f>
        <v/>
      </c>
      <c r="Q356" t="str">
        <f>IF(N356=1,IF(P356=1,-M356,100)+O356+ROW()*0.000000000001,"")</f>
        <v/>
      </c>
    </row>
    <row r="357" spans="12:17" x14ac:dyDescent="0.3">
      <c r="L357">
        <v>19</v>
      </c>
      <c r="M357">
        <v>4</v>
      </c>
      <c r="N357">
        <f>IF(L357+M357-1&lt;=$J$2,1,0)</f>
        <v>0</v>
      </c>
      <c r="O357" t="str">
        <f>IF(N357=1,_xlfn.STDEV.S(INDEX($J$5:$J$34,L357):INDEX($J$5:$J$34,L357+M357-1))/AVERAGE(INDEX($J$5:$J$34,L357):INDEX($J$5:$J$34,L357+M357-1)),"")</f>
        <v/>
      </c>
      <c r="P357" t="str">
        <f>IF(N357=1,IF(O357&lt;=COMBINACIONES!$B$5,1,0),"")</f>
        <v/>
      </c>
      <c r="Q357" t="str">
        <f>IF(N357=1,IF(P357=1,-M357,100)+O357+ROW()*0.000000000001,"")</f>
        <v/>
      </c>
    </row>
    <row r="358" spans="12:17" x14ac:dyDescent="0.3">
      <c r="L358">
        <v>19</v>
      </c>
      <c r="M358">
        <v>5</v>
      </c>
      <c r="N358">
        <f>IF(L358+M358-1&lt;=$J$2,1,0)</f>
        <v>0</v>
      </c>
      <c r="O358" t="str">
        <f>IF(N358=1,_xlfn.STDEV.S(INDEX($J$5:$J$34,L358):INDEX($J$5:$J$34,L358+M358-1))/AVERAGE(INDEX($J$5:$J$34,L358):INDEX($J$5:$J$34,L358+M358-1)),"")</f>
        <v/>
      </c>
      <c r="P358" t="str">
        <f>IF(N358=1,IF(O358&lt;=COMBINACIONES!$B$5,1,0),"")</f>
        <v/>
      </c>
      <c r="Q358" t="str">
        <f>IF(N358=1,IF(P358=1,-M358,100)+O358+ROW()*0.000000000001,"")</f>
        <v/>
      </c>
    </row>
    <row r="359" spans="12:17" x14ac:dyDescent="0.3">
      <c r="L359">
        <v>19</v>
      </c>
      <c r="M359">
        <v>6</v>
      </c>
      <c r="N359">
        <f>IF(L359+M359-1&lt;=$J$2,1,0)</f>
        <v>0</v>
      </c>
      <c r="O359" t="str">
        <f>IF(N359=1,_xlfn.STDEV.S(INDEX($J$5:$J$34,L359):INDEX($J$5:$J$34,L359+M359-1))/AVERAGE(INDEX($J$5:$J$34,L359):INDEX($J$5:$J$34,L359+M359-1)),"")</f>
        <v/>
      </c>
      <c r="P359" t="str">
        <f>IF(N359=1,IF(O359&lt;=COMBINACIONES!$B$5,1,0),"")</f>
        <v/>
      </c>
      <c r="Q359" t="str">
        <f>IF(N359=1,IF(P359=1,-M359,100)+O359+ROW()*0.000000000001,"")</f>
        <v/>
      </c>
    </row>
    <row r="360" spans="12:17" x14ac:dyDescent="0.3">
      <c r="L360">
        <v>19</v>
      </c>
      <c r="M360">
        <v>7</v>
      </c>
      <c r="N360">
        <f>IF(L360+M360-1&lt;=$J$2,1,0)</f>
        <v>0</v>
      </c>
      <c r="O360" t="str">
        <f>IF(N360=1,_xlfn.STDEV.S(INDEX($J$5:$J$34,L360):INDEX($J$5:$J$34,L360+M360-1))/AVERAGE(INDEX($J$5:$J$34,L360):INDEX($J$5:$J$34,L360+M360-1)),"")</f>
        <v/>
      </c>
      <c r="P360" t="str">
        <f>IF(N360=1,IF(O360&lt;=COMBINACIONES!$B$5,1,0),"")</f>
        <v/>
      </c>
      <c r="Q360" t="str">
        <f>IF(N360=1,IF(P360=1,-M360,100)+O360+ROW()*0.000000000001,"")</f>
        <v/>
      </c>
    </row>
    <row r="361" spans="12:17" x14ac:dyDescent="0.3">
      <c r="L361">
        <v>19</v>
      </c>
      <c r="M361">
        <v>8</v>
      </c>
      <c r="N361">
        <f>IF(L361+M361-1&lt;=$J$2,1,0)</f>
        <v>0</v>
      </c>
      <c r="O361" t="str">
        <f>IF(N361=1,_xlfn.STDEV.S(INDEX($J$5:$J$34,L361):INDEX($J$5:$J$34,L361+M361-1))/AVERAGE(INDEX($J$5:$J$34,L361):INDEX($J$5:$J$34,L361+M361-1)),"")</f>
        <v/>
      </c>
      <c r="P361" t="str">
        <f>IF(N361=1,IF(O361&lt;=COMBINACIONES!$B$5,1,0),"")</f>
        <v/>
      </c>
      <c r="Q361" t="str">
        <f>IF(N361=1,IF(P361=1,-M361,100)+O361+ROW()*0.000000000001,"")</f>
        <v/>
      </c>
    </row>
    <row r="362" spans="12:17" x14ac:dyDescent="0.3">
      <c r="L362">
        <v>19</v>
      </c>
      <c r="M362">
        <v>9</v>
      </c>
      <c r="N362">
        <f>IF(L362+M362-1&lt;=$J$2,1,0)</f>
        <v>0</v>
      </c>
      <c r="O362" t="str">
        <f>IF(N362=1,_xlfn.STDEV.S(INDEX($J$5:$J$34,L362):INDEX($J$5:$J$34,L362+M362-1))/AVERAGE(INDEX($J$5:$J$34,L362):INDEX($J$5:$J$34,L362+M362-1)),"")</f>
        <v/>
      </c>
      <c r="P362" t="str">
        <f>IF(N362=1,IF(O362&lt;=COMBINACIONES!$B$5,1,0),"")</f>
        <v/>
      </c>
      <c r="Q362" t="str">
        <f>IF(N362=1,IF(P362=1,-M362,100)+O362+ROW()*0.000000000001,"")</f>
        <v/>
      </c>
    </row>
    <row r="363" spans="12:17" x14ac:dyDescent="0.3">
      <c r="L363">
        <v>19</v>
      </c>
      <c r="M363">
        <v>10</v>
      </c>
      <c r="N363">
        <f>IF(L363+M363-1&lt;=$J$2,1,0)</f>
        <v>0</v>
      </c>
      <c r="O363" t="str">
        <f>IF(N363=1,_xlfn.STDEV.S(INDEX($J$5:$J$34,L363):INDEX($J$5:$J$34,L363+M363-1))/AVERAGE(INDEX($J$5:$J$34,L363):INDEX($J$5:$J$34,L363+M363-1)),"")</f>
        <v/>
      </c>
      <c r="P363" t="str">
        <f>IF(N363=1,IF(O363&lt;=COMBINACIONES!$B$5,1,0),"")</f>
        <v/>
      </c>
      <c r="Q363" t="str">
        <f>IF(N363=1,IF(P363=1,-M363,100)+O363+ROW()*0.000000000001,"")</f>
        <v/>
      </c>
    </row>
    <row r="364" spans="12:17" x14ac:dyDescent="0.3">
      <c r="L364">
        <v>19</v>
      </c>
      <c r="M364">
        <v>11</v>
      </c>
      <c r="N364">
        <f>IF(L364+M364-1&lt;=$J$2,1,0)</f>
        <v>0</v>
      </c>
      <c r="O364" t="str">
        <f>IF(N364=1,_xlfn.STDEV.S(INDEX($J$5:$J$34,L364):INDEX($J$5:$J$34,L364+M364-1))/AVERAGE(INDEX($J$5:$J$34,L364):INDEX($J$5:$J$34,L364+M364-1)),"")</f>
        <v/>
      </c>
      <c r="P364" t="str">
        <f>IF(N364=1,IF(O364&lt;=COMBINACIONES!$B$5,1,0),"")</f>
        <v/>
      </c>
      <c r="Q364" t="str">
        <f>IF(N364=1,IF(P364=1,-M364,100)+O364+ROW()*0.000000000001,"")</f>
        <v/>
      </c>
    </row>
    <row r="365" spans="12:17" x14ac:dyDescent="0.3">
      <c r="L365">
        <v>19</v>
      </c>
      <c r="M365">
        <v>12</v>
      </c>
      <c r="N365">
        <f>IF(L365+M365-1&lt;=$J$2,1,0)</f>
        <v>0</v>
      </c>
      <c r="O365" t="str">
        <f>IF(N365=1,_xlfn.STDEV.S(INDEX($J$5:$J$34,L365):INDEX($J$5:$J$34,L365+M365-1))/AVERAGE(INDEX($J$5:$J$34,L365):INDEX($J$5:$J$34,L365+M365-1)),"")</f>
        <v/>
      </c>
      <c r="P365" t="str">
        <f>IF(N365=1,IF(O365&lt;=COMBINACIONES!$B$5,1,0),"")</f>
        <v/>
      </c>
      <c r="Q365" t="str">
        <f>IF(N365=1,IF(P365=1,-M365,100)+O365+ROW()*0.000000000001,"")</f>
        <v/>
      </c>
    </row>
    <row r="366" spans="12:17" x14ac:dyDescent="0.3">
      <c r="L366">
        <v>20</v>
      </c>
      <c r="M366">
        <v>3</v>
      </c>
      <c r="N366">
        <f>IF(L366+M366-1&lt;=$J$2,1,0)</f>
        <v>0</v>
      </c>
      <c r="O366" t="str">
        <f>IF(N366=1,_xlfn.STDEV.S(INDEX($J$5:$J$34,L366):INDEX($J$5:$J$34,L366+M366-1))/AVERAGE(INDEX($J$5:$J$34,L366):INDEX($J$5:$J$34,L366+M366-1)),"")</f>
        <v/>
      </c>
      <c r="P366" t="str">
        <f>IF(N366=1,IF(O366&lt;=COMBINACIONES!$B$5,1,0),"")</f>
        <v/>
      </c>
      <c r="Q366" t="str">
        <f>IF(N366=1,IF(P366=1,-M366,100)+O366+ROW()*0.000000000001,"")</f>
        <v/>
      </c>
    </row>
    <row r="367" spans="12:17" x14ac:dyDescent="0.3">
      <c r="L367">
        <v>20</v>
      </c>
      <c r="M367">
        <v>4</v>
      </c>
      <c r="N367">
        <f>IF(L367+M367-1&lt;=$J$2,1,0)</f>
        <v>0</v>
      </c>
      <c r="O367" t="str">
        <f>IF(N367=1,_xlfn.STDEV.S(INDEX($J$5:$J$34,L367):INDEX($J$5:$J$34,L367+M367-1))/AVERAGE(INDEX($J$5:$J$34,L367):INDEX($J$5:$J$34,L367+M367-1)),"")</f>
        <v/>
      </c>
      <c r="P367" t="str">
        <f>IF(N367=1,IF(O367&lt;=COMBINACIONES!$B$5,1,0),"")</f>
        <v/>
      </c>
      <c r="Q367" t="str">
        <f>IF(N367=1,IF(P367=1,-M367,100)+O367+ROW()*0.000000000001,"")</f>
        <v/>
      </c>
    </row>
    <row r="368" spans="12:17" x14ac:dyDescent="0.3">
      <c r="L368">
        <v>20</v>
      </c>
      <c r="M368">
        <v>5</v>
      </c>
      <c r="N368">
        <f>IF(L368+M368-1&lt;=$J$2,1,0)</f>
        <v>0</v>
      </c>
      <c r="O368" t="str">
        <f>IF(N368=1,_xlfn.STDEV.S(INDEX($J$5:$J$34,L368):INDEX($J$5:$J$34,L368+M368-1))/AVERAGE(INDEX($J$5:$J$34,L368):INDEX($J$5:$J$34,L368+M368-1)),"")</f>
        <v/>
      </c>
      <c r="P368" t="str">
        <f>IF(N368=1,IF(O368&lt;=COMBINACIONES!$B$5,1,0),"")</f>
        <v/>
      </c>
      <c r="Q368" t="str">
        <f>IF(N368=1,IF(P368=1,-M368,100)+O368+ROW()*0.000000000001,"")</f>
        <v/>
      </c>
    </row>
    <row r="369" spans="12:17" x14ac:dyDescent="0.3">
      <c r="L369">
        <v>20</v>
      </c>
      <c r="M369">
        <v>6</v>
      </c>
      <c r="N369">
        <f>IF(L369+M369-1&lt;=$J$2,1,0)</f>
        <v>0</v>
      </c>
      <c r="O369" t="str">
        <f>IF(N369=1,_xlfn.STDEV.S(INDEX($J$5:$J$34,L369):INDEX($J$5:$J$34,L369+M369-1))/AVERAGE(INDEX($J$5:$J$34,L369):INDEX($J$5:$J$34,L369+M369-1)),"")</f>
        <v/>
      </c>
      <c r="P369" t="str">
        <f>IF(N369=1,IF(O369&lt;=COMBINACIONES!$B$5,1,0),"")</f>
        <v/>
      </c>
      <c r="Q369" t="str">
        <f>IF(N369=1,IF(P369=1,-M369,100)+O369+ROW()*0.000000000001,"")</f>
        <v/>
      </c>
    </row>
    <row r="370" spans="12:17" x14ac:dyDescent="0.3">
      <c r="L370">
        <v>20</v>
      </c>
      <c r="M370">
        <v>7</v>
      </c>
      <c r="N370">
        <f>IF(L370+M370-1&lt;=$J$2,1,0)</f>
        <v>0</v>
      </c>
      <c r="O370" t="str">
        <f>IF(N370=1,_xlfn.STDEV.S(INDEX($J$5:$J$34,L370):INDEX($J$5:$J$34,L370+M370-1))/AVERAGE(INDEX($J$5:$J$34,L370):INDEX($J$5:$J$34,L370+M370-1)),"")</f>
        <v/>
      </c>
      <c r="P370" t="str">
        <f>IF(N370=1,IF(O370&lt;=COMBINACIONES!$B$5,1,0),"")</f>
        <v/>
      </c>
      <c r="Q370" t="str">
        <f>IF(N370=1,IF(P370=1,-M370,100)+O370+ROW()*0.000000000001,"")</f>
        <v/>
      </c>
    </row>
    <row r="371" spans="12:17" x14ac:dyDescent="0.3">
      <c r="L371">
        <v>20</v>
      </c>
      <c r="M371">
        <v>8</v>
      </c>
      <c r="N371">
        <f>IF(L371+M371-1&lt;=$J$2,1,0)</f>
        <v>0</v>
      </c>
      <c r="O371" t="str">
        <f>IF(N371=1,_xlfn.STDEV.S(INDEX($J$5:$J$34,L371):INDEX($J$5:$J$34,L371+M371-1))/AVERAGE(INDEX($J$5:$J$34,L371):INDEX($J$5:$J$34,L371+M371-1)),"")</f>
        <v/>
      </c>
      <c r="P371" t="str">
        <f>IF(N371=1,IF(O371&lt;=COMBINACIONES!$B$5,1,0),"")</f>
        <v/>
      </c>
      <c r="Q371" t="str">
        <f>IF(N371=1,IF(P371=1,-M371,100)+O371+ROW()*0.000000000001,"")</f>
        <v/>
      </c>
    </row>
    <row r="372" spans="12:17" x14ac:dyDescent="0.3">
      <c r="L372">
        <v>20</v>
      </c>
      <c r="M372">
        <v>9</v>
      </c>
      <c r="N372">
        <f>IF(L372+M372-1&lt;=$J$2,1,0)</f>
        <v>0</v>
      </c>
      <c r="O372" t="str">
        <f>IF(N372=1,_xlfn.STDEV.S(INDEX($J$5:$J$34,L372):INDEX($J$5:$J$34,L372+M372-1))/AVERAGE(INDEX($J$5:$J$34,L372):INDEX($J$5:$J$34,L372+M372-1)),"")</f>
        <v/>
      </c>
      <c r="P372" t="str">
        <f>IF(N372=1,IF(O372&lt;=COMBINACIONES!$B$5,1,0),"")</f>
        <v/>
      </c>
      <c r="Q372" t="str">
        <f>IF(N372=1,IF(P372=1,-M372,100)+O372+ROW()*0.000000000001,"")</f>
        <v/>
      </c>
    </row>
    <row r="373" spans="12:17" x14ac:dyDescent="0.3">
      <c r="L373">
        <v>20</v>
      </c>
      <c r="M373">
        <v>10</v>
      </c>
      <c r="N373">
        <f>IF(L373+M373-1&lt;=$J$2,1,0)</f>
        <v>0</v>
      </c>
      <c r="O373" t="str">
        <f>IF(N373=1,_xlfn.STDEV.S(INDEX($J$5:$J$34,L373):INDEX($J$5:$J$34,L373+M373-1))/AVERAGE(INDEX($J$5:$J$34,L373):INDEX($J$5:$J$34,L373+M373-1)),"")</f>
        <v/>
      </c>
      <c r="P373" t="str">
        <f>IF(N373=1,IF(O373&lt;=COMBINACIONES!$B$5,1,0),"")</f>
        <v/>
      </c>
      <c r="Q373" t="str">
        <f>IF(N373=1,IF(P373=1,-M373,100)+O373+ROW()*0.000000000001,"")</f>
        <v/>
      </c>
    </row>
    <row r="374" spans="12:17" x14ac:dyDescent="0.3">
      <c r="L374">
        <v>20</v>
      </c>
      <c r="M374">
        <v>11</v>
      </c>
      <c r="N374">
        <f>IF(L374+M374-1&lt;=$J$2,1,0)</f>
        <v>0</v>
      </c>
      <c r="O374" t="str">
        <f>IF(N374=1,_xlfn.STDEV.S(INDEX($J$5:$J$34,L374):INDEX($J$5:$J$34,L374+M374-1))/AVERAGE(INDEX($J$5:$J$34,L374):INDEX($J$5:$J$34,L374+M374-1)),"")</f>
        <v/>
      </c>
      <c r="P374" t="str">
        <f>IF(N374=1,IF(O374&lt;=COMBINACIONES!$B$5,1,0),"")</f>
        <v/>
      </c>
      <c r="Q374" t="str">
        <f>IF(N374=1,IF(P374=1,-M374,100)+O374+ROW()*0.000000000001,"")</f>
        <v/>
      </c>
    </row>
    <row r="375" spans="12:17" x14ac:dyDescent="0.3">
      <c r="L375">
        <v>21</v>
      </c>
      <c r="M375">
        <v>3</v>
      </c>
      <c r="N375">
        <f>IF(L375+M375-1&lt;=$J$2,1,0)</f>
        <v>0</v>
      </c>
      <c r="O375" t="str">
        <f>IF(N375=1,_xlfn.STDEV.S(INDEX($J$5:$J$34,L375):INDEX($J$5:$J$34,L375+M375-1))/AVERAGE(INDEX($J$5:$J$34,L375):INDEX($J$5:$J$34,L375+M375-1)),"")</f>
        <v/>
      </c>
      <c r="P375" t="str">
        <f>IF(N375=1,IF(O375&lt;=COMBINACIONES!$B$5,1,0),"")</f>
        <v/>
      </c>
      <c r="Q375" t="str">
        <f>IF(N375=1,IF(P375=1,-M375,100)+O375+ROW()*0.000000000001,"")</f>
        <v/>
      </c>
    </row>
    <row r="376" spans="12:17" x14ac:dyDescent="0.3">
      <c r="L376">
        <v>21</v>
      </c>
      <c r="M376">
        <v>4</v>
      </c>
      <c r="N376">
        <f>IF(L376+M376-1&lt;=$J$2,1,0)</f>
        <v>0</v>
      </c>
      <c r="O376" t="str">
        <f>IF(N376=1,_xlfn.STDEV.S(INDEX($J$5:$J$34,L376):INDEX($J$5:$J$34,L376+M376-1))/AVERAGE(INDEX($J$5:$J$34,L376):INDEX($J$5:$J$34,L376+M376-1)),"")</f>
        <v/>
      </c>
      <c r="P376" t="str">
        <f>IF(N376=1,IF(O376&lt;=COMBINACIONES!$B$5,1,0),"")</f>
        <v/>
      </c>
      <c r="Q376" t="str">
        <f>IF(N376=1,IF(P376=1,-M376,100)+O376+ROW()*0.000000000001,"")</f>
        <v/>
      </c>
    </row>
    <row r="377" spans="12:17" x14ac:dyDescent="0.3">
      <c r="L377">
        <v>21</v>
      </c>
      <c r="M377">
        <v>5</v>
      </c>
      <c r="N377">
        <f>IF(L377+M377-1&lt;=$J$2,1,0)</f>
        <v>0</v>
      </c>
      <c r="O377" t="str">
        <f>IF(N377=1,_xlfn.STDEV.S(INDEX($J$5:$J$34,L377):INDEX($J$5:$J$34,L377+M377-1))/AVERAGE(INDEX($J$5:$J$34,L377):INDEX($J$5:$J$34,L377+M377-1)),"")</f>
        <v/>
      </c>
      <c r="P377" t="str">
        <f>IF(N377=1,IF(O377&lt;=COMBINACIONES!$B$5,1,0),"")</f>
        <v/>
      </c>
      <c r="Q377" t="str">
        <f>IF(N377=1,IF(P377=1,-M377,100)+O377+ROW()*0.000000000001,"")</f>
        <v/>
      </c>
    </row>
    <row r="378" spans="12:17" x14ac:dyDescent="0.3">
      <c r="L378">
        <v>21</v>
      </c>
      <c r="M378">
        <v>6</v>
      </c>
      <c r="N378">
        <f>IF(L378+M378-1&lt;=$J$2,1,0)</f>
        <v>0</v>
      </c>
      <c r="O378" t="str">
        <f>IF(N378=1,_xlfn.STDEV.S(INDEX($J$5:$J$34,L378):INDEX($J$5:$J$34,L378+M378-1))/AVERAGE(INDEX($J$5:$J$34,L378):INDEX($J$5:$J$34,L378+M378-1)),"")</f>
        <v/>
      </c>
      <c r="P378" t="str">
        <f>IF(N378=1,IF(O378&lt;=COMBINACIONES!$B$5,1,0),"")</f>
        <v/>
      </c>
      <c r="Q378" t="str">
        <f>IF(N378=1,IF(P378=1,-M378,100)+O378+ROW()*0.000000000001,"")</f>
        <v/>
      </c>
    </row>
    <row r="379" spans="12:17" x14ac:dyDescent="0.3">
      <c r="L379">
        <v>21</v>
      </c>
      <c r="M379">
        <v>7</v>
      </c>
      <c r="N379">
        <f>IF(L379+M379-1&lt;=$J$2,1,0)</f>
        <v>0</v>
      </c>
      <c r="O379" t="str">
        <f>IF(N379=1,_xlfn.STDEV.S(INDEX($J$5:$J$34,L379):INDEX($J$5:$J$34,L379+M379-1))/AVERAGE(INDEX($J$5:$J$34,L379):INDEX($J$5:$J$34,L379+M379-1)),"")</f>
        <v/>
      </c>
      <c r="P379" t="str">
        <f>IF(N379=1,IF(O379&lt;=COMBINACIONES!$B$5,1,0),"")</f>
        <v/>
      </c>
      <c r="Q379" t="str">
        <f>IF(N379=1,IF(P379=1,-M379,100)+O379+ROW()*0.000000000001,"")</f>
        <v/>
      </c>
    </row>
    <row r="380" spans="12:17" x14ac:dyDescent="0.3">
      <c r="L380">
        <v>21</v>
      </c>
      <c r="M380">
        <v>8</v>
      </c>
      <c r="N380">
        <f>IF(L380+M380-1&lt;=$J$2,1,0)</f>
        <v>0</v>
      </c>
      <c r="O380" t="str">
        <f>IF(N380=1,_xlfn.STDEV.S(INDEX($J$5:$J$34,L380):INDEX($J$5:$J$34,L380+M380-1))/AVERAGE(INDEX($J$5:$J$34,L380):INDEX($J$5:$J$34,L380+M380-1)),"")</f>
        <v/>
      </c>
      <c r="P380" t="str">
        <f>IF(N380=1,IF(O380&lt;=COMBINACIONES!$B$5,1,0),"")</f>
        <v/>
      </c>
      <c r="Q380" t="str">
        <f>IF(N380=1,IF(P380=1,-M380,100)+O380+ROW()*0.000000000001,"")</f>
        <v/>
      </c>
    </row>
    <row r="381" spans="12:17" x14ac:dyDescent="0.3">
      <c r="L381">
        <v>21</v>
      </c>
      <c r="M381">
        <v>9</v>
      </c>
      <c r="N381">
        <f>IF(L381+M381-1&lt;=$J$2,1,0)</f>
        <v>0</v>
      </c>
      <c r="O381" t="str">
        <f>IF(N381=1,_xlfn.STDEV.S(INDEX($J$5:$J$34,L381):INDEX($J$5:$J$34,L381+M381-1))/AVERAGE(INDEX($J$5:$J$34,L381):INDEX($J$5:$J$34,L381+M381-1)),"")</f>
        <v/>
      </c>
      <c r="P381" t="str">
        <f>IF(N381=1,IF(O381&lt;=COMBINACIONES!$B$5,1,0),"")</f>
        <v/>
      </c>
      <c r="Q381" t="str">
        <f>IF(N381=1,IF(P381=1,-M381,100)+O381+ROW()*0.000000000001,"")</f>
        <v/>
      </c>
    </row>
    <row r="382" spans="12:17" x14ac:dyDescent="0.3">
      <c r="L382">
        <v>21</v>
      </c>
      <c r="M382">
        <v>10</v>
      </c>
      <c r="N382">
        <f>IF(L382+M382-1&lt;=$J$2,1,0)</f>
        <v>0</v>
      </c>
      <c r="O382" t="str">
        <f>IF(N382=1,_xlfn.STDEV.S(INDEX($J$5:$J$34,L382):INDEX($J$5:$J$34,L382+M382-1))/AVERAGE(INDEX($J$5:$J$34,L382):INDEX($J$5:$J$34,L382+M382-1)),"")</f>
        <v/>
      </c>
      <c r="P382" t="str">
        <f>IF(N382=1,IF(O382&lt;=COMBINACIONES!$B$5,1,0),"")</f>
        <v/>
      </c>
      <c r="Q382" t="str">
        <f>IF(N382=1,IF(P382=1,-M382,100)+O382+ROW()*0.000000000001,"")</f>
        <v/>
      </c>
    </row>
    <row r="383" spans="12:17" x14ac:dyDescent="0.3">
      <c r="L383">
        <v>22</v>
      </c>
      <c r="M383">
        <v>3</v>
      </c>
      <c r="N383">
        <f>IF(L383+M383-1&lt;=$J$2,1,0)</f>
        <v>0</v>
      </c>
      <c r="O383" t="str">
        <f>IF(N383=1,_xlfn.STDEV.S(INDEX($J$5:$J$34,L383):INDEX($J$5:$J$34,L383+M383-1))/AVERAGE(INDEX($J$5:$J$34,L383):INDEX($J$5:$J$34,L383+M383-1)),"")</f>
        <v/>
      </c>
      <c r="P383" t="str">
        <f>IF(N383=1,IF(O383&lt;=COMBINACIONES!$B$5,1,0),"")</f>
        <v/>
      </c>
      <c r="Q383" t="str">
        <f>IF(N383=1,IF(P383=1,-M383,100)+O383+ROW()*0.000000000001,"")</f>
        <v/>
      </c>
    </row>
    <row r="384" spans="12:17" x14ac:dyDescent="0.3">
      <c r="L384">
        <v>22</v>
      </c>
      <c r="M384">
        <v>4</v>
      </c>
      <c r="N384">
        <f>IF(L384+M384-1&lt;=$J$2,1,0)</f>
        <v>0</v>
      </c>
      <c r="O384" t="str">
        <f>IF(N384=1,_xlfn.STDEV.S(INDEX($J$5:$J$34,L384):INDEX($J$5:$J$34,L384+M384-1))/AVERAGE(INDEX($J$5:$J$34,L384):INDEX($J$5:$J$34,L384+M384-1)),"")</f>
        <v/>
      </c>
      <c r="P384" t="str">
        <f>IF(N384=1,IF(O384&lt;=COMBINACIONES!$B$5,1,0),"")</f>
        <v/>
      </c>
      <c r="Q384" t="str">
        <f>IF(N384=1,IF(P384=1,-M384,100)+O384+ROW()*0.000000000001,"")</f>
        <v/>
      </c>
    </row>
    <row r="385" spans="12:17" x14ac:dyDescent="0.3">
      <c r="L385">
        <v>22</v>
      </c>
      <c r="M385">
        <v>5</v>
      </c>
      <c r="N385">
        <f>IF(L385+M385-1&lt;=$J$2,1,0)</f>
        <v>0</v>
      </c>
      <c r="O385" t="str">
        <f>IF(N385=1,_xlfn.STDEV.S(INDEX($J$5:$J$34,L385):INDEX($J$5:$J$34,L385+M385-1))/AVERAGE(INDEX($J$5:$J$34,L385):INDEX($J$5:$J$34,L385+M385-1)),"")</f>
        <v/>
      </c>
      <c r="P385" t="str">
        <f>IF(N385=1,IF(O385&lt;=COMBINACIONES!$B$5,1,0),"")</f>
        <v/>
      </c>
      <c r="Q385" t="str">
        <f>IF(N385=1,IF(P385=1,-M385,100)+O385+ROW()*0.000000000001,"")</f>
        <v/>
      </c>
    </row>
    <row r="386" spans="12:17" x14ac:dyDescent="0.3">
      <c r="L386">
        <v>22</v>
      </c>
      <c r="M386">
        <v>6</v>
      </c>
      <c r="N386">
        <f>IF(L386+M386-1&lt;=$J$2,1,0)</f>
        <v>0</v>
      </c>
      <c r="O386" t="str">
        <f>IF(N386=1,_xlfn.STDEV.S(INDEX($J$5:$J$34,L386):INDEX($J$5:$J$34,L386+M386-1))/AVERAGE(INDEX($J$5:$J$34,L386):INDEX($J$5:$J$34,L386+M386-1)),"")</f>
        <v/>
      </c>
      <c r="P386" t="str">
        <f>IF(N386=1,IF(O386&lt;=COMBINACIONES!$B$5,1,0),"")</f>
        <v/>
      </c>
      <c r="Q386" t="str">
        <f>IF(N386=1,IF(P386=1,-M386,100)+O386+ROW()*0.000000000001,"")</f>
        <v/>
      </c>
    </row>
    <row r="387" spans="12:17" x14ac:dyDescent="0.3">
      <c r="L387">
        <v>22</v>
      </c>
      <c r="M387">
        <v>7</v>
      </c>
      <c r="N387">
        <f>IF(L387+M387-1&lt;=$J$2,1,0)</f>
        <v>0</v>
      </c>
      <c r="O387" t="str">
        <f>IF(N387=1,_xlfn.STDEV.S(INDEX($J$5:$J$34,L387):INDEX($J$5:$J$34,L387+M387-1))/AVERAGE(INDEX($J$5:$J$34,L387):INDEX($J$5:$J$34,L387+M387-1)),"")</f>
        <v/>
      </c>
      <c r="P387" t="str">
        <f>IF(N387=1,IF(O387&lt;=COMBINACIONES!$B$5,1,0),"")</f>
        <v/>
      </c>
      <c r="Q387" t="str">
        <f>IF(N387=1,IF(P387=1,-M387,100)+O387+ROW()*0.000000000001,"")</f>
        <v/>
      </c>
    </row>
    <row r="388" spans="12:17" x14ac:dyDescent="0.3">
      <c r="L388">
        <v>22</v>
      </c>
      <c r="M388">
        <v>8</v>
      </c>
      <c r="N388">
        <f>IF(L388+M388-1&lt;=$J$2,1,0)</f>
        <v>0</v>
      </c>
      <c r="O388" t="str">
        <f>IF(N388=1,_xlfn.STDEV.S(INDEX($J$5:$J$34,L388):INDEX($J$5:$J$34,L388+M388-1))/AVERAGE(INDEX($J$5:$J$34,L388):INDEX($J$5:$J$34,L388+M388-1)),"")</f>
        <v/>
      </c>
      <c r="P388" t="str">
        <f>IF(N388=1,IF(O388&lt;=COMBINACIONES!$B$5,1,0),"")</f>
        <v/>
      </c>
      <c r="Q388" t="str">
        <f>IF(N388=1,IF(P388=1,-M388,100)+O388+ROW()*0.000000000001,"")</f>
        <v/>
      </c>
    </row>
    <row r="389" spans="12:17" x14ac:dyDescent="0.3">
      <c r="L389">
        <v>22</v>
      </c>
      <c r="M389">
        <v>9</v>
      </c>
      <c r="N389">
        <f>IF(L389+M389-1&lt;=$J$2,1,0)</f>
        <v>0</v>
      </c>
      <c r="O389" t="str">
        <f>IF(N389=1,_xlfn.STDEV.S(INDEX($J$5:$J$34,L389):INDEX($J$5:$J$34,L389+M389-1))/AVERAGE(INDEX($J$5:$J$34,L389):INDEX($J$5:$J$34,L389+M389-1)),"")</f>
        <v/>
      </c>
      <c r="P389" t="str">
        <f>IF(N389=1,IF(O389&lt;=COMBINACIONES!$B$5,1,0),"")</f>
        <v/>
      </c>
      <c r="Q389" t="str">
        <f>IF(N389=1,IF(P389=1,-M389,100)+O389+ROW()*0.000000000001,"")</f>
        <v/>
      </c>
    </row>
    <row r="390" spans="12:17" x14ac:dyDescent="0.3">
      <c r="L390">
        <v>23</v>
      </c>
      <c r="M390">
        <v>3</v>
      </c>
      <c r="N390">
        <f>IF(L390+M390-1&lt;=$J$2,1,0)</f>
        <v>0</v>
      </c>
      <c r="O390" t="str">
        <f>IF(N390=1,_xlfn.STDEV.S(INDEX($J$5:$J$34,L390):INDEX($J$5:$J$34,L390+M390-1))/AVERAGE(INDEX($J$5:$J$34,L390):INDEX($J$5:$J$34,L390+M390-1)),"")</f>
        <v/>
      </c>
      <c r="P390" t="str">
        <f>IF(N390=1,IF(O390&lt;=COMBINACIONES!$B$5,1,0),"")</f>
        <v/>
      </c>
      <c r="Q390" t="str">
        <f>IF(N390=1,IF(P390=1,-M390,100)+O390+ROW()*0.000000000001,"")</f>
        <v/>
      </c>
    </row>
    <row r="391" spans="12:17" x14ac:dyDescent="0.3">
      <c r="L391">
        <v>23</v>
      </c>
      <c r="M391">
        <v>4</v>
      </c>
      <c r="N391">
        <f>IF(L391+M391-1&lt;=$J$2,1,0)</f>
        <v>0</v>
      </c>
      <c r="O391" t="str">
        <f>IF(N391=1,_xlfn.STDEV.S(INDEX($J$5:$J$34,L391):INDEX($J$5:$J$34,L391+M391-1))/AVERAGE(INDEX($J$5:$J$34,L391):INDEX($J$5:$J$34,L391+M391-1)),"")</f>
        <v/>
      </c>
      <c r="P391" t="str">
        <f>IF(N391=1,IF(O391&lt;=COMBINACIONES!$B$5,1,0),"")</f>
        <v/>
      </c>
      <c r="Q391" t="str">
        <f>IF(N391=1,IF(P391=1,-M391,100)+O391+ROW()*0.000000000001,"")</f>
        <v/>
      </c>
    </row>
    <row r="392" spans="12:17" x14ac:dyDescent="0.3">
      <c r="L392">
        <v>23</v>
      </c>
      <c r="M392">
        <v>5</v>
      </c>
      <c r="N392">
        <f>IF(L392+M392-1&lt;=$J$2,1,0)</f>
        <v>0</v>
      </c>
      <c r="O392" t="str">
        <f>IF(N392=1,_xlfn.STDEV.S(INDEX($J$5:$J$34,L392):INDEX($J$5:$J$34,L392+M392-1))/AVERAGE(INDEX($J$5:$J$34,L392):INDEX($J$5:$J$34,L392+M392-1)),"")</f>
        <v/>
      </c>
      <c r="P392" t="str">
        <f>IF(N392=1,IF(O392&lt;=COMBINACIONES!$B$5,1,0),"")</f>
        <v/>
      </c>
      <c r="Q392" t="str">
        <f>IF(N392=1,IF(P392=1,-M392,100)+O392+ROW()*0.000000000001,"")</f>
        <v/>
      </c>
    </row>
    <row r="393" spans="12:17" x14ac:dyDescent="0.3">
      <c r="L393">
        <v>23</v>
      </c>
      <c r="M393">
        <v>6</v>
      </c>
      <c r="N393">
        <f>IF(L393+M393-1&lt;=$J$2,1,0)</f>
        <v>0</v>
      </c>
      <c r="O393" t="str">
        <f>IF(N393=1,_xlfn.STDEV.S(INDEX($J$5:$J$34,L393):INDEX($J$5:$J$34,L393+M393-1))/AVERAGE(INDEX($J$5:$J$34,L393):INDEX($J$5:$J$34,L393+M393-1)),"")</f>
        <v/>
      </c>
      <c r="P393" t="str">
        <f>IF(N393=1,IF(O393&lt;=COMBINACIONES!$B$5,1,0),"")</f>
        <v/>
      </c>
      <c r="Q393" t="str">
        <f>IF(N393=1,IF(P393=1,-M393,100)+O393+ROW()*0.000000000001,"")</f>
        <v/>
      </c>
    </row>
    <row r="394" spans="12:17" x14ac:dyDescent="0.3">
      <c r="L394">
        <v>23</v>
      </c>
      <c r="M394">
        <v>7</v>
      </c>
      <c r="N394">
        <f>IF(L394+M394-1&lt;=$J$2,1,0)</f>
        <v>0</v>
      </c>
      <c r="O394" t="str">
        <f>IF(N394=1,_xlfn.STDEV.S(INDEX($J$5:$J$34,L394):INDEX($J$5:$J$34,L394+M394-1))/AVERAGE(INDEX($J$5:$J$34,L394):INDEX($J$5:$J$34,L394+M394-1)),"")</f>
        <v/>
      </c>
      <c r="P394" t="str">
        <f>IF(N394=1,IF(O394&lt;=COMBINACIONES!$B$5,1,0),"")</f>
        <v/>
      </c>
      <c r="Q394" t="str">
        <f>IF(N394=1,IF(P394=1,-M394,100)+O394+ROW()*0.000000000001,"")</f>
        <v/>
      </c>
    </row>
    <row r="395" spans="12:17" x14ac:dyDescent="0.3">
      <c r="L395">
        <v>23</v>
      </c>
      <c r="M395">
        <v>8</v>
      </c>
      <c r="N395">
        <f>IF(L395+M395-1&lt;=$J$2,1,0)</f>
        <v>0</v>
      </c>
      <c r="O395" t="str">
        <f>IF(N395=1,_xlfn.STDEV.S(INDEX($J$5:$J$34,L395):INDEX($J$5:$J$34,L395+M395-1))/AVERAGE(INDEX($J$5:$J$34,L395):INDEX($J$5:$J$34,L395+M395-1)),"")</f>
        <v/>
      </c>
      <c r="P395" t="str">
        <f>IF(N395=1,IF(O395&lt;=COMBINACIONES!$B$5,1,0),"")</f>
        <v/>
      </c>
      <c r="Q395" t="str">
        <f>IF(N395=1,IF(P395=1,-M395,100)+O395+ROW()*0.000000000001,"")</f>
        <v/>
      </c>
    </row>
    <row r="396" spans="12:17" x14ac:dyDescent="0.3">
      <c r="L396">
        <v>24</v>
      </c>
      <c r="M396">
        <v>3</v>
      </c>
      <c r="N396">
        <f>IF(L396+M396-1&lt;=$J$2,1,0)</f>
        <v>0</v>
      </c>
      <c r="O396" t="str">
        <f>IF(N396=1,_xlfn.STDEV.S(INDEX($J$5:$J$34,L396):INDEX($J$5:$J$34,L396+M396-1))/AVERAGE(INDEX($J$5:$J$34,L396):INDEX($J$5:$J$34,L396+M396-1)),"")</f>
        <v/>
      </c>
      <c r="P396" t="str">
        <f>IF(N396=1,IF(O396&lt;=COMBINACIONES!$B$5,1,0),"")</f>
        <v/>
      </c>
      <c r="Q396" t="str">
        <f>IF(N396=1,IF(P396=1,-M396,100)+O396+ROW()*0.000000000001,"")</f>
        <v/>
      </c>
    </row>
    <row r="397" spans="12:17" x14ac:dyDescent="0.3">
      <c r="L397">
        <v>24</v>
      </c>
      <c r="M397">
        <v>4</v>
      </c>
      <c r="N397">
        <f>IF(L397+M397-1&lt;=$J$2,1,0)</f>
        <v>0</v>
      </c>
      <c r="O397" t="str">
        <f>IF(N397=1,_xlfn.STDEV.S(INDEX($J$5:$J$34,L397):INDEX($J$5:$J$34,L397+M397-1))/AVERAGE(INDEX($J$5:$J$34,L397):INDEX($J$5:$J$34,L397+M397-1)),"")</f>
        <v/>
      </c>
      <c r="P397" t="str">
        <f>IF(N397=1,IF(O397&lt;=COMBINACIONES!$B$5,1,0),"")</f>
        <v/>
      </c>
      <c r="Q397" t="str">
        <f>IF(N397=1,IF(P397=1,-M397,100)+O397+ROW()*0.000000000001,"")</f>
        <v/>
      </c>
    </row>
    <row r="398" spans="12:17" x14ac:dyDescent="0.3">
      <c r="L398">
        <v>24</v>
      </c>
      <c r="M398">
        <v>5</v>
      </c>
      <c r="N398">
        <f>IF(L398+M398-1&lt;=$J$2,1,0)</f>
        <v>0</v>
      </c>
      <c r="O398" t="str">
        <f>IF(N398=1,_xlfn.STDEV.S(INDEX($J$5:$J$34,L398):INDEX($J$5:$J$34,L398+M398-1))/AVERAGE(INDEX($J$5:$J$34,L398):INDEX($J$5:$J$34,L398+M398-1)),"")</f>
        <v/>
      </c>
      <c r="P398" t="str">
        <f>IF(N398=1,IF(O398&lt;=COMBINACIONES!$B$5,1,0),"")</f>
        <v/>
      </c>
      <c r="Q398" t="str">
        <f>IF(N398=1,IF(P398=1,-M398,100)+O398+ROW()*0.000000000001,"")</f>
        <v/>
      </c>
    </row>
    <row r="399" spans="12:17" x14ac:dyDescent="0.3">
      <c r="L399">
        <v>24</v>
      </c>
      <c r="M399">
        <v>6</v>
      </c>
      <c r="N399">
        <f>IF(L399+M399-1&lt;=$J$2,1,0)</f>
        <v>0</v>
      </c>
      <c r="O399" t="str">
        <f>IF(N399=1,_xlfn.STDEV.S(INDEX($J$5:$J$34,L399):INDEX($J$5:$J$34,L399+M399-1))/AVERAGE(INDEX($J$5:$J$34,L399):INDEX($J$5:$J$34,L399+M399-1)),"")</f>
        <v/>
      </c>
      <c r="P399" t="str">
        <f>IF(N399=1,IF(O399&lt;=COMBINACIONES!$B$5,1,0),"")</f>
        <v/>
      </c>
      <c r="Q399" t="str">
        <f>IF(N399=1,IF(P399=1,-M399,100)+O399+ROW()*0.000000000001,"")</f>
        <v/>
      </c>
    </row>
    <row r="400" spans="12:17" x14ac:dyDescent="0.3">
      <c r="L400">
        <v>24</v>
      </c>
      <c r="M400">
        <v>7</v>
      </c>
      <c r="N400">
        <f>IF(L400+M400-1&lt;=$J$2,1,0)</f>
        <v>0</v>
      </c>
      <c r="O400" t="str">
        <f>IF(N400=1,_xlfn.STDEV.S(INDEX($J$5:$J$34,L400):INDEX($J$5:$J$34,L400+M400-1))/AVERAGE(INDEX($J$5:$J$34,L400):INDEX($J$5:$J$34,L400+M400-1)),"")</f>
        <v/>
      </c>
      <c r="P400" t="str">
        <f>IF(N400=1,IF(O400&lt;=COMBINACIONES!$B$5,1,0),"")</f>
        <v/>
      </c>
      <c r="Q400" t="str">
        <f>IF(N400=1,IF(P400=1,-M400,100)+O400+ROW()*0.000000000001,"")</f>
        <v/>
      </c>
    </row>
    <row r="401" spans="12:17" x14ac:dyDescent="0.3">
      <c r="L401">
        <v>25</v>
      </c>
      <c r="M401">
        <v>3</v>
      </c>
      <c r="N401">
        <f>IF(L401+M401-1&lt;=$J$2,1,0)</f>
        <v>0</v>
      </c>
      <c r="O401" t="str">
        <f>IF(N401=1,_xlfn.STDEV.S(INDEX($J$5:$J$34,L401):INDEX($J$5:$J$34,L401+M401-1))/AVERAGE(INDEX($J$5:$J$34,L401):INDEX($J$5:$J$34,L401+M401-1)),"")</f>
        <v/>
      </c>
      <c r="P401" t="str">
        <f>IF(N401=1,IF(O401&lt;=COMBINACIONES!$B$5,1,0),"")</f>
        <v/>
      </c>
      <c r="Q401" t="str">
        <f>IF(N401=1,IF(P401=1,-M401,100)+O401+ROW()*0.000000000001,"")</f>
        <v/>
      </c>
    </row>
    <row r="402" spans="12:17" x14ac:dyDescent="0.3">
      <c r="L402">
        <v>25</v>
      </c>
      <c r="M402">
        <v>4</v>
      </c>
      <c r="N402">
        <f>IF(L402+M402-1&lt;=$J$2,1,0)</f>
        <v>0</v>
      </c>
      <c r="O402" t="str">
        <f>IF(N402=1,_xlfn.STDEV.S(INDEX($J$5:$J$34,L402):INDEX($J$5:$J$34,L402+M402-1))/AVERAGE(INDEX($J$5:$J$34,L402):INDEX($J$5:$J$34,L402+M402-1)),"")</f>
        <v/>
      </c>
      <c r="P402" t="str">
        <f>IF(N402=1,IF(O402&lt;=COMBINACIONES!$B$5,1,0),"")</f>
        <v/>
      </c>
      <c r="Q402" t="str">
        <f>IF(N402=1,IF(P402=1,-M402,100)+O402+ROW()*0.000000000001,"")</f>
        <v/>
      </c>
    </row>
    <row r="403" spans="12:17" x14ac:dyDescent="0.3">
      <c r="L403">
        <v>25</v>
      </c>
      <c r="M403">
        <v>5</v>
      </c>
      <c r="N403">
        <f>IF(L403+M403-1&lt;=$J$2,1,0)</f>
        <v>0</v>
      </c>
      <c r="O403" t="str">
        <f>IF(N403=1,_xlfn.STDEV.S(INDEX($J$5:$J$34,L403):INDEX($J$5:$J$34,L403+M403-1))/AVERAGE(INDEX($J$5:$J$34,L403):INDEX($J$5:$J$34,L403+M403-1)),"")</f>
        <v/>
      </c>
      <c r="P403" t="str">
        <f>IF(N403=1,IF(O403&lt;=COMBINACIONES!$B$5,1,0),"")</f>
        <v/>
      </c>
      <c r="Q403" t="str">
        <f>IF(N403=1,IF(P403=1,-M403,100)+O403+ROW()*0.000000000001,"")</f>
        <v/>
      </c>
    </row>
    <row r="404" spans="12:17" x14ac:dyDescent="0.3">
      <c r="L404">
        <v>25</v>
      </c>
      <c r="M404">
        <v>6</v>
      </c>
      <c r="N404">
        <f>IF(L404+M404-1&lt;=$J$2,1,0)</f>
        <v>0</v>
      </c>
      <c r="O404" t="str">
        <f>IF(N404=1,_xlfn.STDEV.S(INDEX($J$5:$J$34,L404):INDEX($J$5:$J$34,L404+M404-1))/AVERAGE(INDEX($J$5:$J$34,L404):INDEX($J$5:$J$34,L404+M404-1)),"")</f>
        <v/>
      </c>
      <c r="P404" t="str">
        <f>IF(N404=1,IF(O404&lt;=COMBINACIONES!$B$5,1,0),"")</f>
        <v/>
      </c>
      <c r="Q404" t="str">
        <f>IF(N404=1,IF(P404=1,-M404,100)+O404+ROW()*0.000000000001,"")</f>
        <v/>
      </c>
    </row>
    <row r="405" spans="12:17" x14ac:dyDescent="0.3">
      <c r="L405">
        <v>26</v>
      </c>
      <c r="M405">
        <v>3</v>
      </c>
      <c r="N405">
        <f>IF(L405+M405-1&lt;=$J$2,1,0)</f>
        <v>0</v>
      </c>
      <c r="O405" t="str">
        <f>IF(N405=1,_xlfn.STDEV.S(INDEX($J$5:$J$34,L405):INDEX($J$5:$J$34,L405+M405-1))/AVERAGE(INDEX($J$5:$J$34,L405):INDEX($J$5:$J$34,L405+M405-1)),"")</f>
        <v/>
      </c>
      <c r="P405" t="str">
        <f>IF(N405=1,IF(O405&lt;=COMBINACIONES!$B$5,1,0),"")</f>
        <v/>
      </c>
      <c r="Q405" t="str">
        <f>IF(N405=1,IF(P405=1,-M405,100)+O405+ROW()*0.000000000001,"")</f>
        <v/>
      </c>
    </row>
    <row r="406" spans="12:17" x14ac:dyDescent="0.3">
      <c r="L406">
        <v>26</v>
      </c>
      <c r="M406">
        <v>4</v>
      </c>
      <c r="N406">
        <f>IF(L406+M406-1&lt;=$J$2,1,0)</f>
        <v>0</v>
      </c>
      <c r="O406" t="str">
        <f>IF(N406=1,_xlfn.STDEV.S(INDEX($J$5:$J$34,L406):INDEX($J$5:$J$34,L406+M406-1))/AVERAGE(INDEX($J$5:$J$34,L406):INDEX($J$5:$J$34,L406+M406-1)),"")</f>
        <v/>
      </c>
      <c r="P406" t="str">
        <f>IF(N406=1,IF(O406&lt;=COMBINACIONES!$B$5,1,0),"")</f>
        <v/>
      </c>
      <c r="Q406" t="str">
        <f>IF(N406=1,IF(P406=1,-M406,100)+O406+ROW()*0.000000000001,"")</f>
        <v/>
      </c>
    </row>
    <row r="407" spans="12:17" x14ac:dyDescent="0.3">
      <c r="L407">
        <v>26</v>
      </c>
      <c r="M407">
        <v>5</v>
      </c>
      <c r="N407">
        <f>IF(L407+M407-1&lt;=$J$2,1,0)</f>
        <v>0</v>
      </c>
      <c r="O407" t="str">
        <f>IF(N407=1,_xlfn.STDEV.S(INDEX($J$5:$J$34,L407):INDEX($J$5:$J$34,L407+M407-1))/AVERAGE(INDEX($J$5:$J$34,L407):INDEX($J$5:$J$34,L407+M407-1)),"")</f>
        <v/>
      </c>
      <c r="P407" t="str">
        <f>IF(N407=1,IF(O407&lt;=COMBINACIONES!$B$5,1,0),"")</f>
        <v/>
      </c>
      <c r="Q407" t="str">
        <f>IF(N407=1,IF(P407=1,-M407,100)+O407+ROW()*0.000000000001,"")</f>
        <v/>
      </c>
    </row>
    <row r="408" spans="12:17" x14ac:dyDescent="0.3">
      <c r="L408">
        <v>27</v>
      </c>
      <c r="M408">
        <v>3</v>
      </c>
      <c r="N408">
        <f>IF(L408+M408-1&lt;=$J$2,1,0)</f>
        <v>0</v>
      </c>
      <c r="O408" t="str">
        <f>IF(N408=1,_xlfn.STDEV.S(INDEX($J$5:$J$34,L408):INDEX($J$5:$J$34,L408+M408-1))/AVERAGE(INDEX($J$5:$J$34,L408):INDEX($J$5:$J$34,L408+M408-1)),"")</f>
        <v/>
      </c>
      <c r="P408" t="str">
        <f>IF(N408=1,IF(O408&lt;=COMBINACIONES!$B$5,1,0),"")</f>
        <v/>
      </c>
      <c r="Q408" t="str">
        <f>IF(N408=1,IF(P408=1,-M408,100)+O408+ROW()*0.000000000001,"")</f>
        <v/>
      </c>
    </row>
    <row r="409" spans="12:17" x14ac:dyDescent="0.3">
      <c r="L409">
        <v>27</v>
      </c>
      <c r="M409">
        <v>4</v>
      </c>
      <c r="N409">
        <f>IF(L409+M409-1&lt;=$J$2,1,0)</f>
        <v>0</v>
      </c>
      <c r="O409" t="str">
        <f>IF(N409=1,_xlfn.STDEV.S(INDEX($J$5:$J$34,L409):INDEX($J$5:$J$34,L409+M409-1))/AVERAGE(INDEX($J$5:$J$34,L409):INDEX($J$5:$J$34,L409+M409-1)),"")</f>
        <v/>
      </c>
      <c r="P409" t="str">
        <f>IF(N409=1,IF(O409&lt;=COMBINACIONES!$B$5,1,0),"")</f>
        <v/>
      </c>
      <c r="Q409" t="str">
        <f>IF(N409=1,IF(P409=1,-M409,100)+O409+ROW()*0.000000000001,"")</f>
        <v/>
      </c>
    </row>
    <row r="410" spans="12:17" x14ac:dyDescent="0.3">
      <c r="L410">
        <v>28</v>
      </c>
      <c r="M410">
        <v>3</v>
      </c>
      <c r="N410">
        <f>IF(L410+M410-1&lt;=$J$2,1,0)</f>
        <v>0</v>
      </c>
      <c r="O410" t="str">
        <f>IF(N410=1,_xlfn.STDEV.S(INDEX($J$5:$J$34,L410):INDEX($J$5:$J$34,L410+M410-1))/AVERAGE(INDEX($J$5:$J$34,L410):INDEX($J$5:$J$34,L410+M410-1)),"")</f>
        <v/>
      </c>
      <c r="P410" t="str">
        <f>IF(N410=1,IF(O410&lt;=COMBINACIONES!$B$5,1,0),"")</f>
        <v/>
      </c>
      <c r="Q410" t="str">
        <f>IF(N410=1,IF(P410=1,-M410,100)+O410+ROW()*0.000000000001,"")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9975-A04B-4D6B-856B-08B7C981B966}">
  <dimension ref="A1:S50"/>
  <sheetViews>
    <sheetView showGridLines="0" topLeftCell="C1" workbookViewId="0">
      <selection activeCell="C17" sqref="C17"/>
    </sheetView>
  </sheetViews>
  <sheetFormatPr baseColWidth="10" defaultRowHeight="14.4" x14ac:dyDescent="0.3"/>
  <cols>
    <col min="1" max="1" width="55.5546875" customWidth="1"/>
    <col min="2" max="2" width="14.6640625" customWidth="1"/>
    <col min="3" max="3" width="10.77734375" customWidth="1"/>
    <col min="4" max="4" width="14.77734375" customWidth="1"/>
    <col min="5" max="5" width="15.6640625" customWidth="1"/>
    <col min="6" max="6" width="13.5546875" customWidth="1"/>
    <col min="7" max="7" width="14.88671875" customWidth="1"/>
    <col min="8" max="11" width="18.5546875" customWidth="1"/>
    <col min="12" max="12" width="24.109375" customWidth="1"/>
    <col min="13" max="13" width="4.6640625" customWidth="1"/>
    <col min="14" max="19" width="19.44140625" customWidth="1"/>
  </cols>
  <sheetData>
    <row r="1" spans="1:19" ht="34.049999999999997" customHeight="1" x14ac:dyDescent="0.3">
      <c r="A1" s="214" t="s">
        <v>252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5"/>
      <c r="M1" s="210"/>
      <c r="N1" s="210"/>
      <c r="O1" s="210"/>
      <c r="P1" s="210"/>
      <c r="Q1" s="210"/>
      <c r="R1" s="210"/>
    </row>
    <row r="2" spans="1:19" ht="19.95" customHeight="1" thickBot="1" x14ac:dyDescent="0.35">
      <c r="A2" s="217" t="s">
        <v>253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6"/>
      <c r="M2" s="210"/>
      <c r="N2" s="210"/>
      <c r="O2" s="210"/>
      <c r="P2" s="210"/>
      <c r="Q2" s="210"/>
      <c r="R2" s="210"/>
    </row>
    <row r="3" spans="1:19" ht="15" thickBot="1" x14ac:dyDescent="0.35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</row>
    <row r="4" spans="1:19" ht="18" customHeight="1" x14ac:dyDescent="0.3">
      <c r="A4" s="218" t="s">
        <v>177</v>
      </c>
      <c r="B4" s="223">
        <f>COMBINACIONES!B5</f>
        <v>0.1</v>
      </c>
      <c r="C4" s="210"/>
      <c r="D4" s="256" t="s">
        <v>287</v>
      </c>
      <c r="E4" s="254"/>
      <c r="F4" s="256" t="s">
        <v>288</v>
      </c>
      <c r="G4" s="254"/>
      <c r="H4" s="256" t="s">
        <v>289</v>
      </c>
      <c r="I4" s="254"/>
      <c r="J4" s="256" t="s">
        <v>290</v>
      </c>
      <c r="K4" s="254"/>
      <c r="L4" s="259" t="s">
        <v>291</v>
      </c>
      <c r="M4" s="210"/>
      <c r="N4" s="210"/>
      <c r="O4" s="210"/>
      <c r="P4" s="210"/>
      <c r="Q4" s="210"/>
      <c r="R4" s="210"/>
    </row>
    <row r="5" spans="1:19" ht="16.95" customHeight="1" x14ac:dyDescent="0.3">
      <c r="A5" s="218" t="s">
        <v>180</v>
      </c>
      <c r="B5" s="221">
        <f>COMBINACIONES!B8</f>
        <v>8</v>
      </c>
      <c r="C5" s="210"/>
      <c r="D5" s="262">
        <f>D18</f>
        <v>525000000</v>
      </c>
      <c r="E5" s="253"/>
      <c r="F5" s="262">
        <f>D19</f>
        <v>630000000</v>
      </c>
      <c r="G5" s="253"/>
      <c r="H5" s="262">
        <f>D20</f>
        <v>105000000</v>
      </c>
      <c r="I5" s="253"/>
      <c r="J5" s="263">
        <f>MIN(F12:F14)</f>
        <v>0.18898223650461363</v>
      </c>
      <c r="K5" s="253"/>
      <c r="L5" s="264" t="str">
        <f>IF(B8&gt;0,"CUMPLE","NO CUMPLE")</f>
        <v>NO CUMPLE</v>
      </c>
      <c r="M5" s="210"/>
      <c r="N5" s="210"/>
      <c r="O5" s="210"/>
      <c r="P5" s="210"/>
      <c r="Q5" s="210"/>
      <c r="R5" s="210"/>
    </row>
    <row r="6" spans="1:19" ht="16.95" customHeight="1" x14ac:dyDescent="0.3">
      <c r="A6" s="218" t="s">
        <v>254</v>
      </c>
      <c r="B6" s="224">
        <f>'MERCADO RURAL'!H18</f>
        <v>449621875</v>
      </c>
      <c r="C6" s="210"/>
      <c r="D6" s="257"/>
      <c r="E6" s="253"/>
      <c r="F6" s="257"/>
      <c r="G6" s="253"/>
      <c r="H6" s="257"/>
      <c r="I6" s="253"/>
      <c r="J6" s="257"/>
      <c r="K6" s="253"/>
      <c r="L6" s="260"/>
      <c r="M6" s="210"/>
      <c r="N6" s="210"/>
      <c r="O6" s="210"/>
      <c r="P6" s="210"/>
      <c r="Q6" s="210"/>
      <c r="R6" s="210"/>
    </row>
    <row r="7" spans="1:19" ht="16.95" customHeight="1" x14ac:dyDescent="0.3">
      <c r="A7" s="218" t="s">
        <v>255</v>
      </c>
      <c r="B7" s="222">
        <f>'MERCADO RURAL'!H20</f>
        <v>0.96930406190821616</v>
      </c>
      <c r="C7" s="210"/>
      <c r="D7" s="257"/>
      <c r="E7" s="253"/>
      <c r="F7" s="257"/>
      <c r="G7" s="253"/>
      <c r="H7" s="257"/>
      <c r="I7" s="253"/>
      <c r="J7" s="257"/>
      <c r="K7" s="253"/>
      <c r="L7" s="260"/>
      <c r="M7" s="210"/>
      <c r="N7" s="210"/>
      <c r="O7" s="210"/>
      <c r="P7" s="210"/>
      <c r="Q7" s="210"/>
      <c r="R7" s="210"/>
    </row>
    <row r="8" spans="1:19" ht="18" customHeight="1" thickBot="1" x14ac:dyDescent="0.35">
      <c r="A8" s="218" t="s">
        <v>256</v>
      </c>
      <c r="B8" s="225">
        <f>COUNTIF(L12:L14,"SÍ")</f>
        <v>0</v>
      </c>
      <c r="C8" s="210"/>
      <c r="D8" s="258" t="str">
        <f>B18&amp;" · ofertas "&amp;C18</f>
        <v>Combinación 3 · ofertas 5, 3, 4</v>
      </c>
      <c r="E8" s="255"/>
      <c r="F8" s="258" t="str">
        <f>B19&amp;" · ofertas "&amp;C19</f>
        <v>Combinación 1 · ofertas 3, 4, 6</v>
      </c>
      <c r="G8" s="255"/>
      <c r="H8" s="258" t="str">
        <f>"Equivale a "&amp;ROUND(F20*100,1)&amp;"% de la referencia baja"</f>
        <v>Equivale a 20% de la referencia baja</v>
      </c>
      <c r="I8" s="255"/>
      <c r="J8" s="258" t="str">
        <f>"Máximo admisible: "&amp;ROUND(B4*100,1)&amp;"%"</f>
        <v>Máximo admisible: 10%</v>
      </c>
      <c r="K8" s="255"/>
      <c r="L8" s="261" t="str">
        <f>B8&amp;" de 3 combinaciones cumplen"</f>
        <v>0 de 3 combinaciones cumplen</v>
      </c>
      <c r="M8" s="210"/>
      <c r="N8" s="210"/>
      <c r="O8" s="210"/>
      <c r="P8" s="210"/>
      <c r="Q8" s="210"/>
      <c r="R8" s="210"/>
    </row>
    <row r="9" spans="1:19" x14ac:dyDescent="0.3">
      <c r="A9" s="210"/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</row>
    <row r="10" spans="1:19" x14ac:dyDescent="0.3">
      <c r="A10" s="211" t="s">
        <v>257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0"/>
      <c r="N10" s="247" t="s">
        <v>281</v>
      </c>
      <c r="O10" s="247"/>
      <c r="P10" s="247"/>
      <c r="Q10" s="247"/>
      <c r="R10" s="247"/>
      <c r="S10" s="247"/>
    </row>
    <row r="11" spans="1:19" s="70" customFormat="1" ht="61.95" customHeight="1" x14ac:dyDescent="0.25">
      <c r="A11" s="130" t="s">
        <v>64</v>
      </c>
      <c r="B11" s="130" t="s">
        <v>185</v>
      </c>
      <c r="C11" s="130" t="s">
        <v>197</v>
      </c>
      <c r="D11" s="130" t="s">
        <v>181</v>
      </c>
      <c r="E11" s="130" t="s">
        <v>65</v>
      </c>
      <c r="F11" s="130" t="s">
        <v>66</v>
      </c>
      <c r="G11" s="130" t="s">
        <v>258</v>
      </c>
      <c r="H11" s="130" t="s">
        <v>259</v>
      </c>
      <c r="I11" s="130" t="s">
        <v>260</v>
      </c>
      <c r="J11" s="130" t="s">
        <v>261</v>
      </c>
      <c r="K11" s="130" t="s">
        <v>262</v>
      </c>
      <c r="L11" s="130" t="s">
        <v>263</v>
      </c>
      <c r="M11" s="210"/>
      <c r="N11" s="248" t="s">
        <v>269</v>
      </c>
      <c r="O11" s="248" t="s">
        <v>282</v>
      </c>
      <c r="P11" s="248" t="s">
        <v>283</v>
      </c>
      <c r="Q11" s="248" t="s">
        <v>284</v>
      </c>
      <c r="R11" s="248" t="s">
        <v>285</v>
      </c>
      <c r="S11" s="248" t="s">
        <v>270</v>
      </c>
    </row>
    <row r="12" spans="1:19" ht="24" customHeight="1" x14ac:dyDescent="0.3">
      <c r="A12" s="228" t="str">
        <f>IF(COMBINACIONES!$O13="","",COMBINACIONES!A13)</f>
        <v>Combinación 1</v>
      </c>
      <c r="B12" s="220" t="str">
        <f>IF(COMBINACIONES!$O13="","",COMBINACIONES!C13)</f>
        <v>3, 4, 6</v>
      </c>
      <c r="C12" s="221">
        <f>IF(COMBINACIONES!$O13="","",COMBINACIONES!B13)</f>
        <v>3</v>
      </c>
      <c r="D12" s="226">
        <f>IF(COMBINACIONES!$O13="","",COMBINACIONES!F13)</f>
        <v>630000000</v>
      </c>
      <c r="E12" s="226">
        <f>IF(COMBINACIONES!$O13="","",COMBINACIONES!G13)</f>
        <v>119058808.99790658</v>
      </c>
      <c r="F12" s="227">
        <f>IF(COMBINACIONES!$O13="","",COMBINACIONES!H13)</f>
        <v>0.18898223650461363</v>
      </c>
      <c r="G12" s="226">
        <f>IF(COMBINACIONES!$O13="","",COMBINACIONES!I13)</f>
        <v>510941191.00209343</v>
      </c>
      <c r="H12" s="226">
        <f>IF(COMBINACIONES!$O13="","",COMBINACIONES!J13)</f>
        <v>749058808.99790657</v>
      </c>
      <c r="I12" s="229">
        <f>IF(COMBINACIONES!$O13="","",D12*(1-$B$4))</f>
        <v>567000000</v>
      </c>
      <c r="J12" s="229">
        <f>IF(COMBINACIONES!$O13="","",D12*(1+$B$4))</f>
        <v>693000000</v>
      </c>
      <c r="K12" s="219">
        <f>IF(COMBINACIONES!$O13="","",COUNTIFS('MERCADO RURAL'!$H$9:$H$17,"&gt;="&amp;I12,'MERCADO RURAL'!$H$9:$H$17,"&lt;="&amp;J12))</f>
        <v>1</v>
      </c>
      <c r="L12" s="110" t="str">
        <f>IF(COMBINACIONES!$O13="","",COMBINACIONES!L13)</f>
        <v>NO</v>
      </c>
      <c r="M12" s="210"/>
      <c r="N12" s="252" t="str">
        <f>IF(AND(9&lt;=AUX_COMBINACIONES!$C$3,INDEX('MERCADO RURAL'!$A:$A,9)&lt;&gt;""),"OFERTA "&amp;TEXT(INDEX('MERCADO RURAL'!$A:$A,9),"00"),"")</f>
        <v>OFERTA 01</v>
      </c>
      <c r="O12" s="251">
        <f>IF(OR($D$18="",$D$19=""),NA(),MIN($D$18,$D$19)/1000000)</f>
        <v>525</v>
      </c>
      <c r="P12" s="251">
        <f>IF(OR($D$18="",$D$19=""),NA(),ABS($D$19-$D$18)/1000000)</f>
        <v>105</v>
      </c>
      <c r="Q12" s="251" t="e">
        <f>IF(N12="",NA(),IF(AND(INDEX('MERCADO RURAL'!$H:$H,9)/1000000&gt;=MIN($D$18,$D$19)/1000000,INDEX('MERCADO RURAL'!$H:$H,9)/1000000&lt;=MAX($D$18,$D$19)/1000000),INDEX('MERCADO RURAL'!$H:$H,9)/1000000,NA()))</f>
        <v>#N/A</v>
      </c>
      <c r="R12" s="251">
        <f>IF(N12="",NA(),IF(AND(INDEX('MERCADO RURAL'!$H:$H,9)/1000000&gt;=MIN($D$18,$D$19)/1000000,INDEX('MERCADO RURAL'!$H:$H,9)/1000000&lt;=MAX($D$18,$D$19)/1000000),NA(),INDEX('MERCADO RURAL'!$H:$H,9)/1000000))</f>
        <v>23.4</v>
      </c>
      <c r="S12" s="251">
        <f>'MERCADO RURAL'!$H$24/1000000</f>
        <v>449.62189999999998</v>
      </c>
    </row>
    <row r="13" spans="1:19" ht="24" customHeight="1" x14ac:dyDescent="0.3">
      <c r="A13" s="228" t="str">
        <f>IF(COMBINACIONES!$O14="","",COMBINACIONES!A14)</f>
        <v>Combinación 2</v>
      </c>
      <c r="B13" s="220" t="str">
        <f>IF(COMBINACIONES!$O14="","",COMBINACIONES!C14)</f>
        <v>5, 3, 4, 6</v>
      </c>
      <c r="C13" s="221">
        <f>IF(COMBINACIONES!$O14="","",COMBINACIONES!B14)</f>
        <v>4</v>
      </c>
      <c r="D13" s="226">
        <f>IF(COMBINACIONES!$O14="","",COMBINACIONES!F14)</f>
        <v>573750000</v>
      </c>
      <c r="E13" s="226">
        <f>IF(COMBINACIONES!$O14="","",COMBINACIONES!G14)</f>
        <v>148681707.01199257</v>
      </c>
      <c r="F13" s="227">
        <f>IF(COMBINACIONES!$O14="","",COMBINACIONES!H14)</f>
        <v>0.25914023008626158</v>
      </c>
      <c r="G13" s="226">
        <f>IF(COMBINACIONES!$O14="","",COMBINACIONES!I14)</f>
        <v>425068292.98800743</v>
      </c>
      <c r="H13" s="226">
        <f>IF(COMBINACIONES!$O14="","",COMBINACIONES!J14)</f>
        <v>722431707.01199257</v>
      </c>
      <c r="I13" s="229">
        <f>IF(COMBINACIONES!$O14="","",D13*(1-$B$4))</f>
        <v>516375000</v>
      </c>
      <c r="J13" s="229">
        <f>IF(COMBINACIONES!$O14="","",D13*(1+$B$4))</f>
        <v>631125000</v>
      </c>
      <c r="K13" s="219">
        <f>IF(COMBINACIONES!$O14="","",COUNTIFS('MERCADO RURAL'!$H$9:$H$17,"&gt;="&amp;I13,'MERCADO RURAL'!$H$9:$H$17,"&lt;="&amp;J13))</f>
        <v>0</v>
      </c>
      <c r="L13" s="110" t="str">
        <f>IF(COMBINACIONES!$O14="","",COMBINACIONES!L14)</f>
        <v>NO</v>
      </c>
      <c r="M13" s="210"/>
      <c r="N13" s="252" t="str">
        <f>IF(AND(10&lt;=AUX_COMBINACIONES!$C$3,INDEX('MERCADO RURAL'!$A:$A,10)&lt;&gt;""),"OFERTA "&amp;TEXT(INDEX('MERCADO RURAL'!$A:$A,10),"00"),"")</f>
        <v>OFERTA 02</v>
      </c>
      <c r="O13" s="251">
        <f>IF(OR($D$18="",$D$19=""),NA(),MIN($D$18,$D$19)/1000000)</f>
        <v>525</v>
      </c>
      <c r="P13" s="251">
        <f>IF(OR($D$18="",$D$19=""),NA(),ABS($D$19-$D$18)/1000000)</f>
        <v>105</v>
      </c>
      <c r="Q13" s="251" t="e">
        <f>IF(N13="",NA(),IF(AND(INDEX('MERCADO RURAL'!$H:$H,10)/1000000&gt;=MIN($D$18,$D$19)/1000000,INDEX('MERCADO RURAL'!$H:$H,10)/1000000&lt;=MAX($D$18,$D$19)/1000000),INDEX('MERCADO RURAL'!$H:$H,10)/1000000,NA()))</f>
        <v>#N/A</v>
      </c>
      <c r="R13" s="251">
        <f>IF(N13="",NA(),IF(AND(INDEX('MERCADO RURAL'!$H:$H,10)/1000000&gt;=MIN($D$18,$D$19)/1000000,INDEX('MERCADO RURAL'!$H:$H,10)/1000000&lt;=MAX($D$18,$D$19)/1000000),NA(),INDEX('MERCADO RURAL'!$H:$H,10)/1000000))</f>
        <v>1250</v>
      </c>
      <c r="S13" s="251">
        <f>'MERCADO RURAL'!$H$24/1000000</f>
        <v>449.62189999999998</v>
      </c>
    </row>
    <row r="14" spans="1:19" ht="24" customHeight="1" x14ac:dyDescent="0.3">
      <c r="A14" s="228" t="str">
        <f>IF(COMBINACIONES!$O15="","",COMBINACIONES!A15)</f>
        <v>Combinación 3</v>
      </c>
      <c r="B14" s="220" t="str">
        <f>IF(COMBINACIONES!$O15="","",COMBINACIONES!C15)</f>
        <v>5, 3, 4</v>
      </c>
      <c r="C14" s="221">
        <f>IF(COMBINACIONES!$O15="","",COMBINACIONES!B15)</f>
        <v>3</v>
      </c>
      <c r="D14" s="226">
        <f>IF(COMBINACIONES!$O15="","",COMBINACIONES!F15)</f>
        <v>525000000</v>
      </c>
      <c r="E14" s="226">
        <f>IF(COMBINACIONES!$O15="","",COMBINACIONES!G15)</f>
        <v>137477270.84867519</v>
      </c>
      <c r="F14" s="227">
        <f>IF(COMBINACIONES!$O15="","",COMBINACIONES!H15)</f>
        <v>0.26186146828319085</v>
      </c>
      <c r="G14" s="226">
        <f>IF(COMBINACIONES!$O15="","",COMBINACIONES!I15)</f>
        <v>387522729.15132481</v>
      </c>
      <c r="H14" s="226">
        <f>IF(COMBINACIONES!$O15="","",COMBINACIONES!J15)</f>
        <v>662477270.84867525</v>
      </c>
      <c r="I14" s="229">
        <f>IF(COMBINACIONES!$O15="","",D14*(1-$B$4))</f>
        <v>472500000</v>
      </c>
      <c r="J14" s="229">
        <f>IF(COMBINACIONES!$O15="","",D14*(1+$B$4))</f>
        <v>577500000</v>
      </c>
      <c r="K14" s="219">
        <f>IF(COMBINACIONES!$O15="","",COUNTIFS('MERCADO RURAL'!$H$9:$H$17,"&gt;="&amp;I14,'MERCADO RURAL'!$H$9:$H$17,"&lt;="&amp;J14))</f>
        <v>1</v>
      </c>
      <c r="L14" s="110" t="str">
        <f>IF(COMBINACIONES!$O15="","",COMBINACIONES!L15)</f>
        <v>NO</v>
      </c>
      <c r="M14" s="210"/>
      <c r="N14" s="252" t="str">
        <f>IF(AND(11&lt;=AUX_COMBINACIONES!$C$3,INDEX('MERCADO RURAL'!$A:$A,11)&lt;&gt;""),"OFERTA "&amp;TEXT(INDEX('MERCADO RURAL'!$A:$A,11),"00"),"")</f>
        <v>OFERTA 03</v>
      </c>
      <c r="O14" s="251">
        <f>IF(OR($D$18="",$D$19=""),NA(),MIN($D$18,$D$19)/1000000)</f>
        <v>525</v>
      </c>
      <c r="P14" s="251">
        <f>IF(OR($D$18="",$D$19=""),NA(),ABS($D$19-$D$18)/1000000)</f>
        <v>105</v>
      </c>
      <c r="Q14" s="251" t="e">
        <f>IF(N14="",NA(),IF(AND(INDEX('MERCADO RURAL'!$H:$H,11)/1000000&gt;=MIN($D$18,$D$19)/1000000,INDEX('MERCADO RURAL'!$H:$H,11)/1000000&lt;=MAX($D$18,$D$19)/1000000),INDEX('MERCADO RURAL'!$H:$H,11)/1000000,NA()))</f>
        <v>#N/A</v>
      </c>
      <c r="R14" s="251">
        <f>IF(N14="",NA(),IF(AND(INDEX('MERCADO RURAL'!$H:$H,11)/1000000&gt;=MIN($D$18,$D$19)/1000000,INDEX('MERCADO RURAL'!$H:$H,11)/1000000&lt;=MAX($D$18,$D$19)/1000000),NA(),INDEX('MERCADO RURAL'!$H:$H,11)/1000000))</f>
        <v>495</v>
      </c>
      <c r="S14" s="251">
        <f>'MERCADO RURAL'!$H$24/1000000</f>
        <v>449.62189999999998</v>
      </c>
    </row>
    <row r="15" spans="1:19" x14ac:dyDescent="0.3">
      <c r="A15" s="210"/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52" t="str">
        <f>IF(AND(12&lt;=AUX_COMBINACIONES!$C$3,INDEX('MERCADO RURAL'!$A:$A,12)&lt;&gt;""),"OFERTA "&amp;TEXT(INDEX('MERCADO RURAL'!$A:$A,12),"00"),"")</f>
        <v>OFERTA 04</v>
      </c>
      <c r="O15" s="251">
        <f>IF(OR($D$18="",$D$19=""),NA(),MIN($D$18,$D$19)/1000000)</f>
        <v>525</v>
      </c>
      <c r="P15" s="251">
        <f>IF(OR($D$18="",$D$19=""),NA(),ABS($D$19-$D$18)/1000000)</f>
        <v>105</v>
      </c>
      <c r="Q15" s="251" t="e">
        <f>IF(N15="",NA(),IF(AND(INDEX('MERCADO RURAL'!$H:$H,12)/1000000&gt;=MIN($D$18,$D$19)/1000000,INDEX('MERCADO RURAL'!$H:$H,12)/1000000&lt;=MAX($D$18,$D$19)/1000000),INDEX('MERCADO RURAL'!$H:$H,12)/1000000,NA()))</f>
        <v>#N/A</v>
      </c>
      <c r="R15" s="251">
        <f>IF(N15="",NA(),IF(AND(INDEX('MERCADO RURAL'!$H:$H,12)/1000000&gt;=MIN($D$18,$D$19)/1000000,INDEX('MERCADO RURAL'!$H:$H,12)/1000000&lt;=MAX($D$18,$D$19)/1000000),NA(),INDEX('MERCADO RURAL'!$H:$H,12)/1000000))</f>
        <v>675</v>
      </c>
      <c r="S15" s="251">
        <f>'MERCADO RURAL'!$H$24/1000000</f>
        <v>449.62189999999998</v>
      </c>
    </row>
    <row r="16" spans="1:19" x14ac:dyDescent="0.3">
      <c r="A16" s="240" t="s">
        <v>264</v>
      </c>
      <c r="B16" s="240"/>
      <c r="C16" s="240"/>
      <c r="D16" s="240"/>
      <c r="E16" s="240"/>
      <c r="F16" s="240"/>
      <c r="G16" s="240"/>
      <c r="H16" s="210"/>
      <c r="I16" s="210"/>
      <c r="J16" s="210"/>
      <c r="K16" s="210"/>
      <c r="L16" s="210"/>
      <c r="M16" s="210"/>
      <c r="N16" s="252" t="str">
        <f>IF(AND(13&lt;=AUX_COMBINACIONES!$C$3,INDEX('MERCADO RURAL'!$A:$A,13)&lt;&gt;""),"OFERTA "&amp;TEXT(INDEX('MERCADO RURAL'!$A:$A,13),"00"),"")</f>
        <v>OFERTA 05</v>
      </c>
      <c r="O16" s="251">
        <f>IF(OR($D$18="",$D$19=""),NA(),MIN($D$18,$D$19)/1000000)</f>
        <v>525</v>
      </c>
      <c r="P16" s="251">
        <f>IF(OR($D$18="",$D$19=""),NA(),ABS($D$19-$D$18)/1000000)</f>
        <v>105</v>
      </c>
      <c r="Q16" s="251" t="e">
        <f>IF(N16="",NA(),IF(AND(INDEX('MERCADO RURAL'!$H:$H,13)/1000000&gt;=MIN($D$18,$D$19)/1000000,INDEX('MERCADO RURAL'!$H:$H,13)/1000000&lt;=MAX($D$18,$D$19)/1000000),INDEX('MERCADO RURAL'!$H:$H,13)/1000000,NA()))</f>
        <v>#N/A</v>
      </c>
      <c r="R16" s="251">
        <f>IF(N16="",NA(),IF(AND(INDEX('MERCADO RURAL'!$H:$H,13)/1000000&gt;=MIN($D$18,$D$19)/1000000,INDEX('MERCADO RURAL'!$H:$H,13)/1000000&lt;=MAX($D$18,$D$19)/1000000),NA(),INDEX('MERCADO RURAL'!$H:$H,13)/1000000))</f>
        <v>405</v>
      </c>
      <c r="S16" s="251">
        <f>'MERCADO RURAL'!$H$24/1000000</f>
        <v>449.62189999999998</v>
      </c>
    </row>
    <row r="17" spans="1:19" ht="34.049999999999997" customHeight="1" x14ac:dyDescent="0.3">
      <c r="A17" s="239" t="s">
        <v>265</v>
      </c>
      <c r="B17" s="239" t="s">
        <v>64</v>
      </c>
      <c r="C17" s="239" t="s">
        <v>185</v>
      </c>
      <c r="D17" s="239" t="s">
        <v>181</v>
      </c>
      <c r="E17" s="239" t="s">
        <v>183</v>
      </c>
      <c r="F17" s="239" t="s">
        <v>66</v>
      </c>
      <c r="G17" s="239" t="s">
        <v>263</v>
      </c>
      <c r="H17" s="210"/>
      <c r="I17" s="210"/>
      <c r="J17" s="210"/>
      <c r="K17" s="210"/>
      <c r="L17" s="210"/>
      <c r="M17" s="210"/>
      <c r="N17" s="252" t="str">
        <f>IF(AND(14&lt;=AUX_COMBINACIONES!$C$3,INDEX('MERCADO RURAL'!$A:$A,14)&lt;&gt;""),"OFERTA "&amp;TEXT(INDEX('MERCADO RURAL'!$A:$A,14),"00"),"")</f>
        <v>OFERTA 06</v>
      </c>
      <c r="O17" s="251">
        <f>IF(OR($D$18="",$D$19=""),NA(),MIN($D$18,$D$19)/1000000)</f>
        <v>525</v>
      </c>
      <c r="P17" s="251">
        <f>IF(OR($D$18="",$D$19=""),NA(),ABS($D$19-$D$18)/1000000)</f>
        <v>105</v>
      </c>
      <c r="Q17" s="251" t="e">
        <f>IF(N17="",NA(),IF(AND(INDEX('MERCADO RURAL'!$H:$H,14)/1000000&gt;=MIN($D$18,$D$19)/1000000,INDEX('MERCADO RURAL'!$H:$H,14)/1000000&lt;=MAX($D$18,$D$19)/1000000),INDEX('MERCADO RURAL'!$H:$H,14)/1000000,NA()))</f>
        <v>#N/A</v>
      </c>
      <c r="R17" s="251">
        <f>IF(N17="",NA(),IF(AND(INDEX('MERCADO RURAL'!$H:$H,14)/1000000&gt;=MIN($D$18,$D$19)/1000000,INDEX('MERCADO RURAL'!$H:$H,14)/1000000&lt;=MAX($D$18,$D$19)/1000000),NA(),INDEX('MERCADO RURAL'!$H:$H,14)/1000000))</f>
        <v>720</v>
      </c>
      <c r="S17" s="251">
        <f>'MERCADO RURAL'!$H$24/1000000</f>
        <v>449.62189999999998</v>
      </c>
    </row>
    <row r="18" spans="1:19" ht="25.95" customHeight="1" x14ac:dyDescent="0.3">
      <c r="A18" s="133" t="s">
        <v>266</v>
      </c>
      <c r="B18" s="110" t="str">
        <f>IFERROR(INDEX(A12:A14,MATCH(MIN(D12:D14),D12:D14,0)),"")</f>
        <v>Combinación 3</v>
      </c>
      <c r="C18" s="110" t="str">
        <f>IFERROR(INDEX(B12:B14,MATCH(MIN(D12:D14),D12:D14,0)),"")</f>
        <v>5, 3, 4</v>
      </c>
      <c r="D18" s="132">
        <f>IFERROR(INDEX(D12:D14,MATCH(MIN(D12:D14),D12:D14,0)),"")</f>
        <v>525000000</v>
      </c>
      <c r="E18" s="132">
        <f>IF(D18="","",D18/10000)</f>
        <v>52500</v>
      </c>
      <c r="F18" s="113">
        <f>IFERROR(INDEX(F12:F14,MATCH(MIN(D12:D14),D12:D14,0)),"")</f>
        <v>0.26186146828319085</v>
      </c>
      <c r="G18" s="110" t="str">
        <f>IFERROR(INDEX(L12:L14,MATCH(MIN(D12:D14),D12:D14,0)),"")</f>
        <v>NO</v>
      </c>
      <c r="H18" s="210"/>
      <c r="I18" s="210"/>
      <c r="J18" s="210"/>
      <c r="K18" s="210"/>
      <c r="L18" s="210"/>
      <c r="M18" s="210"/>
      <c r="N18" s="252" t="str">
        <f>IF(AND(15&lt;=AUX_COMBINACIONES!$C$3,INDEX('MERCADO RURAL'!$A:$A,15)&lt;&gt;""),"OFERTA "&amp;TEXT(INDEX('MERCADO RURAL'!$A:$A,15),"00"),"")</f>
        <v>OFERTA 07</v>
      </c>
      <c r="O18" s="251">
        <f>IF(OR($D$18="",$D$19=""),NA(),MIN($D$18,$D$19)/1000000)</f>
        <v>525</v>
      </c>
      <c r="P18" s="251">
        <f>IF(OR($D$18="",$D$19=""),NA(),ABS($D$19-$D$18)/1000000)</f>
        <v>105</v>
      </c>
      <c r="Q18" s="251" t="e">
        <f>IF(N18="",NA(),IF(AND(INDEX('MERCADO RURAL'!$H:$H,15)/1000000&gt;=MIN($D$18,$D$19)/1000000,INDEX('MERCADO RURAL'!$H:$H,15)/1000000&lt;=MAX($D$18,$D$19)/1000000),INDEX('MERCADO RURAL'!$H:$H,15)/1000000,NA()))</f>
        <v>#N/A</v>
      </c>
      <c r="R18" s="251">
        <f>IF(N18="",NA(),IF(AND(INDEX('MERCADO RURAL'!$H:$H,15)/1000000&gt;=MIN($D$18,$D$19)/1000000,INDEX('MERCADO RURAL'!$H:$H,15)/1000000&lt;=MAX($D$18,$D$19)/1000000),NA(),INDEX('MERCADO RURAL'!$H:$H,15)/1000000))</f>
        <v>27</v>
      </c>
      <c r="S18" s="251">
        <f>'MERCADO RURAL'!$H$24/1000000</f>
        <v>449.62189999999998</v>
      </c>
    </row>
    <row r="19" spans="1:19" ht="25.95" customHeight="1" x14ac:dyDescent="0.3">
      <c r="A19" s="133" t="s">
        <v>267</v>
      </c>
      <c r="B19" s="110" t="str">
        <f>IFERROR(INDEX(A12:A14,MATCH(MAX(D12:D14),D12:D14,0)),"")</f>
        <v>Combinación 1</v>
      </c>
      <c r="C19" s="110" t="str">
        <f>IFERROR(INDEX(B12:B14,MATCH(MAX(D12:D14),D12:D14,0)),"")</f>
        <v>3, 4, 6</v>
      </c>
      <c r="D19" s="132">
        <f>IFERROR(INDEX(D12:D14,MATCH(MAX(D12:D14),D12:D14,0)),"")</f>
        <v>630000000</v>
      </c>
      <c r="E19" s="132">
        <f>IF(D19="","",D19/10000)</f>
        <v>63000</v>
      </c>
      <c r="F19" s="113">
        <f>IFERROR(INDEX(F12:F14,MATCH(MAX(D12:D14),D12:D14,0)),"")</f>
        <v>0.18898223650461363</v>
      </c>
      <c r="G19" s="110" t="str">
        <f>IFERROR(INDEX(L12:L14,MATCH(MAX(D12:D14),D12:D14,0)),"")</f>
        <v>NO</v>
      </c>
      <c r="H19" s="210"/>
      <c r="I19" s="210"/>
      <c r="J19" s="210"/>
      <c r="K19" s="210"/>
      <c r="L19" s="210"/>
      <c r="M19" s="210"/>
      <c r="N19" s="252" t="str">
        <f>IF(AND(16&lt;=AUX_COMBINACIONES!$C$3,INDEX('MERCADO RURAL'!$A:$A,16)&lt;&gt;""),"OFERTA "&amp;TEXT(INDEX('MERCADO RURAL'!$A:$A,16),"00"),"")</f>
        <v>OFERTA 08</v>
      </c>
      <c r="O19" s="251">
        <f>IF(OR($D$18="",$D$19=""),NA(),MIN($D$18,$D$19)/1000000)</f>
        <v>525</v>
      </c>
      <c r="P19" s="251">
        <f>IF(OR($D$18="",$D$19=""),NA(),ABS($D$19-$D$18)/1000000)</f>
        <v>105</v>
      </c>
      <c r="Q19" s="251" t="e">
        <f>IF(N19="",NA(),IF(AND(INDEX('MERCADO RURAL'!$H:$H,16)/1000000&gt;=MIN($D$18,$D$19)/1000000,INDEX('MERCADO RURAL'!$H:$H,16)/1000000&lt;=MAX($D$18,$D$19)/1000000),INDEX('MERCADO RURAL'!$H:$H,16)/1000000,NA()))</f>
        <v>#N/A</v>
      </c>
      <c r="R19" s="251">
        <f>IF(N19="",NA(),IF(AND(INDEX('MERCADO RURAL'!$H:$H,16)/1000000&gt;=MIN($D$18,$D$19)/1000000,INDEX('MERCADO RURAL'!$H:$H,16)/1000000&lt;=MAX($D$18,$D$19)/1000000),NA(),INDEX('MERCADO RURAL'!$H:$H,16)/1000000))</f>
        <v>1.575</v>
      </c>
      <c r="S19" s="251">
        <f>'MERCADO RURAL'!$H$24/1000000</f>
        <v>449.62189999999998</v>
      </c>
    </row>
    <row r="20" spans="1:19" ht="25.95" customHeight="1" x14ac:dyDescent="0.3">
      <c r="A20" s="230" t="s">
        <v>268</v>
      </c>
      <c r="B20" s="231"/>
      <c r="C20" s="231"/>
      <c r="D20" s="232">
        <f>IF(OR(D18="",D19=""),"",D19-D18)</f>
        <v>105000000</v>
      </c>
      <c r="E20" s="232">
        <f>IF(D20="","",D20/10000)</f>
        <v>10500</v>
      </c>
      <c r="F20" s="233">
        <f>IF(OR(D20="",D18=0),"",D20/D18)</f>
        <v>0.2</v>
      </c>
      <c r="G20" s="231"/>
      <c r="H20" s="210"/>
      <c r="I20" s="210"/>
      <c r="J20" s="210"/>
      <c r="K20" s="210"/>
      <c r="L20" s="210"/>
      <c r="M20" s="210"/>
      <c r="N20" s="252" t="str">
        <f>IF(AND(17&lt;=AUX_COMBINACIONES!$C$3,INDEX('MERCADO RURAL'!$A:$A,17)&lt;&gt;""),"OFERTA "&amp;TEXT(INDEX('MERCADO RURAL'!$A:$A,17),"00"),"")</f>
        <v/>
      </c>
      <c r="O20" s="251">
        <f>IF(OR($D$18="",$D$19=""),NA(),MIN($D$18,$D$19)/1000000)</f>
        <v>525</v>
      </c>
      <c r="P20" s="251">
        <f>IF(OR($D$18="",$D$19=""),NA(),ABS($D$19-$D$18)/1000000)</f>
        <v>105</v>
      </c>
      <c r="Q20" s="251" t="e">
        <f>IF(N20="",NA(),IF(AND(INDEX('MERCADO RURAL'!$H:$H,17)/1000000&gt;=MIN($D$18,$D$19)/1000000,INDEX('MERCADO RURAL'!$H:$H,17)/1000000&lt;=MAX($D$18,$D$19)/1000000),INDEX('MERCADO RURAL'!$H:$H,17)/1000000,NA()))</f>
        <v>#N/A</v>
      </c>
      <c r="R20" s="251" t="e">
        <f>IF(N20="",NA(),IF(AND(INDEX('MERCADO RURAL'!$H:$H,17)/1000000&gt;=MIN($D$18,$D$19)/1000000,INDEX('MERCADO RURAL'!$H:$H,17)/1000000&lt;=MAX($D$18,$D$19)/1000000),NA(),INDEX('MERCADO RURAL'!$H:$H,17)/1000000))</f>
        <v>#N/A</v>
      </c>
      <c r="S20" s="251">
        <f>'MERCADO RURAL'!$H$24/1000000</f>
        <v>449.62189999999998</v>
      </c>
    </row>
    <row r="21" spans="1:19" ht="43.95" customHeight="1" x14ac:dyDescent="0.3">
      <c r="A21" s="235" t="str">
        <f>IF($B$8&gt;0,"Existen "&amp;$B$8&amp;" combinación(es) con CV ≤ "&amp;ROUND($B$4*100,1)&amp;"%: el rango entre las referencias es utilizable bajo la Res. 941.","Ninguna combinación de 3 o más ofertas alcanza CV ≤ "&amp;ROUND($B$4*100,1)&amp;"% (mejor CV: "&amp;ROUND(MIN(F12:F14)*100,1)&amp;"%). Los valores son solo ORIENTATIVOS y no sustentan un valor adoptado; se requieren más ofertas del mismo segmento, dentro de la banda admisible de la combinación elegida.")</f>
        <v>Ninguna combinación de 3 o más ofertas alcanza CV ≤ 10% (mejor CV: 18,9%). Los valores son solo ORIENTATIVOS y no sustentan un valor adoptado; se requieren más ofertas del mismo segmento, dentro de la banda admisible de la combinación elegida.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10"/>
      <c r="N21" s="252" t="str">
        <f>IF(AND(18&lt;=AUX_COMBINACIONES!$C$3,INDEX('MERCADO RURAL'!$A:$A,18)&lt;&gt;""),"OFERTA "&amp;TEXT(INDEX('MERCADO RURAL'!$A:$A,18),"00"),"")</f>
        <v/>
      </c>
      <c r="O21" s="251">
        <f>IF(OR($D$18="",$D$19=""),NA(),MIN($D$18,$D$19)/1000000)</f>
        <v>525</v>
      </c>
      <c r="P21" s="251">
        <f>IF(OR($D$18="",$D$19=""),NA(),ABS($D$19-$D$18)/1000000)</f>
        <v>105</v>
      </c>
      <c r="Q21" s="251" t="e">
        <f>IF(N21="",NA(),IF(AND(INDEX('MERCADO RURAL'!$H:$H,18)/1000000&gt;=MIN($D$18,$D$19)/1000000,INDEX('MERCADO RURAL'!$H:$H,18)/1000000&lt;=MAX($D$18,$D$19)/1000000),INDEX('MERCADO RURAL'!$H:$H,18)/1000000,NA()))</f>
        <v>#N/A</v>
      </c>
      <c r="R21" s="251" t="e">
        <f>IF(N21="",NA(),IF(AND(INDEX('MERCADO RURAL'!$H:$H,18)/1000000&gt;=MIN($D$18,$D$19)/1000000,INDEX('MERCADO RURAL'!$H:$H,18)/1000000&lt;=MAX($D$18,$D$19)/1000000),NA(),INDEX('MERCADO RURAL'!$H:$H,18)/1000000))</f>
        <v>#N/A</v>
      </c>
      <c r="S21" s="251">
        <f>'MERCADO RURAL'!$H$24/1000000</f>
        <v>449.62189999999998</v>
      </c>
    </row>
    <row r="22" spans="1:19" x14ac:dyDescent="0.3">
      <c r="A22" s="210"/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52" t="str">
        <f>IF(AND(19&lt;=AUX_COMBINACIONES!$C$3,INDEX('MERCADO RURAL'!$A:$A,19)&lt;&gt;""),"OFERTA "&amp;TEXT(INDEX('MERCADO RURAL'!$A:$A,19),"00"),"")</f>
        <v/>
      </c>
      <c r="O22" s="251">
        <f>IF(OR($D$18="",$D$19=""),NA(),MIN($D$18,$D$19)/1000000)</f>
        <v>525</v>
      </c>
      <c r="P22" s="251">
        <f>IF(OR($D$18="",$D$19=""),NA(),ABS($D$19-$D$18)/1000000)</f>
        <v>105</v>
      </c>
      <c r="Q22" s="251" t="e">
        <f>IF(N22="",NA(),IF(AND(INDEX('MERCADO RURAL'!$H:$H,19)/1000000&gt;=MIN($D$18,$D$19)/1000000,INDEX('MERCADO RURAL'!$H:$H,19)/1000000&lt;=MAX($D$18,$D$19)/1000000),INDEX('MERCADO RURAL'!$H:$H,19)/1000000,NA()))</f>
        <v>#N/A</v>
      </c>
      <c r="R22" s="251" t="e">
        <f>IF(N22="",NA(),IF(AND(INDEX('MERCADO RURAL'!$H:$H,19)/1000000&gt;=MIN($D$18,$D$19)/1000000,INDEX('MERCADO RURAL'!$H:$H,19)/1000000&lt;=MAX($D$18,$D$19)/1000000),NA(),INDEX('MERCADO RURAL'!$H:$H,19)/1000000))</f>
        <v>#N/A</v>
      </c>
      <c r="S22" s="251">
        <f>'MERCADO RURAL'!$H$24/1000000</f>
        <v>449.62189999999998</v>
      </c>
    </row>
    <row r="23" spans="1:19" x14ac:dyDescent="0.3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52" t="str">
        <f>IF(AND(20&lt;=AUX_COMBINACIONES!$C$3,INDEX('MERCADO RURAL'!$A:$A,20)&lt;&gt;""),"OFERTA "&amp;TEXT(INDEX('MERCADO RURAL'!$A:$A,20),"00"),"")</f>
        <v/>
      </c>
      <c r="O23" s="251">
        <f>IF(OR($D$18="",$D$19=""),NA(),MIN($D$18,$D$19)/1000000)</f>
        <v>525</v>
      </c>
      <c r="P23" s="251">
        <f>IF(OR($D$18="",$D$19=""),NA(),ABS($D$19-$D$18)/1000000)</f>
        <v>105</v>
      </c>
      <c r="Q23" s="251" t="e">
        <f>IF(N23="",NA(),IF(AND(INDEX('MERCADO RURAL'!$H:$H,20)/1000000&gt;=MIN($D$18,$D$19)/1000000,INDEX('MERCADO RURAL'!$H:$H,20)/1000000&lt;=MAX($D$18,$D$19)/1000000),INDEX('MERCADO RURAL'!$H:$H,20)/1000000,NA()))</f>
        <v>#N/A</v>
      </c>
      <c r="R23" s="251" t="e">
        <f>IF(N23="",NA(),IF(AND(INDEX('MERCADO RURAL'!$H:$H,20)/1000000&gt;=MIN($D$18,$D$19)/1000000,INDEX('MERCADO RURAL'!$H:$H,20)/1000000&lt;=MAX($D$18,$D$19)/1000000),NA(),INDEX('MERCADO RURAL'!$H:$H,20)/1000000))</f>
        <v>#N/A</v>
      </c>
      <c r="S23" s="251">
        <f>'MERCADO RURAL'!$H$24/1000000</f>
        <v>449.62189999999998</v>
      </c>
    </row>
    <row r="24" spans="1:19" x14ac:dyDescent="0.3">
      <c r="A24" s="210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</row>
    <row r="25" spans="1:19" x14ac:dyDescent="0.3">
      <c r="A25" s="210"/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</row>
    <row r="26" spans="1:19" x14ac:dyDescent="0.3">
      <c r="A26" s="210"/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48" t="s">
        <v>64</v>
      </c>
      <c r="O26" s="248" t="s">
        <v>66</v>
      </c>
      <c r="P26" s="248" t="s">
        <v>286</v>
      </c>
    </row>
    <row r="27" spans="1:19" x14ac:dyDescent="0.3">
      <c r="A27" s="210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49" t="str">
        <f>IF(A12="",NA(),A12)</f>
        <v>Combinación 1</v>
      </c>
      <c r="O27" s="250">
        <f>IF(F12="",NA(),F12)</f>
        <v>0.18898223650461363</v>
      </c>
      <c r="P27" s="250">
        <f>$B$4</f>
        <v>0.1</v>
      </c>
    </row>
    <row r="28" spans="1:19" x14ac:dyDescent="0.3">
      <c r="A28" s="210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49" t="str">
        <f>IF(A13="",NA(),A13)</f>
        <v>Combinación 2</v>
      </c>
      <c r="O28" s="250">
        <f>IF(F13="",NA(),F13)</f>
        <v>0.25914023008626158</v>
      </c>
      <c r="P28" s="250">
        <f>$B$4</f>
        <v>0.1</v>
      </c>
    </row>
    <row r="29" spans="1:19" x14ac:dyDescent="0.3">
      <c r="A29" s="210"/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49" t="str">
        <f>IF(A14="",NA(),A14)</f>
        <v>Combinación 3</v>
      </c>
      <c r="O29" s="250">
        <f>IF(F14="",NA(),F14)</f>
        <v>0.26186146828319085</v>
      </c>
      <c r="P29" s="250">
        <f>$B$4</f>
        <v>0.1</v>
      </c>
    </row>
    <row r="30" spans="1:19" x14ac:dyDescent="0.3">
      <c r="A30" s="210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</row>
    <row r="31" spans="1:19" x14ac:dyDescent="0.3">
      <c r="A31" s="210"/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</row>
    <row r="32" spans="1:19" x14ac:dyDescent="0.3">
      <c r="A32" s="210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</row>
    <row r="33" spans="1:18" x14ac:dyDescent="0.3">
      <c r="A33" s="210"/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</row>
    <row r="34" spans="1:18" x14ac:dyDescent="0.3">
      <c r="A34" s="210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</row>
    <row r="35" spans="1:18" x14ac:dyDescent="0.3">
      <c r="A35" s="210"/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</row>
    <row r="36" spans="1:18" x14ac:dyDescent="0.3">
      <c r="A36" s="210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</row>
    <row r="37" spans="1:18" x14ac:dyDescent="0.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</row>
    <row r="38" spans="1:18" x14ac:dyDescent="0.3">
      <c r="A38" s="210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</row>
    <row r="39" spans="1:18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</row>
    <row r="40" spans="1:18" x14ac:dyDescent="0.3">
      <c r="A40" s="210"/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</row>
    <row r="41" spans="1:18" x14ac:dyDescent="0.3">
      <c r="A41" s="210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</row>
    <row r="42" spans="1:18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</row>
    <row r="43" spans="1:18" x14ac:dyDescent="0.3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</row>
    <row r="44" spans="1:18" x14ac:dyDescent="0.3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</row>
    <row r="45" spans="1:18" x14ac:dyDescent="0.3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</row>
    <row r="46" spans="1:18" x14ac:dyDescent="0.3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</row>
    <row r="47" spans="1:18" x14ac:dyDescent="0.3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</row>
    <row r="48" spans="1:18" x14ac:dyDescent="0.3">
      <c r="A48" s="210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</row>
    <row r="49" spans="1:18" x14ac:dyDescent="0.3">
      <c r="A49" s="210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</row>
    <row r="50" spans="1:18" x14ac:dyDescent="0.3">
      <c r="A50" s="210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</row>
  </sheetData>
  <mergeCells count="19">
    <mergeCell ref="J4:K4"/>
    <mergeCell ref="J5:K7"/>
    <mergeCell ref="J8:K8"/>
    <mergeCell ref="L5:L7"/>
    <mergeCell ref="D8:E8"/>
    <mergeCell ref="F4:G4"/>
    <mergeCell ref="F5:G7"/>
    <mergeCell ref="F8:G8"/>
    <mergeCell ref="H4:I4"/>
    <mergeCell ref="H5:I7"/>
    <mergeCell ref="H8:I8"/>
    <mergeCell ref="A1:L1"/>
    <mergeCell ref="A2:L2"/>
    <mergeCell ref="A10:L10"/>
    <mergeCell ref="A21:L21"/>
    <mergeCell ref="A16:G16"/>
    <mergeCell ref="N10:S10"/>
    <mergeCell ref="D4:E4"/>
    <mergeCell ref="D5:E7"/>
  </mergeCells>
  <conditionalFormatting sqref="L4:L8">
    <cfRule type="expression" dxfId="5" priority="1">
      <formula>$L$5="CUMPLE"</formula>
    </cfRule>
  </conditionalFormatting>
  <conditionalFormatting sqref="L4:L8">
    <cfRule type="expression" dxfId="4" priority="2">
      <formula>$L$5="NO CUMPLE"</formula>
    </cfRule>
  </conditionalFormatting>
  <conditionalFormatting sqref="J4:K8">
    <cfRule type="expression" dxfId="3" priority="3">
      <formula>$J$5&gt;$B$4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5A0E-5E0A-4033-B571-F81D79C48D9E}">
  <sheetPr>
    <tabColor rgb="FFED7D31"/>
  </sheetPr>
  <dimension ref="A1:Q30"/>
  <sheetViews>
    <sheetView zoomScaleNormal="100" workbookViewId="0">
      <selection activeCell="D12" sqref="D12"/>
    </sheetView>
  </sheetViews>
  <sheetFormatPr baseColWidth="10" defaultColWidth="11.44140625" defaultRowHeight="14.4" x14ac:dyDescent="0.3"/>
  <cols>
    <col min="1" max="1" width="8.44140625" customWidth="1"/>
    <col min="2" max="2" width="30" customWidth="1"/>
    <col min="3" max="3" width="25.88671875" customWidth="1"/>
    <col min="4" max="9" width="18" customWidth="1"/>
    <col min="10" max="10" width="45" customWidth="1"/>
    <col min="11" max="11" width="26" customWidth="1"/>
    <col min="12" max="12" width="16" customWidth="1"/>
    <col min="13" max="13" width="28.77734375" customWidth="1"/>
    <col min="14" max="14" width="21.5546875" style="69" customWidth="1"/>
    <col min="15" max="15" width="14" style="69" customWidth="1"/>
    <col min="16" max="16" width="40" style="69" customWidth="1"/>
    <col min="17" max="17" width="18.5546875" style="69" customWidth="1"/>
  </cols>
  <sheetData>
    <row r="1" spans="1:17" s="2" customFormat="1" ht="18" customHeight="1" thickBot="1" x14ac:dyDescent="0.35">
      <c r="A1" s="167"/>
      <c r="B1" s="40"/>
      <c r="C1" s="281"/>
      <c r="D1" s="282" t="s">
        <v>333</v>
      </c>
      <c r="E1" s="40"/>
      <c r="F1" s="40"/>
      <c r="G1" s="40"/>
      <c r="H1" s="40"/>
      <c r="I1" s="40"/>
      <c r="J1" s="36"/>
      <c r="K1" s="18" t="s">
        <v>1</v>
      </c>
      <c r="L1" s="19"/>
      <c r="M1" s="20"/>
      <c r="N1" s="67"/>
      <c r="O1" s="67"/>
      <c r="P1" s="67"/>
      <c r="Q1" s="67"/>
    </row>
    <row r="2" spans="1:17" s="2" customFormat="1" ht="27" customHeight="1" thickBot="1" x14ac:dyDescent="0.3">
      <c r="A2" s="37"/>
      <c r="B2" s="24"/>
      <c r="C2" s="38"/>
      <c r="D2" s="41"/>
      <c r="E2" s="24"/>
      <c r="F2" s="24"/>
      <c r="G2" s="24"/>
      <c r="H2" s="24"/>
      <c r="I2" s="24"/>
      <c r="J2" s="38"/>
      <c r="K2" s="3">
        <v>2026</v>
      </c>
      <c r="L2" s="3">
        <v>10</v>
      </c>
      <c r="M2" s="4">
        <v>1</v>
      </c>
      <c r="N2" s="67"/>
      <c r="O2" s="67"/>
      <c r="P2" s="67"/>
      <c r="Q2" s="67"/>
    </row>
    <row r="3" spans="1:17" s="2" customFormat="1" ht="18" customHeight="1" x14ac:dyDescent="0.3">
      <c r="A3" s="31"/>
      <c r="B3" s="5" t="s">
        <v>2</v>
      </c>
      <c r="C3" s="5"/>
      <c r="D3" s="5"/>
      <c r="E3" s="5"/>
      <c r="F3" s="43" t="s">
        <v>3</v>
      </c>
      <c r="G3" s="19"/>
      <c r="H3" s="19"/>
      <c r="I3" s="19"/>
      <c r="J3" s="19"/>
      <c r="K3" s="19"/>
      <c r="L3" s="6" t="s">
        <v>4</v>
      </c>
      <c r="M3" s="10"/>
      <c r="N3" s="67"/>
      <c r="O3" s="67"/>
      <c r="P3" s="67"/>
      <c r="Q3" s="67"/>
    </row>
    <row r="4" spans="1:17" s="2" customFormat="1" ht="18" customHeight="1" x14ac:dyDescent="0.3">
      <c r="A4" s="32"/>
      <c r="B4" s="26" t="s">
        <v>5</v>
      </c>
      <c r="C4" s="26"/>
      <c r="D4" s="27"/>
      <c r="E4" s="28" t="s">
        <v>6</v>
      </c>
      <c r="F4" s="29"/>
      <c r="G4" s="29"/>
      <c r="H4" s="29"/>
      <c r="I4" s="29"/>
      <c r="J4" s="29"/>
      <c r="K4" s="29"/>
      <c r="L4" s="29"/>
      <c r="M4" s="30"/>
      <c r="N4" s="67"/>
      <c r="O4" s="67"/>
      <c r="P4" s="67"/>
      <c r="Q4" s="67"/>
    </row>
    <row r="5" spans="1:17" s="2" customFormat="1" ht="13.8" customHeight="1" x14ac:dyDescent="0.3">
      <c r="A5" s="32"/>
      <c r="B5" s="33"/>
      <c r="C5" s="166"/>
      <c r="D5" s="27"/>
      <c r="E5" s="27"/>
      <c r="F5" s="27"/>
      <c r="G5" s="27"/>
      <c r="H5" s="27"/>
      <c r="I5" s="27"/>
      <c r="J5" s="27"/>
      <c r="K5" s="27"/>
      <c r="L5" s="27"/>
      <c r="M5" s="34"/>
      <c r="N5" s="67"/>
      <c r="O5" s="67"/>
      <c r="P5" s="67"/>
      <c r="Q5" s="67"/>
    </row>
    <row r="6" spans="1:17" s="2" customFormat="1" ht="23.4" thickBot="1" x14ac:dyDescent="0.35">
      <c r="A6" s="42" t="s">
        <v>7</v>
      </c>
      <c r="B6" s="24"/>
      <c r="C6" s="17"/>
      <c r="D6" s="23" t="s">
        <v>8</v>
      </c>
      <c r="E6" s="24"/>
      <c r="F6" s="25" t="s">
        <v>9</v>
      </c>
      <c r="G6" s="24"/>
      <c r="H6" s="7" t="s">
        <v>10</v>
      </c>
      <c r="I6" s="8"/>
      <c r="J6" s="9"/>
      <c r="K6" s="7"/>
      <c r="L6" s="7"/>
      <c r="M6" s="11"/>
      <c r="N6" s="67"/>
      <c r="O6" s="67"/>
      <c r="P6" s="67"/>
      <c r="Q6" s="67"/>
    </row>
    <row r="7" spans="1:17" s="45" customFormat="1" ht="21.75" customHeight="1" x14ac:dyDescent="0.3">
      <c r="A7" s="44"/>
      <c r="M7" s="46"/>
      <c r="N7" s="68"/>
      <c r="O7" s="68"/>
      <c r="P7" s="68"/>
      <c r="Q7" s="68"/>
    </row>
    <row r="8" spans="1:17" s="2" customFormat="1" ht="61.2" customHeight="1" x14ac:dyDescent="0.25">
      <c r="A8" s="47" t="s">
        <v>11</v>
      </c>
      <c r="B8" s="48" t="s">
        <v>12</v>
      </c>
      <c r="C8" s="75" t="s">
        <v>220</v>
      </c>
      <c r="D8" s="48" t="s">
        <v>13</v>
      </c>
      <c r="E8" s="48" t="s">
        <v>14</v>
      </c>
      <c r="F8" s="48" t="s">
        <v>15</v>
      </c>
      <c r="G8" s="48" t="s">
        <v>16</v>
      </c>
      <c r="H8" s="48" t="s">
        <v>17</v>
      </c>
      <c r="I8" s="48" t="s">
        <v>18</v>
      </c>
      <c r="J8" s="48" t="s">
        <v>19</v>
      </c>
      <c r="K8" s="48" t="s">
        <v>20</v>
      </c>
      <c r="L8" s="48" t="s">
        <v>21</v>
      </c>
      <c r="M8" s="71" t="s">
        <v>22</v>
      </c>
      <c r="N8" s="75" t="s">
        <v>23</v>
      </c>
      <c r="O8" s="73" t="s">
        <v>24</v>
      </c>
      <c r="P8" s="49" t="s">
        <v>25</v>
      </c>
      <c r="Q8" s="49" t="s">
        <v>72</v>
      </c>
    </row>
    <row r="9" spans="1:17" s="2" customFormat="1" ht="41.4" x14ac:dyDescent="0.25">
      <c r="A9" s="50">
        <v>1</v>
      </c>
      <c r="B9" s="51" t="s">
        <v>308</v>
      </c>
      <c r="C9" s="267"/>
      <c r="D9" s="52">
        <v>537800000</v>
      </c>
      <c r="E9" s="53">
        <v>0.1</v>
      </c>
      <c r="F9" s="52">
        <f>D9*(1-E9)</f>
        <v>484020000</v>
      </c>
      <c r="G9" s="58">
        <v>20</v>
      </c>
      <c r="H9" s="57">
        <f>(F9-I9)/G9</f>
        <v>24201000</v>
      </c>
      <c r="I9" s="54">
        <f>SUMIFS(SIM_DEPRECIACIÓN!$P$5:$P$14,SIM_DEPRECIACIÓN!$A$5:$A$14,$A9)</f>
        <v>0</v>
      </c>
      <c r="J9" s="51" t="s">
        <v>309</v>
      </c>
      <c r="K9" s="51" t="s">
        <v>310</v>
      </c>
      <c r="L9" s="51" t="s">
        <v>311</v>
      </c>
      <c r="M9" s="72"/>
      <c r="N9" s="76" t="s">
        <v>312</v>
      </c>
      <c r="O9" s="280">
        <v>46266</v>
      </c>
      <c r="P9" s="51" t="s">
        <v>313</v>
      </c>
      <c r="Q9" s="51" t="str">
        <f>"OFERTA "&amp;TEXT(A9,"00")</f>
        <v>OFERTA 01</v>
      </c>
    </row>
    <row r="10" spans="1:17" s="2" customFormat="1" ht="41.4" x14ac:dyDescent="0.25">
      <c r="A10" s="50">
        <v>2</v>
      </c>
      <c r="B10" s="51" t="s">
        <v>314</v>
      </c>
      <c r="C10" s="267"/>
      <c r="D10" s="52">
        <v>1106300000</v>
      </c>
      <c r="E10" s="53">
        <v>0.1</v>
      </c>
      <c r="F10" s="52">
        <f>D10*(1-E10)</f>
        <v>995670000</v>
      </c>
      <c r="G10" s="58">
        <v>35</v>
      </c>
      <c r="H10" s="56">
        <f>(F10-I10)/G10</f>
        <v>27399714.285714287</v>
      </c>
      <c r="I10" s="54">
        <f>SUMIFS(SIM_DEPRECIACIÓN!$P$5:$P$14,SIM_DEPRECIACIÓN!$A$5:$A$14,$A10)</f>
        <v>36680000</v>
      </c>
      <c r="J10" s="51" t="s">
        <v>315</v>
      </c>
      <c r="K10" s="51" t="s">
        <v>316</v>
      </c>
      <c r="L10" s="51" t="s">
        <v>311</v>
      </c>
      <c r="M10" s="72"/>
      <c r="N10" s="76" t="s">
        <v>312</v>
      </c>
      <c r="O10" s="280">
        <v>46270</v>
      </c>
      <c r="P10" s="51" t="s">
        <v>313</v>
      </c>
      <c r="Q10" s="51" t="str">
        <f>"OFERTA "&amp;TEXT(A10,"00")</f>
        <v>OFERTA 02</v>
      </c>
    </row>
    <row r="11" spans="1:17" s="2" customFormat="1" ht="41.4" x14ac:dyDescent="0.25">
      <c r="A11" s="50">
        <v>3</v>
      </c>
      <c r="B11" s="51" t="s">
        <v>317</v>
      </c>
      <c r="C11" s="267"/>
      <c r="D11" s="52">
        <v>1355100000</v>
      </c>
      <c r="E11" s="53">
        <v>0.1</v>
      </c>
      <c r="F11" s="52">
        <f>D11*(1-E11)</f>
        <v>1219590000</v>
      </c>
      <c r="G11" s="58">
        <v>48</v>
      </c>
      <c r="H11" s="56">
        <f>(F11-I11)/G11</f>
        <v>25099687.5</v>
      </c>
      <c r="I11" s="54">
        <f>SUMIFS(SIM_DEPRECIACIÓN!$P$5:$P$14,SIM_DEPRECIACIÓN!$A$5:$A$14,$A11)</f>
        <v>14805000</v>
      </c>
      <c r="J11" s="51" t="s">
        <v>318</v>
      </c>
      <c r="K11" s="51" t="s">
        <v>319</v>
      </c>
      <c r="L11" s="51" t="s">
        <v>311</v>
      </c>
      <c r="M11" s="72"/>
      <c r="N11" s="76" t="s">
        <v>312</v>
      </c>
      <c r="O11" s="280">
        <v>46275</v>
      </c>
      <c r="P11" s="51" t="s">
        <v>313</v>
      </c>
      <c r="Q11" s="51" t="str">
        <f>"OFERTA "&amp;TEXT(A11,"00")</f>
        <v>OFERTA 03</v>
      </c>
    </row>
    <row r="12" spans="1:17" s="2" customFormat="1" ht="41.4" x14ac:dyDescent="0.25">
      <c r="A12" s="50">
        <v>4</v>
      </c>
      <c r="B12" s="51" t="s">
        <v>320</v>
      </c>
      <c r="C12" s="267"/>
      <c r="D12" s="52">
        <v>1926700000</v>
      </c>
      <c r="E12" s="53">
        <v>0.1</v>
      </c>
      <c r="F12" s="52">
        <f>D12*(1-E12)</f>
        <v>1734030000</v>
      </c>
      <c r="G12" s="58">
        <v>60</v>
      </c>
      <c r="H12" s="56">
        <f>(F12-I12)/G12</f>
        <v>28900500</v>
      </c>
      <c r="I12" s="54">
        <f>SUMIFS(SIM_DEPRECIACIÓN!$P$5:$P$14,SIM_DEPRECIACIÓN!$A$5:$A$14,$A12)</f>
        <v>0</v>
      </c>
      <c r="J12" s="51" t="s">
        <v>321</v>
      </c>
      <c r="K12" s="51" t="s">
        <v>322</v>
      </c>
      <c r="L12" s="51" t="s">
        <v>311</v>
      </c>
      <c r="M12" s="72"/>
      <c r="N12" s="76" t="s">
        <v>312</v>
      </c>
      <c r="O12" s="280">
        <v>46280</v>
      </c>
      <c r="P12" s="51" t="s">
        <v>313</v>
      </c>
      <c r="Q12" s="51" t="str">
        <f>"OFERTA "&amp;TEXT(A12,"00")</f>
        <v>OFERTA 04</v>
      </c>
    </row>
    <row r="13" spans="1:17" s="2" customFormat="1" ht="15.75" customHeight="1" x14ac:dyDescent="0.25">
      <c r="A13" s="12"/>
      <c r="B13" s="13"/>
      <c r="C13" s="13"/>
      <c r="D13" s="13"/>
      <c r="E13" s="13"/>
      <c r="F13" s="16"/>
      <c r="G13" s="13"/>
      <c r="H13" s="13"/>
      <c r="I13" s="13"/>
      <c r="J13" s="13"/>
      <c r="K13" s="13"/>
      <c r="L13" s="14"/>
      <c r="M13" s="15"/>
      <c r="N13" s="67"/>
      <c r="O13" s="67"/>
      <c r="P13" s="67"/>
      <c r="Q13" s="67"/>
    </row>
    <row r="14" spans="1:17" s="2" customFormat="1" ht="13.8" customHeight="1" x14ac:dyDescent="0.3">
      <c r="A14" s="12"/>
      <c r="B14" s="13"/>
      <c r="C14" s="13"/>
      <c r="D14" s="13"/>
      <c r="E14" s="13"/>
      <c r="F14" s="21" t="s">
        <v>33</v>
      </c>
      <c r="G14" s="22"/>
      <c r="H14" s="61">
        <f>AVERAGE(H9:H13)</f>
        <v>26400225.446428571</v>
      </c>
      <c r="I14" s="13"/>
      <c r="J14" s="13"/>
      <c r="K14" s="13"/>
      <c r="L14" s="14"/>
      <c r="M14" s="15"/>
      <c r="N14" s="67"/>
      <c r="O14" s="67"/>
      <c r="P14" s="67"/>
      <c r="Q14" s="67"/>
    </row>
    <row r="15" spans="1:17" s="2" customFormat="1" ht="18" customHeight="1" x14ac:dyDescent="0.3">
      <c r="A15" s="12"/>
      <c r="B15" s="13"/>
      <c r="C15" s="13"/>
      <c r="D15" s="13"/>
      <c r="E15" s="13"/>
      <c r="F15" s="21" t="s">
        <v>34</v>
      </c>
      <c r="G15" s="22"/>
      <c r="H15" s="62">
        <f>_xlfn.STDEV.S(H9:H13)</f>
        <v>2143077.4054626143</v>
      </c>
      <c r="I15" s="13"/>
      <c r="J15" s="13"/>
      <c r="K15" s="13"/>
      <c r="L15" s="14"/>
      <c r="M15" s="15"/>
      <c r="N15" s="67"/>
      <c r="O15" s="67"/>
      <c r="P15" s="67"/>
      <c r="Q15" s="67"/>
    </row>
    <row r="16" spans="1:17" s="2" customFormat="1" ht="18" customHeight="1" x14ac:dyDescent="0.3">
      <c r="A16" s="12"/>
      <c r="B16" s="13"/>
      <c r="C16" s="13"/>
      <c r="D16" s="13"/>
      <c r="E16" s="13"/>
      <c r="F16" s="21" t="s">
        <v>35</v>
      </c>
      <c r="G16" s="22"/>
      <c r="H16" s="63">
        <f>H15/H14</f>
        <v>8.1176481231622605E-2</v>
      </c>
      <c r="I16" s="13"/>
      <c r="J16" s="13"/>
      <c r="K16" s="13"/>
      <c r="L16" s="14"/>
      <c r="M16" s="15"/>
      <c r="N16" s="67"/>
      <c r="O16" s="67"/>
      <c r="P16" s="67"/>
      <c r="Q16" s="67"/>
    </row>
    <row r="17" spans="1:17" s="2" customFormat="1" ht="18" customHeight="1" x14ac:dyDescent="0.3">
      <c r="A17" s="12"/>
      <c r="B17" s="13"/>
      <c r="C17" s="13"/>
      <c r="D17" s="13"/>
      <c r="E17" s="13"/>
      <c r="F17" s="21" t="s">
        <v>59</v>
      </c>
      <c r="G17" s="22"/>
      <c r="H17" s="64">
        <f>H14-H15</f>
        <v>24257148.040965956</v>
      </c>
      <c r="I17" s="13"/>
      <c r="J17" s="13"/>
      <c r="K17" s="13"/>
      <c r="L17" s="14"/>
      <c r="M17" s="15"/>
      <c r="N17" s="67"/>
      <c r="O17" s="67"/>
      <c r="P17" s="67"/>
      <c r="Q17" s="67"/>
    </row>
    <row r="18" spans="1:17" s="2" customFormat="1" ht="18" customHeight="1" x14ac:dyDescent="0.3">
      <c r="A18" s="12"/>
      <c r="B18" s="13"/>
      <c r="C18" s="13"/>
      <c r="D18" s="13"/>
      <c r="E18" s="13"/>
      <c r="F18" s="21" t="s">
        <v>60</v>
      </c>
      <c r="G18" s="22"/>
      <c r="H18" s="64">
        <f>H14+H15</f>
        <v>28543302.851891186</v>
      </c>
      <c r="I18" s="13"/>
      <c r="J18" s="13"/>
      <c r="K18" s="13"/>
      <c r="L18" s="14"/>
      <c r="M18" s="15"/>
      <c r="N18" s="67"/>
      <c r="O18" s="67"/>
      <c r="P18" s="67"/>
      <c r="Q18" s="67"/>
    </row>
    <row r="19" spans="1:17" s="2" customFormat="1" ht="18" customHeight="1" x14ac:dyDescent="0.3">
      <c r="A19" s="12"/>
      <c r="B19" s="13"/>
      <c r="C19" s="13"/>
      <c r="D19" s="13"/>
      <c r="E19" s="13"/>
      <c r="F19" s="21" t="s">
        <v>61</v>
      </c>
      <c r="G19" s="22"/>
      <c r="H19" s="65">
        <f>SKEW(H9:H13)</f>
        <v>0.25684928509112998</v>
      </c>
      <c r="I19" s="13"/>
      <c r="J19" s="13"/>
      <c r="K19" s="13"/>
      <c r="L19" s="14"/>
      <c r="M19" s="15"/>
      <c r="N19" s="67"/>
      <c r="O19" s="67"/>
      <c r="P19" s="67"/>
      <c r="Q19" s="67"/>
    </row>
    <row r="20" spans="1:17" s="2" customFormat="1" ht="18" customHeight="1" x14ac:dyDescent="0.3">
      <c r="A20" s="12"/>
      <c r="B20" s="13"/>
      <c r="C20" s="13"/>
      <c r="D20" s="13"/>
      <c r="E20" s="13"/>
      <c r="F20" s="21" t="s">
        <v>36</v>
      </c>
      <c r="G20" s="22"/>
      <c r="H20" s="66">
        <f>ROUND(H14,-2)</f>
        <v>26400200</v>
      </c>
      <c r="I20" s="13"/>
      <c r="J20" s="13"/>
      <c r="K20" s="13"/>
      <c r="L20" s="14"/>
      <c r="M20" s="15"/>
      <c r="N20" s="67"/>
      <c r="O20" s="67"/>
      <c r="P20" s="67"/>
      <c r="Q20" s="67"/>
    </row>
    <row r="21" spans="1:17" s="2" customFormat="1" ht="18" customHeight="1" x14ac:dyDescent="0.25">
      <c r="A21" s="12"/>
      <c r="B21" s="13"/>
      <c r="C21" s="13"/>
      <c r="D21" s="13"/>
      <c r="E21" s="13"/>
      <c r="F21" s="16"/>
      <c r="G21" s="13"/>
      <c r="H21" s="13"/>
      <c r="I21" s="13"/>
      <c r="J21" s="13"/>
      <c r="K21" s="13"/>
      <c r="L21" s="14"/>
      <c r="M21" s="15"/>
      <c r="N21" s="67"/>
      <c r="O21" s="67"/>
      <c r="P21" s="67"/>
      <c r="Q21" s="67"/>
    </row>
    <row r="22" spans="1:17" s="2" customFormat="1" ht="24.6" customHeight="1" thickBot="1" x14ac:dyDescent="0.3">
      <c r="A22" s="12"/>
      <c r="B22" s="268"/>
      <c r="C22" s="268"/>
      <c r="D22" s="268"/>
      <c r="E22" s="268"/>
      <c r="F22" s="269"/>
      <c r="G22" s="268"/>
      <c r="H22" s="268"/>
      <c r="I22" s="268"/>
      <c r="J22" s="268"/>
      <c r="K22" s="268"/>
      <c r="L22" s="270"/>
      <c r="M22" s="15"/>
      <c r="N22" s="67"/>
      <c r="O22" s="67"/>
      <c r="P22" s="67"/>
      <c r="Q22" s="67"/>
    </row>
    <row r="23" spans="1:17" x14ac:dyDescent="0.3">
      <c r="A23" s="272" t="s">
        <v>323</v>
      </c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3"/>
      <c r="M23" s="273"/>
      <c r="N23" s="273"/>
      <c r="O23" s="273"/>
      <c r="P23" s="274"/>
    </row>
    <row r="24" spans="1:17" ht="24" customHeight="1" x14ac:dyDescent="0.3">
      <c r="A24" s="275"/>
      <c r="B24" s="271"/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6"/>
    </row>
    <row r="25" spans="1:17" ht="24" customHeight="1" x14ac:dyDescent="0.3">
      <c r="A25" s="275"/>
      <c r="B25" s="271"/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6"/>
    </row>
    <row r="26" spans="1:17" ht="24" customHeight="1" x14ac:dyDescent="0.3">
      <c r="A26" s="275"/>
      <c r="B26" s="271"/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6"/>
    </row>
    <row r="27" spans="1:17" ht="24" customHeight="1" x14ac:dyDescent="0.3">
      <c r="A27" s="275"/>
      <c r="B27" s="271"/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6"/>
    </row>
    <row r="28" spans="1:17" ht="24" customHeight="1" thickBot="1" x14ac:dyDescent="0.35">
      <c r="A28" s="277"/>
      <c r="B28" s="278"/>
      <c r="C28" s="278"/>
      <c r="D28" s="278"/>
      <c r="E28" s="278"/>
      <c r="F28" s="278"/>
      <c r="G28" s="278"/>
      <c r="H28" s="278"/>
      <c r="I28" s="278"/>
      <c r="J28" s="278"/>
      <c r="K28" s="278"/>
      <c r="L28" s="278"/>
      <c r="M28" s="278"/>
      <c r="N28" s="278"/>
      <c r="O28" s="278"/>
      <c r="P28" s="279"/>
    </row>
    <row r="29" spans="1:17" ht="55.5" customHeight="1" x14ac:dyDescent="0.3"/>
    <row r="30" spans="1:17" ht="55.5" customHeight="1" x14ac:dyDescent="0.3"/>
  </sheetData>
  <mergeCells count="19">
    <mergeCell ref="F17:G17"/>
    <mergeCell ref="F18:G18"/>
    <mergeCell ref="F19:G19"/>
    <mergeCell ref="F20:G20"/>
    <mergeCell ref="A23:P28"/>
    <mergeCell ref="A6:B6"/>
    <mergeCell ref="D6:E6"/>
    <mergeCell ref="F6:G6"/>
    <mergeCell ref="F14:G14"/>
    <mergeCell ref="F15:G15"/>
    <mergeCell ref="F16:G16"/>
    <mergeCell ref="A1:C2"/>
    <mergeCell ref="D1:J2"/>
    <mergeCell ref="K1:M1"/>
    <mergeCell ref="A3:A5"/>
    <mergeCell ref="F3:K3"/>
    <mergeCell ref="B4:D4"/>
    <mergeCell ref="E4:M4"/>
    <mergeCell ref="B5:M5"/>
  </mergeCells>
  <dataValidations count="1">
    <dataValidation type="custom" allowBlank="1" showInputMessage="1" showErrorMessage="1" errorTitle="Coordenadas no válidas" error="Use el formato decimal latitud, longitud con punto decimal. Ejemplo: 11.251133, -73.127307" sqref="C9:C12" xr:uid="{14C47792-08E2-4296-843A-54E0C3AFAED8}">
      <formula1>OR(C9="",IFERROR(AND(ABS(_xlfn.NUMBERVALUE(LEFT(C9,FIND(",",C9)-1),".",""))&lt;=90,ABS(_xlfn.NUMBERVALUE(MID(C9,FIND(",",C9)+1,30),".",""))&lt;=180),FALSE))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1CE9-E58B-4B6A-89F1-0CE1B5FDE830}">
  <sheetPr>
    <tabColor rgb="FFED7D31"/>
  </sheetPr>
  <dimension ref="A1:Z40"/>
  <sheetViews>
    <sheetView showGridLines="0" topLeftCell="A4" workbookViewId="0">
      <selection activeCell="D18" sqref="D18"/>
    </sheetView>
  </sheetViews>
  <sheetFormatPr baseColWidth="10" defaultRowHeight="14.4" x14ac:dyDescent="0.3"/>
  <cols>
    <col min="1" max="1" width="63.88671875" customWidth="1"/>
    <col min="2" max="2" width="19.88671875" customWidth="1"/>
    <col min="3" max="3" width="19.21875" customWidth="1"/>
    <col min="4" max="4" width="13.33203125" customWidth="1"/>
    <col min="5" max="5" width="13.44140625" customWidth="1"/>
    <col min="6" max="6" width="16.33203125" customWidth="1"/>
    <col min="7" max="7" width="13.5546875" customWidth="1"/>
    <col min="8" max="8" width="13.77734375" customWidth="1"/>
    <col min="9" max="9" width="13.5546875" customWidth="1"/>
    <col min="10" max="10" width="14.5546875" customWidth="1"/>
    <col min="11" max="11" width="9.77734375" customWidth="1"/>
    <col min="12" max="12" width="12.5546875" customWidth="1"/>
    <col min="13" max="13" width="19.44140625" customWidth="1"/>
    <col min="14" max="14" width="12.6640625" customWidth="1"/>
    <col min="15" max="15" width="19.6640625" customWidth="1"/>
    <col min="16" max="17" width="19.44140625" customWidth="1"/>
  </cols>
  <sheetData>
    <row r="1" spans="1:26" ht="34.049999999999997" customHeight="1" x14ac:dyDescent="0.3">
      <c r="A1" s="124" t="s">
        <v>326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6"/>
      <c r="P1" s="2"/>
      <c r="Q1" s="2"/>
      <c r="R1" s="45"/>
      <c r="S1" s="45"/>
      <c r="T1" s="45"/>
      <c r="U1" s="45"/>
      <c r="V1" s="45"/>
      <c r="W1" s="45"/>
      <c r="X1" s="45"/>
      <c r="Y1" s="45"/>
      <c r="Z1" s="45"/>
    </row>
    <row r="2" spans="1:26" ht="24" customHeight="1" thickBot="1" x14ac:dyDescent="0.35">
      <c r="A2" s="125" t="s">
        <v>201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7"/>
      <c r="P2" s="2"/>
      <c r="Q2" s="2"/>
      <c r="R2" s="45"/>
      <c r="S2" s="45"/>
      <c r="T2" s="45"/>
      <c r="U2" s="45"/>
      <c r="V2" s="45"/>
      <c r="W2" s="45"/>
      <c r="X2" s="45"/>
      <c r="Y2" s="45"/>
      <c r="Z2" s="45"/>
    </row>
    <row r="3" spans="1:26" x14ac:dyDescent="0.3">
      <c r="A3" s="128" t="s">
        <v>62</v>
      </c>
      <c r="B3" s="135">
        <f>SIM_MERCADO!H17</f>
        <v>24257148.040965956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45"/>
      <c r="S3" s="45"/>
      <c r="T3" s="45"/>
      <c r="U3" s="45"/>
      <c r="V3" s="45"/>
      <c r="W3" s="45"/>
      <c r="X3" s="45"/>
      <c r="Y3" s="45"/>
      <c r="Z3" s="45"/>
    </row>
    <row r="4" spans="1:26" x14ac:dyDescent="0.3">
      <c r="A4" s="129" t="s">
        <v>63</v>
      </c>
      <c r="B4" s="136">
        <f>SIM_MERCADO!H18</f>
        <v>28543302.851891186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 x14ac:dyDescent="0.3">
      <c r="A5" s="141" t="s">
        <v>177</v>
      </c>
      <c r="B5" s="137">
        <v>0.1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45"/>
      <c r="S5" s="45"/>
      <c r="T5" s="45"/>
      <c r="U5" s="45"/>
      <c r="V5" s="45"/>
      <c r="W5" s="45"/>
      <c r="X5" s="45"/>
      <c r="Y5" s="45"/>
      <c r="Z5" s="45"/>
    </row>
    <row r="6" spans="1:26" ht="26.4" x14ac:dyDescent="0.3">
      <c r="A6" s="129" t="s">
        <v>328</v>
      </c>
      <c r="B6" s="138" t="s">
        <v>178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 x14ac:dyDescent="0.3">
      <c r="A7" s="129" t="s">
        <v>179</v>
      </c>
      <c r="B7" s="139">
        <f>SIM_AUX!J2</f>
        <v>4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45"/>
      <c r="S7" s="45"/>
      <c r="T7" s="45"/>
      <c r="U7" s="45"/>
      <c r="V7" s="45"/>
      <c r="W7" s="45"/>
      <c r="X7" s="45"/>
      <c r="Y7" s="45"/>
      <c r="Z7" s="45"/>
    </row>
    <row r="8" spans="1:26" x14ac:dyDescent="0.3">
      <c r="A8" s="129" t="s">
        <v>180</v>
      </c>
      <c r="B8" s="139">
        <f>COUNT(SIM_AUX!D5:D34)</f>
        <v>4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45"/>
      <c r="S8" s="45"/>
      <c r="T8" s="45"/>
      <c r="U8" s="45"/>
      <c r="V8" s="45"/>
      <c r="W8" s="45"/>
      <c r="X8" s="45"/>
      <c r="Y8" s="45"/>
      <c r="Z8" s="45"/>
    </row>
    <row r="9" spans="1:26" x14ac:dyDescent="0.3">
      <c r="A9" s="129" t="s">
        <v>195</v>
      </c>
      <c r="B9" s="140">
        <v>3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45"/>
      <c r="S9" s="45"/>
      <c r="T9" s="45"/>
      <c r="U9" s="45"/>
      <c r="V9" s="45"/>
      <c r="W9" s="45"/>
      <c r="X9" s="45"/>
      <c r="Y9" s="45"/>
      <c r="Z9" s="45"/>
    </row>
    <row r="10" spans="1:26" x14ac:dyDescent="0.3">
      <c r="A10" s="129" t="s">
        <v>196</v>
      </c>
      <c r="B10" s="139">
        <f>COUNTIF(SIM_AUX!N5:N410,1)</f>
        <v>3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3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61.95" customHeight="1" x14ac:dyDescent="0.3">
      <c r="A12" s="130" t="s">
        <v>64</v>
      </c>
      <c r="B12" s="130" t="s">
        <v>197</v>
      </c>
      <c r="C12" s="130" t="s">
        <v>198</v>
      </c>
      <c r="D12" s="130" t="s">
        <v>199</v>
      </c>
      <c r="E12" s="130" t="s">
        <v>200</v>
      </c>
      <c r="F12" s="130" t="s">
        <v>181</v>
      </c>
      <c r="G12" s="130" t="s">
        <v>65</v>
      </c>
      <c r="H12" s="130" t="s">
        <v>66</v>
      </c>
      <c r="I12" s="130" t="s">
        <v>67</v>
      </c>
      <c r="J12" s="130" t="s">
        <v>68</v>
      </c>
      <c r="K12" s="130" t="s">
        <v>69</v>
      </c>
      <c r="L12" s="130" t="s">
        <v>70</v>
      </c>
      <c r="M12" s="130" t="s">
        <v>182</v>
      </c>
      <c r="N12" s="130" t="s">
        <v>183</v>
      </c>
      <c r="O12" s="131" t="s">
        <v>184</v>
      </c>
      <c r="P12" s="55"/>
      <c r="Q12" s="5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24" customHeight="1" x14ac:dyDescent="0.3">
      <c r="A13" s="133" t="str">
        <f>IF($O13="","—","Combinación 1")</f>
        <v>Combinación 1</v>
      </c>
      <c r="B13" s="110">
        <f>IF($O13="","",INDEX(SIM_AUX!$M$5:$M$410,$O13))</f>
        <v>4</v>
      </c>
      <c r="C13" s="111" t="str">
        <f>IF($O13="","",_xlfn.TEXTJOIN(", ",TRUE,INDEX(SIM_AUX!$I$5:$I$34,INDEX(SIM_AUX!$L$5:$L$410,$O13)):INDEX(SIM_AUX!$I$5:$I$34,INDEX(SIM_AUX!$L$5:$L$410,$O13)+$B13-1)))</f>
        <v>1, 3, 2, 4</v>
      </c>
      <c r="D13" s="112">
        <f>IF($O13="","",MIN(INDEX(SIM_AUX!$J$5:$J$34,INDEX(SIM_AUX!$L$5:$L$410,$O13)):INDEX(SIM_AUX!$J$5:$J$34,INDEX(SIM_AUX!$L$5:$L$410,$O13)+$B13-1)))</f>
        <v>24201000</v>
      </c>
      <c r="E13" s="112">
        <f>IF($O13="","",MAX(INDEX(SIM_AUX!$J$5:$J$34,INDEX(SIM_AUX!$L$5:$L$410,$O13)):INDEX(SIM_AUX!$J$5:$J$34,INDEX(SIM_AUX!$L$5:$L$410,$O13)+$B13-1)))</f>
        <v>28900500</v>
      </c>
      <c r="F13" s="112">
        <f>IF($O13="","",AVERAGE(INDEX(SIM_AUX!$J$5:$J$34,INDEX(SIM_AUX!$L$5:$L$410,$O13)):INDEX(SIM_AUX!$J$5:$J$34,INDEX(SIM_AUX!$L$5:$L$410,$O13)+$B13-1)))</f>
        <v>26400225.446428571</v>
      </c>
      <c r="G13" s="112">
        <f>IF($O13="","",_xlfn.STDEV.S(INDEX(SIM_AUX!$J$5:$J$34,INDEX(SIM_AUX!$L$5:$L$410,$O13)):INDEX(SIM_AUX!$J$5:$J$34,INDEX(SIM_AUX!$L$5:$L$410,$O13)+$B13-1)))</f>
        <v>2143077.4054626143</v>
      </c>
      <c r="H13" s="113">
        <f>IF($O13="","",G13/F13)</f>
        <v>8.1176481231622605E-2</v>
      </c>
      <c r="I13" s="112">
        <f>IF($O13="","",F13-G13)</f>
        <v>24257148.040965956</v>
      </c>
      <c r="J13" s="112">
        <f>IF($O13="","",F13+G13)</f>
        <v>28543302.851891186</v>
      </c>
      <c r="K13" s="114">
        <f>IF($O13="","",SKEW(INDEX(SIM_AUX!$J$5:$J$34,INDEX(SIM_AUX!$L$5:$L$410,$O13)):INDEX(SIM_AUX!$J$5:$J$34,INDEX(SIM_AUX!$L$5:$L$410,$O13)+$B13-1)))</f>
        <v>0.25684928509112998</v>
      </c>
      <c r="L13" s="110" t="str">
        <f>IF($O13="","",IF(H13&lt;=$B$5,"SÍ","NO"))</f>
        <v>SÍ</v>
      </c>
      <c r="M13" s="132">
        <f>IF($O13="","",ROUND(F13,-2))</f>
        <v>26400200</v>
      </c>
      <c r="N13" s="132">
        <f>IF($O13="","",M13/10000)</f>
        <v>2640.02</v>
      </c>
      <c r="O13" s="115">
        <f>IFERROR(MATCH(SMALL(SIM_AUX!$Q$5:$Q$410,ROWS($A$13:$A13)),SIM_AUX!$Q$5:$Q$410,0),"")</f>
        <v>2</v>
      </c>
      <c r="P13" s="55"/>
      <c r="Q13" s="5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24" customHeight="1" x14ac:dyDescent="0.3">
      <c r="A14" s="133" t="str">
        <f>IF($O14="","—","Combinación 2")</f>
        <v>Combinación 2</v>
      </c>
      <c r="B14" s="110">
        <f>IF($O14="","",INDEX(SIM_AUX!$M$5:$M$410,$O14))</f>
        <v>3</v>
      </c>
      <c r="C14" s="111" t="str">
        <f>IF($O14="","",_xlfn.TEXTJOIN(", ",TRUE,INDEX(SIM_AUX!$I$5:$I$34,INDEX(SIM_AUX!$L$5:$L$410,$O14)):INDEX(SIM_AUX!$I$5:$I$34,INDEX(SIM_AUX!$L$5:$L$410,$O14)+$B14-1)))</f>
        <v>1, 3, 2</v>
      </c>
      <c r="D14" s="112">
        <f>IF($O14="","",MIN(INDEX(SIM_AUX!$J$5:$J$34,INDEX(SIM_AUX!$L$5:$L$410,$O14)):INDEX(SIM_AUX!$J$5:$J$34,INDEX(SIM_AUX!$L$5:$L$410,$O14)+$B14-1)))</f>
        <v>24201000</v>
      </c>
      <c r="E14" s="112">
        <f>IF($O14="","",MAX(INDEX(SIM_AUX!$J$5:$J$34,INDEX(SIM_AUX!$L$5:$L$410,$O14)):INDEX(SIM_AUX!$J$5:$J$34,INDEX(SIM_AUX!$L$5:$L$410,$O14)+$B14-1)))</f>
        <v>27399714.285714287</v>
      </c>
      <c r="F14" s="112">
        <f>IF($O14="","",AVERAGE(INDEX(SIM_AUX!$J$5:$J$34,INDEX(SIM_AUX!$L$5:$L$410,$O14)):INDEX(SIM_AUX!$J$5:$J$34,INDEX(SIM_AUX!$L$5:$L$410,$O14)+$B14-1)))</f>
        <v>25566800.595238093</v>
      </c>
      <c r="G14" s="112">
        <f>IF($O14="","",_xlfn.STDEV.S(INDEX(SIM_AUX!$J$5:$J$34,INDEX(SIM_AUX!$L$5:$L$410,$O14)):INDEX(SIM_AUX!$J$5:$J$34,INDEX(SIM_AUX!$L$5:$L$410,$O14)+$B14-1)))</f>
        <v>1649723.9930410637</v>
      </c>
      <c r="H14" s="113">
        <f>IF($O14="","",G14/F14)</f>
        <v>6.4526024165430018E-2</v>
      </c>
      <c r="I14" s="112">
        <f>IF($O14="","",F14-G14)</f>
        <v>23917076.602197029</v>
      </c>
      <c r="J14" s="112">
        <f>IF($O14="","",F14+G14)</f>
        <v>27216524.588279158</v>
      </c>
      <c r="K14" s="114">
        <f>IF($O14="","",SKEW(INDEX(SIM_AUX!$J$5:$J$34,INDEX(SIM_AUX!$L$5:$L$410,$O14)):INDEX(SIM_AUX!$J$5:$J$34,INDEX(SIM_AUX!$L$5:$L$410,$O14)+$B14-1)))</f>
        <v>1.1720064374001256</v>
      </c>
      <c r="L14" s="110" t="str">
        <f>IF($O14="","",IF(H14&lt;=$B$5,"SÍ","NO"))</f>
        <v>SÍ</v>
      </c>
      <c r="M14" s="132">
        <f>IF($O14="","",ROUND(F14,-2))</f>
        <v>25566800</v>
      </c>
      <c r="N14" s="132">
        <f>IF($O14="","",M14/10000)</f>
        <v>2556.6799999999998</v>
      </c>
      <c r="O14" s="115">
        <f>IFERROR(MATCH(SMALL(SIM_AUX!$Q$5:$Q$410,ROWS($A$13:$A14)),SIM_AUX!$Q$5:$Q$410,0),"")</f>
        <v>1</v>
      </c>
      <c r="P14" s="55"/>
      <c r="Q14" s="5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24" customHeight="1" x14ac:dyDescent="0.3">
      <c r="A15" s="133" t="str">
        <f>IF($O15="","—","Combinación 3")</f>
        <v>Combinación 3</v>
      </c>
      <c r="B15" s="110">
        <f>IF($O15="","",INDEX(SIM_AUX!$M$5:$M$410,$O15))</f>
        <v>3</v>
      </c>
      <c r="C15" s="111" t="str">
        <f>IF($O15="","",_xlfn.TEXTJOIN(", ",TRUE,INDEX(SIM_AUX!$I$5:$I$34,INDEX(SIM_AUX!$L$5:$L$410,$O15)):INDEX(SIM_AUX!$I$5:$I$34,INDEX(SIM_AUX!$L$5:$L$410,$O15)+$B15-1)))</f>
        <v>3, 2, 4</v>
      </c>
      <c r="D15" s="112">
        <f>IF($O15="","",MIN(INDEX(SIM_AUX!$J$5:$J$34,INDEX(SIM_AUX!$L$5:$L$410,$O15)):INDEX(SIM_AUX!$J$5:$J$34,INDEX(SIM_AUX!$L$5:$L$410,$O15)+$B15-1)))</f>
        <v>25099687.5</v>
      </c>
      <c r="E15" s="112">
        <f>IF($O15="","",MAX(INDEX(SIM_AUX!$J$5:$J$34,INDEX(SIM_AUX!$L$5:$L$410,$O15)):INDEX(SIM_AUX!$J$5:$J$34,INDEX(SIM_AUX!$L$5:$L$410,$O15)+$B15-1)))</f>
        <v>28900500</v>
      </c>
      <c r="F15" s="112">
        <f>IF($O15="","",AVERAGE(INDEX(SIM_AUX!$J$5:$J$34,INDEX(SIM_AUX!$L$5:$L$410,$O15)):INDEX(SIM_AUX!$J$5:$J$34,INDEX(SIM_AUX!$L$5:$L$410,$O15)+$B15-1)))</f>
        <v>27133300.595238093</v>
      </c>
      <c r="G15" s="112">
        <f>IF($O15="","",_xlfn.STDEV.S(INDEX(SIM_AUX!$J$5:$J$34,INDEX(SIM_AUX!$L$5:$L$410,$O15)):INDEX(SIM_AUX!$J$5:$J$34,INDEX(SIM_AUX!$L$5:$L$410,$O15)+$B15-1)))</f>
        <v>1914360.4952813671</v>
      </c>
      <c r="H15" s="113">
        <f>IF($O15="","",G15/F15)</f>
        <v>7.0553911735210653E-2</v>
      </c>
      <c r="I15" s="112">
        <f>IF($O15="","",F15-G15)</f>
        <v>25218940.099956725</v>
      </c>
      <c r="J15" s="112">
        <f>IF($O15="","",F15+G15)</f>
        <v>29047661.090519462</v>
      </c>
      <c r="K15" s="114">
        <f>IF($O15="","",SKEW(INDEX(SIM_AUX!$J$5:$J$34,INDEX(SIM_AUX!$L$5:$L$410,$O15)):INDEX(SIM_AUX!$J$5:$J$34,INDEX(SIM_AUX!$L$5:$L$410,$O15)+$B15-1)))</f>
        <v>-0.61411791670057148</v>
      </c>
      <c r="L15" s="110" t="str">
        <f>IF($O15="","",IF(H15&lt;=$B$5,"SÍ","NO"))</f>
        <v>SÍ</v>
      </c>
      <c r="M15" s="132">
        <f>IF($O15="","",ROUND(F15,-2))</f>
        <v>27133300</v>
      </c>
      <c r="N15" s="132">
        <f>IF($O15="","",M15/10000)</f>
        <v>2713.33</v>
      </c>
      <c r="O15" s="115">
        <f>IFERROR(MATCH(SMALL(SIM_AUX!$Q$5:$Q$410,ROWS($A$13:$A15)),SIM_AUX!$Q$5:$Q$410,0),"")</f>
        <v>29</v>
      </c>
      <c r="P15" s="55"/>
      <c r="Q15" s="55"/>
      <c r="R15" s="45"/>
      <c r="S15" s="45"/>
      <c r="T15" s="45"/>
      <c r="U15" s="45"/>
      <c r="V15" s="45"/>
      <c r="W15" s="45"/>
      <c r="X15" s="45"/>
      <c r="Y15" s="45"/>
      <c r="Z15" s="45"/>
    </row>
    <row r="16" spans="1:26" x14ac:dyDescent="0.3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33.6" customHeight="1" x14ac:dyDescent="0.3">
      <c r="A17" s="116" t="s">
        <v>202</v>
      </c>
      <c r="B17" s="116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45"/>
      <c r="S17" s="45"/>
      <c r="T17" s="45"/>
      <c r="U17" s="45"/>
      <c r="V17" s="45"/>
      <c r="W17" s="45"/>
      <c r="X17" s="45"/>
      <c r="Y17" s="45"/>
      <c r="Z17" s="45"/>
    </row>
    <row r="18" spans="1:26" x14ac:dyDescent="0.3">
      <c r="A18" s="134" t="s">
        <v>64</v>
      </c>
      <c r="B18" s="117" t="s">
        <v>71</v>
      </c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45"/>
      <c r="S18" s="45"/>
      <c r="T18" s="45"/>
      <c r="U18" s="45"/>
      <c r="V18" s="45"/>
      <c r="W18" s="45"/>
      <c r="X18" s="45"/>
      <c r="Y18" s="45"/>
      <c r="Z18" s="45"/>
    </row>
    <row r="19" spans="1:26" x14ac:dyDescent="0.3">
      <c r="A19" s="134" t="s">
        <v>185</v>
      </c>
      <c r="B19" s="118" t="str">
        <f>IFERROR(IF(INDEX($O$13:$O$15,MATCH($B$18,$A$13:$A$15,0))="","Muestra insuficiente (mínimo 3 ofertas elegibles)",INDEX($C$13:$C$15,MATCH($B$18,$A$13:$A$15,0))&amp;" ("&amp;INDEX($B$13:$B$15,MATCH($B$18,$A$13:$A$15,0))&amp;" ofertas)"),"Seleccione una combinación")</f>
        <v>3, 2, 4 (3 ofertas)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45"/>
      <c r="S19" s="45"/>
      <c r="T19" s="45"/>
      <c r="U19" s="45"/>
      <c r="V19" s="45"/>
      <c r="W19" s="45"/>
      <c r="X19" s="45"/>
      <c r="Y19" s="45"/>
      <c r="Z19" s="45"/>
    </row>
    <row r="20" spans="1:26" x14ac:dyDescent="0.3">
      <c r="A20" s="134" t="s">
        <v>186</v>
      </c>
      <c r="B20" s="119">
        <f>IFERROR(INDEX($H$13:$H$15,MATCH($B$18,$A$13:$A$15,0)),"")</f>
        <v>7.0553911735210653E-2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45"/>
      <c r="S20" s="45"/>
      <c r="T20" s="45"/>
      <c r="U20" s="45"/>
      <c r="V20" s="45"/>
      <c r="W20" s="45"/>
      <c r="X20" s="45"/>
      <c r="Y20" s="45"/>
      <c r="Z20" s="45"/>
    </row>
    <row r="21" spans="1:26" x14ac:dyDescent="0.3">
      <c r="A21" s="134" t="s">
        <v>187</v>
      </c>
      <c r="B21" s="120" t="str">
        <f>IFERROR(INDEX($L$13:$L$15,MATCH($B$18,$A$13:$A$15,0)),"")</f>
        <v>SÍ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45"/>
      <c r="S21" s="45"/>
      <c r="T21" s="45"/>
      <c r="U21" s="45"/>
      <c r="V21" s="45"/>
      <c r="W21" s="45"/>
      <c r="X21" s="45"/>
      <c r="Y21" s="45"/>
      <c r="Z21" s="45"/>
    </row>
    <row r="22" spans="1:26" x14ac:dyDescent="0.3">
      <c r="A22" s="134" t="s">
        <v>188</v>
      </c>
      <c r="B22" s="121">
        <f>IFERROR(INDEX($M$13:$M$15,MATCH($B$18,$A$13:$A$15,0)),"")</f>
        <v>27133300</v>
      </c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45"/>
      <c r="S22" s="45"/>
      <c r="T22" s="45"/>
      <c r="U22" s="45"/>
      <c r="V22" s="45"/>
      <c r="W22" s="45"/>
      <c r="X22" s="45"/>
      <c r="Y22" s="45"/>
      <c r="Z22" s="45"/>
    </row>
    <row r="23" spans="1:26" x14ac:dyDescent="0.3">
      <c r="A23" s="134" t="s">
        <v>189</v>
      </c>
      <c r="B23" s="121">
        <f>IFERROR(INDEX($N$13:$N$15,MATCH($B$18,$A$13:$A$15,0)),"")</f>
        <v>2713.33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45"/>
      <c r="S23" s="45"/>
      <c r="T23" s="45"/>
      <c r="U23" s="45"/>
      <c r="V23" s="45"/>
      <c r="W23" s="45"/>
      <c r="X23" s="45"/>
      <c r="Y23" s="45"/>
      <c r="Z23" s="45"/>
    </row>
    <row r="24" spans="1:26" x14ac:dyDescent="0.3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61.95" customHeight="1" x14ac:dyDescent="0.3">
      <c r="A25" s="108" t="s">
        <v>329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2"/>
      <c r="Q25" s="2"/>
      <c r="R25" s="45"/>
      <c r="S25" s="45"/>
      <c r="T25" s="45"/>
      <c r="U25" s="45"/>
      <c r="V25" s="45"/>
      <c r="W25" s="45"/>
      <c r="X25" s="45"/>
      <c r="Y25" s="45"/>
      <c r="Z25" s="45"/>
    </row>
    <row r="26" spans="1:26" x14ac:dyDescent="0.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x14ac:dyDescent="0.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x14ac:dyDescent="0.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x14ac:dyDescent="0.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x14ac:dyDescent="0.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x14ac:dyDescent="0.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x14ac:dyDescent="0.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x14ac:dyDescent="0.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x14ac:dyDescent="0.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x14ac:dyDescent="0.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</sheetData>
  <mergeCells count="4">
    <mergeCell ref="A1:O1"/>
    <mergeCell ref="A2:O2"/>
    <mergeCell ref="A17:B17"/>
    <mergeCell ref="A25:O25"/>
  </mergeCells>
  <dataValidations count="2">
    <dataValidation type="list" allowBlank="1" showInputMessage="1" showErrorMessage="1" errorTitle="Combinación no válida" error="Seleccione una combinación de la lista." promptTitle="Seleccione la combinación" prompt="Elija Combinación 1, 2 o 3 para ver su valor por hectárea y por m²." sqref="B18" xr:uid="{7EBD9D07-33E4-4BC8-84CC-F9B960642D26}">
      <formula1>$A$13:$A$15</formula1>
    </dataValidation>
    <dataValidation type="list" allowBlank="1" showInputMessage="1" showErrorMessage="1" sqref="B6" xr:uid="{D7859F1A-DC48-4655-B768-6D49B2807DDF}">
      <formula1>"SÍ,NO"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A736-6C26-4E87-823E-0A236563C68E}">
  <sheetPr>
    <tabColor rgb="FFED7D31"/>
  </sheetPr>
  <dimension ref="A1:T43"/>
  <sheetViews>
    <sheetView showGridLines="0" workbookViewId="0">
      <pane ySplit="4" topLeftCell="A5" activePane="bottomLeft" state="frozen"/>
      <selection pane="bottomLeft" activeCell="G21" sqref="G21:I21"/>
    </sheetView>
  </sheetViews>
  <sheetFormatPr baseColWidth="10" defaultRowHeight="14.4" x14ac:dyDescent="0.3"/>
  <cols>
    <col min="1" max="1" width="9.6640625" customWidth="1"/>
    <col min="2" max="2" width="15.109375" customWidth="1"/>
    <col min="3" max="3" width="8.21875" customWidth="1"/>
    <col min="4" max="4" width="9.44140625" customWidth="1"/>
    <col min="5" max="5" width="13.6640625" customWidth="1"/>
    <col min="6" max="6" width="15.21875" customWidth="1"/>
    <col min="7" max="7" width="8.5546875" customWidth="1"/>
    <col min="8" max="9" width="17.5546875" customWidth="1"/>
    <col min="10" max="10" width="15.21875" customWidth="1"/>
    <col min="11" max="11" width="13.6640625" customWidth="1"/>
    <col min="12" max="12" width="15.21875" customWidth="1"/>
    <col min="13" max="13" width="16.5546875" customWidth="1"/>
    <col min="14" max="14" width="13.21875" customWidth="1"/>
    <col min="15" max="15" width="15.77734375" customWidth="1"/>
    <col min="16" max="17" width="19.44140625" customWidth="1"/>
    <col min="18" max="18" width="3.6640625" customWidth="1"/>
    <col min="19" max="19" width="15.77734375" customWidth="1"/>
    <col min="20" max="20" width="17.5546875" customWidth="1"/>
  </cols>
  <sheetData>
    <row r="1" spans="1:20" ht="48" customHeight="1" thickBot="1" x14ac:dyDescent="0.35">
      <c r="A1" s="94" t="s">
        <v>324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80"/>
    </row>
    <row r="2" spans="1:20" ht="19.95" customHeight="1" x14ac:dyDescent="0.3">
      <c r="A2" s="178" t="s">
        <v>74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</row>
    <row r="3" spans="1:20" ht="19.95" customHeight="1" x14ac:dyDescent="0.3">
      <c r="A3" s="95" t="s">
        <v>75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</row>
    <row r="4" spans="1:20" ht="61.95" customHeight="1" x14ac:dyDescent="0.3">
      <c r="A4" s="81" t="s">
        <v>76</v>
      </c>
      <c r="B4" s="81" t="s">
        <v>77</v>
      </c>
      <c r="C4" s="81" t="s">
        <v>78</v>
      </c>
      <c r="D4" s="81" t="s">
        <v>79</v>
      </c>
      <c r="E4" s="81" t="s">
        <v>80</v>
      </c>
      <c r="F4" s="81" t="s">
        <v>81</v>
      </c>
      <c r="G4" s="81" t="s">
        <v>82</v>
      </c>
      <c r="H4" s="81" t="s">
        <v>83</v>
      </c>
      <c r="I4" s="81" t="s">
        <v>84</v>
      </c>
      <c r="J4" s="81" t="s">
        <v>85</v>
      </c>
      <c r="K4" s="81" t="s">
        <v>86</v>
      </c>
      <c r="L4" s="81" t="s">
        <v>87</v>
      </c>
      <c r="M4" s="81" t="s">
        <v>88</v>
      </c>
      <c r="N4" s="81" t="s">
        <v>36</v>
      </c>
      <c r="O4" s="107" t="s">
        <v>222</v>
      </c>
      <c r="P4" s="107" t="s">
        <v>223</v>
      </c>
      <c r="Q4" s="107" t="s">
        <v>224</v>
      </c>
      <c r="S4" s="96" t="s">
        <v>96</v>
      </c>
      <c r="T4" s="96"/>
    </row>
    <row r="5" spans="1:20" ht="21" customHeight="1" x14ac:dyDescent="0.3">
      <c r="A5" s="82"/>
      <c r="B5" s="83" t="s">
        <v>89</v>
      </c>
      <c r="C5" s="84">
        <v>30</v>
      </c>
      <c r="D5" s="84">
        <v>70</v>
      </c>
      <c r="E5" s="85">
        <v>2.5</v>
      </c>
      <c r="F5" s="86">
        <v>1131400</v>
      </c>
      <c r="G5" s="88">
        <f>IF($B5="","",C5/D5)</f>
        <v>0.42857142857142855</v>
      </c>
      <c r="H5" s="89">
        <f>IF($B5="","",1-0.5*(G5+G5^2))</f>
        <v>0.69387755102040816</v>
      </c>
      <c r="I5" s="89">
        <f>IF($B5="","",1-INDEX($T$6:$T$14,MATCH(E5,$S$6:$S$14,0)))</f>
        <v>0.91910000000000003</v>
      </c>
      <c r="J5" s="89">
        <f>IF($B5="","",1-H5*I5)</f>
        <v>0.36225714285714283</v>
      </c>
      <c r="K5" s="87">
        <f>IF($B5="","",F5*J5)</f>
        <v>409857.73142857139</v>
      </c>
      <c r="L5" s="89">
        <f>IF($B5="","",I5*H5)</f>
        <v>0.63774285714285717</v>
      </c>
      <c r="M5" s="87">
        <f>IF($B5="","",F5*L5)</f>
        <v>721542.26857142861</v>
      </c>
      <c r="N5" s="93">
        <f>IF($B5="","",MROUND(M5,1000))</f>
        <v>722000</v>
      </c>
      <c r="O5" s="170">
        <v>97</v>
      </c>
      <c r="P5" s="171">
        <f>IF($B5="","",MROUND(N5*O5,100))</f>
        <v>70034000</v>
      </c>
      <c r="Q5" s="172">
        <f>IF(AND($B5&lt;&gt;"",$A5=""),COUNTIFS($A$5:$A5,"",$B$5:$B5,"&lt;&gt;"),"")</f>
        <v>1</v>
      </c>
      <c r="S5" s="81" t="s">
        <v>97</v>
      </c>
      <c r="T5" s="81" t="s">
        <v>98</v>
      </c>
    </row>
    <row r="6" spans="1:20" ht="21" customHeight="1" x14ac:dyDescent="0.3">
      <c r="A6" s="82">
        <v>2</v>
      </c>
      <c r="B6" s="83" t="s">
        <v>90</v>
      </c>
      <c r="C6" s="84">
        <v>30</v>
      </c>
      <c r="D6" s="84">
        <v>70</v>
      </c>
      <c r="E6" s="85">
        <v>3.5</v>
      </c>
      <c r="F6" s="86">
        <v>1131400</v>
      </c>
      <c r="G6" s="88">
        <f>IF($B6="","",C6/D6)</f>
        <v>0.42857142857142855</v>
      </c>
      <c r="H6" s="89">
        <f>IF($B6="","",1-0.5*(G6+G6^2))</f>
        <v>0.69387755102040816</v>
      </c>
      <c r="I6" s="89">
        <f>IF($B6="","",1-INDEX($T$6:$T$14,MATCH(E6,$S$6:$S$14,0)))</f>
        <v>0.66799999999999993</v>
      </c>
      <c r="J6" s="89">
        <f>IF($B6="","",1-H6*I6)</f>
        <v>0.53648979591836743</v>
      </c>
      <c r="K6" s="87">
        <f>IF($B6="","",F6*J6)</f>
        <v>606984.55510204087</v>
      </c>
      <c r="L6" s="89">
        <f>IF($B6="","",I6*H6)</f>
        <v>0.46351020408163257</v>
      </c>
      <c r="M6" s="87">
        <f>IF($B6="","",F6*L6)</f>
        <v>524415.44489795913</v>
      </c>
      <c r="N6" s="93">
        <f>IF($B6="","",MROUND(M6,1000))</f>
        <v>524000</v>
      </c>
      <c r="O6" s="170">
        <v>70</v>
      </c>
      <c r="P6" s="171">
        <f>IF($B6="","",MROUND(N6*O6,100))</f>
        <v>36680000</v>
      </c>
      <c r="Q6" s="172" t="str">
        <f>IF(AND($B6&lt;&gt;"",$A6=""),COUNTIFS($A$5:$A6,"",$B$5:$B6,"&lt;&gt;"),"")</f>
        <v/>
      </c>
      <c r="S6" s="85">
        <v>1</v>
      </c>
      <c r="T6" s="90">
        <v>0</v>
      </c>
    </row>
    <row r="7" spans="1:20" ht="21" customHeight="1" x14ac:dyDescent="0.3">
      <c r="A7" s="82"/>
      <c r="B7" s="83" t="s">
        <v>91</v>
      </c>
      <c r="C7" s="84">
        <v>25</v>
      </c>
      <c r="D7" s="84">
        <v>70</v>
      </c>
      <c r="E7" s="85">
        <v>3.5</v>
      </c>
      <c r="F7" s="86">
        <v>1131400</v>
      </c>
      <c r="G7" s="88">
        <f>IF($B7="","",C7/D7)</f>
        <v>0.35714285714285715</v>
      </c>
      <c r="H7" s="89">
        <f>IF($B7="","",1-0.5*(G7+G7^2))</f>
        <v>0.75765306122448983</v>
      </c>
      <c r="I7" s="89">
        <f>IF($B7="","",1-INDEX($T$6:$T$14,MATCH(E7,$S$6:$S$14,0)))</f>
        <v>0.66799999999999993</v>
      </c>
      <c r="J7" s="89">
        <f>IF($B7="","",1-H7*I7)</f>
        <v>0.49388775510204086</v>
      </c>
      <c r="K7" s="87">
        <f>IF($B7="","",F7*J7)</f>
        <v>558784.60612244904</v>
      </c>
      <c r="L7" s="89">
        <f>IF($B7="","",I7*H7)</f>
        <v>0.50611224489795914</v>
      </c>
      <c r="M7" s="87">
        <f>IF($B7="","",F7*L7)</f>
        <v>572615.39387755096</v>
      </c>
      <c r="N7" s="93">
        <f>IF($B7="","",MROUND(M7,1000))</f>
        <v>573000</v>
      </c>
      <c r="O7" s="173">
        <v>53</v>
      </c>
      <c r="P7" s="174">
        <f>IF($B7="","",MROUND(N7*O7,100))</f>
        <v>30369000</v>
      </c>
      <c r="Q7" s="106">
        <f>IF(AND($B7&lt;&gt;"",$A7=""),COUNTIFS($A$5:$A7,"",$B$5:$B7,"&lt;&gt;"),"")</f>
        <v>2</v>
      </c>
      <c r="S7" s="85">
        <v>1.5</v>
      </c>
      <c r="T7" s="90">
        <v>3.2000000000000003E-4</v>
      </c>
    </row>
    <row r="8" spans="1:20" ht="21" customHeight="1" x14ac:dyDescent="0.3">
      <c r="A8" s="82">
        <v>3</v>
      </c>
      <c r="B8" s="83" t="s">
        <v>92</v>
      </c>
      <c r="C8" s="84">
        <v>30</v>
      </c>
      <c r="D8" s="84">
        <v>70</v>
      </c>
      <c r="E8" s="85">
        <v>4</v>
      </c>
      <c r="F8" s="86">
        <v>1286778</v>
      </c>
      <c r="G8" s="88">
        <f>IF($B8="","",C8/D8)</f>
        <v>0.42857142857142855</v>
      </c>
      <c r="H8" s="89">
        <f>IF($B8="","",1-0.5*(G8+G8^2))</f>
        <v>0.69387755102040816</v>
      </c>
      <c r="I8" s="89">
        <f>IF($B8="","",1-INDEX($T$6:$T$14,MATCH(E8,$S$6:$S$14,0)))</f>
        <v>0.47399999999999998</v>
      </c>
      <c r="J8" s="89">
        <f>IF($B8="","",1-H8*I8)</f>
        <v>0.67110204081632663</v>
      </c>
      <c r="K8" s="87">
        <f>IF($B8="","",F8*J8)</f>
        <v>863559.34187755117</v>
      </c>
      <c r="L8" s="89">
        <f>IF($B8="","",I8*H8)</f>
        <v>0.32889795918367343</v>
      </c>
      <c r="M8" s="87">
        <f>IF($B8="","",F8*L8)</f>
        <v>423218.65812244895</v>
      </c>
      <c r="N8" s="93">
        <f>IF($B8="","",MROUND(M8,1000))</f>
        <v>423000</v>
      </c>
      <c r="O8" s="175">
        <v>35</v>
      </c>
      <c r="P8" s="171">
        <f>IF($B8="","",MROUND(N8*O8,100))</f>
        <v>14805000</v>
      </c>
      <c r="Q8" s="172" t="str">
        <f>IF(AND($B8&lt;&gt;"",$A8=""),COUNTIFS($A$5:$A8,"",$B$5:$B8,"&lt;&gt;"),"")</f>
        <v/>
      </c>
      <c r="S8" s="85">
        <v>2</v>
      </c>
      <c r="T8" s="90">
        <v>2.52E-2</v>
      </c>
    </row>
    <row r="9" spans="1:20" ht="21" customHeight="1" x14ac:dyDescent="0.3">
      <c r="A9" s="82"/>
      <c r="B9" s="83" t="s">
        <v>93</v>
      </c>
      <c r="C9" s="84">
        <v>30</v>
      </c>
      <c r="D9" s="84">
        <v>50</v>
      </c>
      <c r="E9" s="85">
        <v>4</v>
      </c>
      <c r="F9" s="86">
        <v>1286778</v>
      </c>
      <c r="G9" s="88">
        <f>IF($B9="","",C9/D9)</f>
        <v>0.6</v>
      </c>
      <c r="H9" s="89">
        <f>IF($B9="","",1-0.5*(G9+G9^2))</f>
        <v>0.52</v>
      </c>
      <c r="I9" s="89">
        <f>IF($B9="","",1-INDEX($T$6:$T$14,MATCH(E9,$S$6:$S$14,0)))</f>
        <v>0.47399999999999998</v>
      </c>
      <c r="J9" s="89">
        <f>IF($B9="","",1-H9*I9)</f>
        <v>0.75351999999999997</v>
      </c>
      <c r="K9" s="87">
        <f>IF($B9="","",F9*J9)</f>
        <v>969612.95855999994</v>
      </c>
      <c r="L9" s="89">
        <f>IF($B9="","",I9*H9)</f>
        <v>0.24648</v>
      </c>
      <c r="M9" s="87">
        <f>IF($B9="","",F9*L9)</f>
        <v>317165.04144</v>
      </c>
      <c r="N9" s="93">
        <f>IF($B9="","",MROUND(M9,1000))</f>
        <v>317000</v>
      </c>
      <c r="O9" s="193">
        <v>28</v>
      </c>
      <c r="P9" s="194">
        <f>IF($B9="","",MROUND(N9*O9,100))</f>
        <v>8876000</v>
      </c>
      <c r="Q9" s="195">
        <f>IF(AND($B9&lt;&gt;"",$A9=""),COUNTIFS($A$5:$A9,"",$B$5:$B9,"&lt;&gt;"),"")</f>
        <v>3</v>
      </c>
      <c r="S9" s="85">
        <v>2.5</v>
      </c>
      <c r="T9" s="90">
        <v>8.09E-2</v>
      </c>
    </row>
    <row r="10" spans="1:20" ht="21" customHeight="1" x14ac:dyDescent="0.3">
      <c r="A10" s="82"/>
      <c r="B10" s="83" t="s">
        <v>94</v>
      </c>
      <c r="C10" s="84">
        <v>30</v>
      </c>
      <c r="D10" s="84">
        <v>70</v>
      </c>
      <c r="E10" s="85">
        <v>3</v>
      </c>
      <c r="F10" s="86">
        <v>1231701</v>
      </c>
      <c r="G10" s="88">
        <f>IF($B10="","",C10/D10)</f>
        <v>0.42857142857142855</v>
      </c>
      <c r="H10" s="89">
        <f>IF($B10="","",1-0.5*(G10+G10^2))</f>
        <v>0.69387755102040816</v>
      </c>
      <c r="I10" s="89">
        <f>IF($B10="","",1-INDEX($T$6:$T$14,MATCH(E10,$S$6:$S$14,0)))</f>
        <v>0.81899999999999995</v>
      </c>
      <c r="J10" s="89">
        <f>IF($B10="","",1-H10*I10)</f>
        <v>0.43171428571428572</v>
      </c>
      <c r="K10" s="87">
        <f>IF($B10="","",F10*J10)</f>
        <v>531742.91742857138</v>
      </c>
      <c r="L10" s="89">
        <f>IF($B10="","",I10*H10)</f>
        <v>0.56828571428571428</v>
      </c>
      <c r="M10" s="87">
        <f>IF($B10="","",F10*L10)</f>
        <v>699958.08257142862</v>
      </c>
      <c r="N10" s="93">
        <f>IF($B10="","",MROUND(M10,1000))</f>
        <v>700000</v>
      </c>
      <c r="O10" s="193">
        <v>17</v>
      </c>
      <c r="P10" s="194">
        <f>IF($B10="","",MROUND(N10*O10,100))</f>
        <v>11900000</v>
      </c>
      <c r="Q10" s="195">
        <f>IF(AND($B10&lt;&gt;"",$A10=""),COUNTIFS($A$5:$A10,"",$B$5:$B10,"&lt;&gt;"),"")</f>
        <v>4</v>
      </c>
      <c r="S10" s="85">
        <v>3</v>
      </c>
      <c r="T10" s="90">
        <v>0.18099999999999999</v>
      </c>
    </row>
    <row r="11" spans="1:20" ht="21" customHeight="1" x14ac:dyDescent="0.3">
      <c r="A11" s="82"/>
      <c r="B11" s="83"/>
      <c r="C11" s="84"/>
      <c r="D11" s="84"/>
      <c r="E11" s="85"/>
      <c r="F11" s="86"/>
      <c r="G11" s="88" t="str">
        <f>IF($B11="","",C11/D11)</f>
        <v/>
      </c>
      <c r="H11" s="89" t="str">
        <f>IF($B11="","",1-0.5*(G11+G11^2))</f>
        <v/>
      </c>
      <c r="I11" s="89" t="str">
        <f>IF($B11="","",1-INDEX($T$6:$T$14,MATCH(E11,$S$6:$S$14,0)))</f>
        <v/>
      </c>
      <c r="J11" s="89" t="str">
        <f>IF($B11="","",1-H11*I11)</f>
        <v/>
      </c>
      <c r="K11" s="87" t="str">
        <f>IF($B11="","",F11*J11)</f>
        <v/>
      </c>
      <c r="L11" s="89" t="str">
        <f>IF($B11="","",I11*H11)</f>
        <v/>
      </c>
      <c r="M11" s="87" t="str">
        <f>IF($B11="","",F11*L11)</f>
        <v/>
      </c>
      <c r="N11" s="93" t="str">
        <f>IF($B11="","",MROUND(M11,1000))</f>
        <v/>
      </c>
      <c r="O11" s="193"/>
      <c r="P11" s="194" t="str">
        <f>IF($B11="","",MROUND(N11*O11,100))</f>
        <v/>
      </c>
      <c r="Q11" s="195" t="str">
        <f>IF(AND($B11&lt;&gt;"",$A11=""),COUNTIFS($A$5:$A11,"",$B$5:$B11,"&lt;&gt;"),"")</f>
        <v/>
      </c>
      <c r="S11" s="85">
        <v>3.5</v>
      </c>
      <c r="T11" s="90">
        <v>0.33200000000000002</v>
      </c>
    </row>
    <row r="12" spans="1:20" ht="21" customHeight="1" x14ac:dyDescent="0.3">
      <c r="A12" s="82"/>
      <c r="B12" s="83"/>
      <c r="C12" s="84"/>
      <c r="D12" s="84"/>
      <c r="E12" s="85"/>
      <c r="F12" s="86"/>
      <c r="G12" s="88" t="str">
        <f>IF($B12="","",C12/D12)</f>
        <v/>
      </c>
      <c r="H12" s="89" t="str">
        <f>IF($B12="","",1-0.5*(G12+G12^2))</f>
        <v/>
      </c>
      <c r="I12" s="89" t="str">
        <f>IF($B12="","",1-INDEX($T$6:$T$14,MATCH(E12,$S$6:$S$14,0)))</f>
        <v/>
      </c>
      <c r="J12" s="89" t="str">
        <f>IF($B12="","",1-H12*I12)</f>
        <v/>
      </c>
      <c r="K12" s="87" t="str">
        <f>IF($B12="","",F12*J12)</f>
        <v/>
      </c>
      <c r="L12" s="89" t="str">
        <f>IF($B12="","",I12*H12)</f>
        <v/>
      </c>
      <c r="M12" s="87" t="str">
        <f>IF($B12="","",F12*L12)</f>
        <v/>
      </c>
      <c r="N12" s="93" t="str">
        <f>IF($B12="","",MROUND(M12,1000))</f>
        <v/>
      </c>
      <c r="O12" s="193"/>
      <c r="P12" s="194" t="str">
        <f>IF($B12="","",MROUND(N12*O12,100))</f>
        <v/>
      </c>
      <c r="Q12" s="195" t="str">
        <f>IF(AND($B12&lt;&gt;"",$A12=""),COUNTIFS($A$5:$A12,"",$B$5:$B12,"&lt;&gt;"),"")</f>
        <v/>
      </c>
      <c r="S12" s="85">
        <v>4</v>
      </c>
      <c r="T12" s="90">
        <v>0.52600000000000002</v>
      </c>
    </row>
    <row r="13" spans="1:20" ht="21" customHeight="1" x14ac:dyDescent="0.3">
      <c r="A13" s="82"/>
      <c r="B13" s="83"/>
      <c r="C13" s="84"/>
      <c r="D13" s="84"/>
      <c r="E13" s="85"/>
      <c r="F13" s="86"/>
      <c r="G13" s="88" t="str">
        <f>IF($B13="","",C13/D13)</f>
        <v/>
      </c>
      <c r="H13" s="89" t="str">
        <f>IF($B13="","",1-0.5*(G13+G13^2))</f>
        <v/>
      </c>
      <c r="I13" s="89" t="str">
        <f>IF($B13="","",1-INDEX($T$6:$T$14,MATCH(E13,$S$6:$S$14,0)))</f>
        <v/>
      </c>
      <c r="J13" s="89" t="str">
        <f>IF($B13="","",1-H13*I13)</f>
        <v/>
      </c>
      <c r="K13" s="87" t="str">
        <f>IF($B13="","",F13*J13)</f>
        <v/>
      </c>
      <c r="L13" s="89" t="str">
        <f>IF($B13="","",I13*H13)</f>
        <v/>
      </c>
      <c r="M13" s="87" t="str">
        <f>IF($B13="","",F13*L13)</f>
        <v/>
      </c>
      <c r="N13" s="93" t="str">
        <f>IF($B13="","",MROUND(M13,1000))</f>
        <v/>
      </c>
      <c r="O13" s="193"/>
      <c r="P13" s="194" t="str">
        <f>IF($B13="","",MROUND(N13*O13,100))</f>
        <v/>
      </c>
      <c r="Q13" s="195" t="str">
        <f>IF(AND($B13&lt;&gt;"",$A13=""),COUNTIFS($A$5:$A13,"",$B$5:$B13,"&lt;&gt;"),"")</f>
        <v/>
      </c>
      <c r="S13" s="85">
        <v>4.5</v>
      </c>
      <c r="T13" s="90">
        <v>0.752</v>
      </c>
    </row>
    <row r="14" spans="1:20" ht="21" customHeight="1" x14ac:dyDescent="0.3">
      <c r="A14" s="82"/>
      <c r="B14" s="83"/>
      <c r="C14" s="84"/>
      <c r="D14" s="84"/>
      <c r="E14" s="85"/>
      <c r="F14" s="86"/>
      <c r="G14" s="88" t="str">
        <f>IF($B14="","",C14/D14)</f>
        <v/>
      </c>
      <c r="H14" s="89" t="str">
        <f>IF($B14="","",1-0.5*(G14+G14^2))</f>
        <v/>
      </c>
      <c r="I14" s="89" t="str">
        <f>IF($B14="","",1-INDEX($T$6:$T$14,MATCH(E14,$S$6:$S$14,0)))</f>
        <v/>
      </c>
      <c r="J14" s="89" t="str">
        <f>IF($B14="","",1-H14*I14)</f>
        <v/>
      </c>
      <c r="K14" s="87" t="str">
        <f>IF($B14="","",F14*J14)</f>
        <v/>
      </c>
      <c r="L14" s="89" t="str">
        <f>IF($B14="","",I14*H14)</f>
        <v/>
      </c>
      <c r="M14" s="87" t="str">
        <f>IF($B14="","",F14*L14)</f>
        <v/>
      </c>
      <c r="N14" s="93" t="str">
        <f>IF($B14="","",MROUND(M14,1000))</f>
        <v/>
      </c>
      <c r="O14" s="193"/>
      <c r="P14" s="194" t="str">
        <f>IF($B14="","",MROUND(N14*O14,100))</f>
        <v/>
      </c>
      <c r="Q14" s="195" t="str">
        <f>IF(AND($B14&lt;&gt;"",$A14=""),COUNTIFS($A$5:$A14,"",$B$5:$B14,"&lt;&gt;"),"")</f>
        <v/>
      </c>
      <c r="S14" s="85">
        <v>5</v>
      </c>
      <c r="T14" s="90">
        <v>1</v>
      </c>
    </row>
    <row r="15" spans="1:20" ht="21" customHeight="1" x14ac:dyDescent="0.3">
      <c r="A15" s="176" t="s">
        <v>95</v>
      </c>
      <c r="B15" s="177"/>
      <c r="C15" s="177"/>
      <c r="D15" s="177"/>
      <c r="E15" s="177"/>
      <c r="F15" s="92">
        <f>SUM(F5:F14)</f>
        <v>7199457</v>
      </c>
      <c r="G15" s="91"/>
      <c r="H15" s="91"/>
      <c r="I15" s="91"/>
      <c r="J15" s="91"/>
      <c r="K15" s="92">
        <f>SUM(K5:K14)</f>
        <v>3940542.1105191833</v>
      </c>
      <c r="L15" s="91"/>
      <c r="M15" s="92">
        <f>SUM(M5:M14)</f>
        <v>3258914.8894808162</v>
      </c>
      <c r="N15" s="92">
        <f>SUM(N5:N14)</f>
        <v>3259000</v>
      </c>
      <c r="O15" s="196"/>
      <c r="P15" s="197">
        <f>SUM(P5:P14)</f>
        <v>172664000</v>
      </c>
      <c r="Q15" s="196"/>
    </row>
    <row r="16" spans="1:20" x14ac:dyDescent="0.3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19.95" customHeight="1" x14ac:dyDescent="0.3">
      <c r="A17" s="80" t="s">
        <v>225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79"/>
      <c r="P17" s="79"/>
      <c r="Q17" s="79"/>
    </row>
    <row r="18" spans="1:17" ht="34.049999999999997" customHeight="1" x14ac:dyDescent="0.3">
      <c r="A18" s="169" t="s">
        <v>11</v>
      </c>
      <c r="B18" s="97" t="s">
        <v>12</v>
      </c>
      <c r="C18" s="97"/>
      <c r="D18" s="97"/>
      <c r="E18" s="97"/>
      <c r="F18" s="169" t="s">
        <v>99</v>
      </c>
      <c r="G18" s="97" t="s">
        <v>226</v>
      </c>
      <c r="H18" s="97"/>
      <c r="I18" s="97"/>
      <c r="J18" s="97" t="s">
        <v>227</v>
      </c>
      <c r="K18" s="97"/>
      <c r="L18" s="97"/>
      <c r="M18" s="97" t="s">
        <v>18</v>
      </c>
      <c r="N18" s="97"/>
    </row>
    <row r="19" spans="1:17" ht="22.05" customHeight="1" x14ac:dyDescent="0.3">
      <c r="A19" s="181">
        <f>IF((ROWS($A$19:$A19)+8)&gt;SIM_AUX!$C$3,"",IF(INDEX(SIM_MERCADO!$A:$A,(ROWS($A$19:$A19)+8))="","",INDEX(SIM_MERCADO!$A:$A,(ROWS($A$19:$A19)+8))))</f>
        <v>1</v>
      </c>
      <c r="B19" s="265" t="str">
        <f>IF($A19="","",INDEX(SIM_MERCADO!$B:$B,(ROWS($A$19:$A19)+8)))</f>
        <v>SIMULACIÓN – Finca agropecuaria A, vereda interior (dato ficticio)</v>
      </c>
      <c r="C19" s="266"/>
      <c r="D19" s="266"/>
      <c r="E19" s="266"/>
      <c r="F19" s="139">
        <f>IF($A19="","",COUNTIFS($A$5:$A$14,$A19,$B$5:$B$14,"&lt;&gt;"))</f>
        <v>0</v>
      </c>
      <c r="G19" s="184">
        <f>IF($A19="","",SUMPRODUCT(($A$5:$A$14=$A19)*$F$5:$F$14*$O$5:$O$14))</f>
        <v>0</v>
      </c>
      <c r="H19" s="183"/>
      <c r="I19" s="183"/>
      <c r="J19" s="184">
        <f>IF($A19="","",G19-M19)</f>
        <v>0</v>
      </c>
      <c r="K19" s="183"/>
      <c r="L19" s="183"/>
      <c r="M19" s="185">
        <f>IF($A19="","",SUMIFS($P$5:$P$14,$A$5:$A$14,$A19))</f>
        <v>0</v>
      </c>
      <c r="N19" s="186"/>
    </row>
    <row r="20" spans="1:17" ht="22.05" customHeight="1" x14ac:dyDescent="0.3">
      <c r="A20" s="181">
        <f>IF((ROWS($A$19:$A20)+8)&gt;SIM_AUX!$C$3,"",IF(INDEX(SIM_MERCADO!$A:$A,(ROWS($A$19:$A20)+8))="","",INDEX(SIM_MERCADO!$A:$A,(ROWS($A$19:$A20)+8))))</f>
        <v>2</v>
      </c>
      <c r="B20" s="265" t="str">
        <f>IF($A20="","",INDEX(SIM_MERCADO!$B:$B,(ROWS($A$19:$A20)+8)))</f>
        <v>SIMULACIÓN – Finca agropecuaria B, vereda interior (dato ficticio)</v>
      </c>
      <c r="C20" s="266"/>
      <c r="D20" s="266"/>
      <c r="E20" s="266"/>
      <c r="F20" s="139">
        <f>IF($A20="","",COUNTIFS($A$5:$A$14,$A20,$B$5:$B$14,"&lt;&gt;"))</f>
        <v>1</v>
      </c>
      <c r="G20" s="184">
        <f>IF($A20="","",SUMPRODUCT(($A$5:$A$14=$A20)*$F$5:$F$14*$O$5:$O$14))</f>
        <v>79198000</v>
      </c>
      <c r="H20" s="183"/>
      <c r="I20" s="183"/>
      <c r="J20" s="184">
        <f>IF($A20="","",G20-M20)</f>
        <v>42518000</v>
      </c>
      <c r="K20" s="183"/>
      <c r="L20" s="183"/>
      <c r="M20" s="185">
        <f>IF($A20="","",SUMIFS($P$5:$P$14,$A$5:$A$14,$A20))</f>
        <v>36680000</v>
      </c>
      <c r="N20" s="186"/>
    </row>
    <row r="21" spans="1:17" ht="22.05" customHeight="1" x14ac:dyDescent="0.3">
      <c r="A21" s="181">
        <f>IF((ROWS($A$19:$A21)+8)&gt;SIM_AUX!$C$3,"",IF(INDEX(SIM_MERCADO!$A:$A,(ROWS($A$19:$A21)+8))="","",INDEX(SIM_MERCADO!$A:$A,(ROWS($A$19:$A21)+8))))</f>
        <v>3</v>
      </c>
      <c r="B21" s="265" t="str">
        <f>IF($A21="","",INDEX(SIM_MERCADO!$B:$B,(ROWS($A$19:$A21)+8)))</f>
        <v>SIMULACIÓN – Finca agropecuaria C, vereda interior (dato ficticio)</v>
      </c>
      <c r="C21" s="266"/>
      <c r="D21" s="266"/>
      <c r="E21" s="266"/>
      <c r="F21" s="139">
        <f>IF($A21="","",COUNTIFS($A$5:$A$14,$A21,$B$5:$B$14,"&lt;&gt;"))</f>
        <v>1</v>
      </c>
      <c r="G21" s="184">
        <f>IF($A21="","",SUMPRODUCT(($A$5:$A$14=$A21)*$F$5:$F$14*$O$5:$O$14))</f>
        <v>45037230</v>
      </c>
      <c r="H21" s="183"/>
      <c r="I21" s="183"/>
      <c r="J21" s="184">
        <f>IF($A21="","",G21-M21)</f>
        <v>30232230</v>
      </c>
      <c r="K21" s="183"/>
      <c r="L21" s="183"/>
      <c r="M21" s="185">
        <f>IF($A21="","",SUMIFS($P$5:$P$14,$A$5:$A$14,$A21))</f>
        <v>14805000</v>
      </c>
      <c r="N21" s="186"/>
    </row>
    <row r="22" spans="1:17" ht="22.05" customHeight="1" x14ac:dyDescent="0.3">
      <c r="A22" s="181">
        <f>IF((ROWS($A$19:$A22)+8)&gt;SIM_AUX!$C$3,"",IF(INDEX(SIM_MERCADO!$A:$A,(ROWS($A$19:$A22)+8))="","",INDEX(SIM_MERCADO!$A:$A,(ROWS($A$19:$A22)+8))))</f>
        <v>4</v>
      </c>
      <c r="B22" s="265" t="str">
        <f>IF($A22="","",INDEX(SIM_MERCADO!$B:$B,(ROWS($A$19:$A22)+8)))</f>
        <v>SIMULACIÓN – Finca agropecuaria D, vereda interior (dato ficticio)</v>
      </c>
      <c r="C22" s="266"/>
      <c r="D22" s="266"/>
      <c r="E22" s="266"/>
      <c r="F22" s="139">
        <f>IF($A22="","",COUNTIFS($A$5:$A$14,$A22,$B$5:$B$14,"&lt;&gt;"))</f>
        <v>0</v>
      </c>
      <c r="G22" s="184">
        <f>IF($A22="","",SUMPRODUCT(($A$5:$A$14=$A22)*$F$5:$F$14*$O$5:$O$14))</f>
        <v>0</v>
      </c>
      <c r="H22" s="183"/>
      <c r="I22" s="183"/>
      <c r="J22" s="184">
        <f>IF($A22="","",G22-M22)</f>
        <v>0</v>
      </c>
      <c r="K22" s="183"/>
      <c r="L22" s="183"/>
      <c r="M22" s="185">
        <f>IF($A22="","",SUMIFS($P$5:$P$14,$A$5:$A$14,$A22))</f>
        <v>0</v>
      </c>
      <c r="N22" s="186"/>
    </row>
    <row r="23" spans="1:17" ht="22.05" customHeight="1" x14ac:dyDescent="0.3">
      <c r="A23" s="181" t="str">
        <f>IF((ROWS($A$19:$A23)+8)&gt;SIM_AUX!$C$3,"",IF(INDEX(SIM_MERCADO!$A:$A,(ROWS($A$19:$A23)+8))="","",INDEX(SIM_MERCADO!$A:$A,(ROWS($A$19:$A23)+8))))</f>
        <v/>
      </c>
      <c r="B23" s="265" t="str">
        <f>IF($A23="","",INDEX(SIM_MERCADO!$B:$B,(ROWS($A$19:$A23)+8)))</f>
        <v/>
      </c>
      <c r="C23" s="266"/>
      <c r="D23" s="266"/>
      <c r="E23" s="266"/>
      <c r="F23" s="139" t="str">
        <f>IF($A23="","",COUNTIFS($A$5:$A$14,$A23,$B$5:$B$14,"&lt;&gt;"))</f>
        <v/>
      </c>
      <c r="G23" s="187" t="str">
        <f>IF($A23="","",SUMPRODUCT(($A$5:$A$14=$A23)*$F$5:$F$14*$O$5:$O$14))</f>
        <v/>
      </c>
      <c r="H23" s="188"/>
      <c r="I23" s="188"/>
      <c r="J23" s="187" t="str">
        <f>IF($A23="","",G23-M23)</f>
        <v/>
      </c>
      <c r="K23" s="188"/>
      <c r="L23" s="188"/>
      <c r="M23" s="185" t="str">
        <f>IF($A23="","",SUMIFS($P$5:$P$14,$A$5:$A$14,$A23))</f>
        <v/>
      </c>
      <c r="N23" s="186"/>
    </row>
    <row r="24" spans="1:17" ht="22.05" customHeight="1" x14ac:dyDescent="0.3">
      <c r="A24" s="181" t="str">
        <f>IF((ROWS($A$19:$A24)+8)&gt;SIM_AUX!$C$3,"",IF(INDEX(SIM_MERCADO!$A:$A,(ROWS($A$19:$A24)+8))="","",INDEX(SIM_MERCADO!$A:$A,(ROWS($A$19:$A24)+8))))</f>
        <v/>
      </c>
      <c r="B24" s="265" t="str">
        <f>IF($A24="","",INDEX(SIM_MERCADO!$B:$B,(ROWS($A$19:$A24)+8)))</f>
        <v/>
      </c>
      <c r="C24" s="266"/>
      <c r="D24" s="266"/>
      <c r="E24" s="266"/>
      <c r="F24" s="139" t="str">
        <f>IF($A24="","",COUNTIFS($A$5:$A$14,$A24,$B$5:$B$14,"&lt;&gt;"))</f>
        <v/>
      </c>
      <c r="G24" s="187" t="str">
        <f>IF($A24="","",SUMPRODUCT(($A$5:$A$14=$A24)*$F$5:$F$14*$O$5:$O$14))</f>
        <v/>
      </c>
      <c r="H24" s="188"/>
      <c r="I24" s="188"/>
      <c r="J24" s="187" t="str">
        <f>IF($A24="","",G24-M24)</f>
        <v/>
      </c>
      <c r="K24" s="188"/>
      <c r="L24" s="188"/>
      <c r="M24" s="185" t="str">
        <f>IF($A24="","",SUMIFS($P$5:$P$14,$A$5:$A$14,$A24))</f>
        <v/>
      </c>
      <c r="N24" s="186"/>
    </row>
    <row r="25" spans="1:17" ht="22.05" customHeight="1" x14ac:dyDescent="0.3">
      <c r="A25" s="181" t="str">
        <f>IF((ROWS($A$19:$A25)+8)&gt;SIM_AUX!$C$3,"",IF(INDEX(SIM_MERCADO!$A:$A,(ROWS($A$19:$A25)+8))="","",INDEX(SIM_MERCADO!$A:$A,(ROWS($A$19:$A25)+8))))</f>
        <v/>
      </c>
      <c r="B25" s="265" t="str">
        <f>IF($A25="","",INDEX(SIM_MERCADO!$B:$B,(ROWS($A$19:$A25)+8)))</f>
        <v/>
      </c>
      <c r="C25" s="266"/>
      <c r="D25" s="266"/>
      <c r="E25" s="266"/>
      <c r="F25" s="139" t="str">
        <f>IF($A25="","",COUNTIFS($A$5:$A$14,$A25,$B$5:$B$14,"&lt;&gt;"))</f>
        <v/>
      </c>
      <c r="G25" s="187" t="str">
        <f>IF($A25="","",SUMPRODUCT(($A$5:$A$14=$A25)*$F$5:$F$14*$O$5:$O$14))</f>
        <v/>
      </c>
      <c r="H25" s="188"/>
      <c r="I25" s="188"/>
      <c r="J25" s="187" t="str">
        <f>IF($A25="","",G25-M25)</f>
        <v/>
      </c>
      <c r="K25" s="188"/>
      <c r="L25" s="188"/>
      <c r="M25" s="185" t="str">
        <f>IF($A25="","",SUMIFS($P$5:$P$14,$A$5:$A$14,$A25))</f>
        <v/>
      </c>
      <c r="N25" s="186"/>
    </row>
    <row r="26" spans="1:17" ht="22.05" customHeight="1" x14ac:dyDescent="0.3">
      <c r="A26" s="181" t="str">
        <f>IF((ROWS($A$19:$A26)+8)&gt;SIM_AUX!$C$3,"",IF(INDEX(SIM_MERCADO!$A:$A,(ROWS($A$19:$A26)+8))="","",INDEX(SIM_MERCADO!$A:$A,(ROWS($A$19:$A26)+8))))</f>
        <v/>
      </c>
      <c r="B26" s="265" t="str">
        <f>IF($A26="","",INDEX(SIM_MERCADO!$B:$B,(ROWS($A$19:$A26)+8)))</f>
        <v/>
      </c>
      <c r="C26" s="266"/>
      <c r="D26" s="266"/>
      <c r="E26" s="266"/>
      <c r="F26" s="139" t="str">
        <f>IF($A26="","",COUNTIFS($A$5:$A$14,$A26,$B$5:$B$14,"&lt;&gt;"))</f>
        <v/>
      </c>
      <c r="G26" s="187" t="str">
        <f>IF($A26="","",SUMPRODUCT(($A$5:$A$14=$A26)*$F$5:$F$14*$O$5:$O$14))</f>
        <v/>
      </c>
      <c r="H26" s="188"/>
      <c r="I26" s="188"/>
      <c r="J26" s="187" t="str">
        <f>IF($A26="","",G26-M26)</f>
        <v/>
      </c>
      <c r="K26" s="188"/>
      <c r="L26" s="188"/>
      <c r="M26" s="185" t="str">
        <f>IF($A26="","",SUMIFS($P$5:$P$14,$A$5:$A$14,$A26))</f>
        <v/>
      </c>
      <c r="N26" s="186"/>
    </row>
    <row r="27" spans="1:17" ht="22.05" customHeight="1" x14ac:dyDescent="0.3">
      <c r="A27" s="181" t="str">
        <f>IF((ROWS($A$19:$A27)+8)&gt;SIM_AUX!$C$3,"",IF(INDEX(SIM_MERCADO!$A:$A,(ROWS($A$19:$A27)+8))="","",INDEX(SIM_MERCADO!$A:$A,(ROWS($A$19:$A27)+8))))</f>
        <v/>
      </c>
      <c r="B27" s="182" t="str">
        <f>IF($A27="","",INDEX(SIM_MERCADO!$B:$B,(ROWS($A$19:$A27)+8)))</f>
        <v/>
      </c>
      <c r="C27" s="183"/>
      <c r="D27" s="183"/>
      <c r="E27" s="183"/>
      <c r="F27" s="139" t="str">
        <f>IF($A27="","",COUNTIFS($A$5:$A$14,$A27,$B$5:$B$14,"&lt;&gt;"))</f>
        <v/>
      </c>
      <c r="G27" s="187" t="str">
        <f>IF($A27="","",SUMPRODUCT(($A$5:$A$14=$A27)*$F$5:$F$14*$O$5:$O$14))</f>
        <v/>
      </c>
      <c r="H27" s="188"/>
      <c r="I27" s="188"/>
      <c r="J27" s="187" t="str">
        <f>IF($A27="","",G27-M27)</f>
        <v/>
      </c>
      <c r="K27" s="188"/>
      <c r="L27" s="188"/>
      <c r="M27" s="185" t="str">
        <f>IF($A27="","",SUMIFS($P$5:$P$14,$A$5:$A$14,$A27))</f>
        <v/>
      </c>
      <c r="N27" s="186"/>
    </row>
    <row r="28" spans="1:17" ht="22.05" customHeight="1" x14ac:dyDescent="0.3">
      <c r="A28" s="181" t="str">
        <f>IF((ROWS($A$19:$A28)+8)&gt;SIM_AUX!$C$3,"",IF(INDEX(SIM_MERCADO!$A:$A,(ROWS($A$19:$A28)+8))="","",INDEX(SIM_MERCADO!$A:$A,(ROWS($A$19:$A28)+8))))</f>
        <v/>
      </c>
      <c r="B28" s="182" t="str">
        <f>IF($A28="","",INDEX(SIM_MERCADO!$B:$B,(ROWS($A$19:$A28)+8)))</f>
        <v/>
      </c>
      <c r="C28" s="183"/>
      <c r="D28" s="183"/>
      <c r="E28" s="183"/>
      <c r="F28" s="139" t="str">
        <f>IF($A28="","",COUNTIFS($A$5:$A$14,$A28,$B$5:$B$14,"&lt;&gt;"))</f>
        <v/>
      </c>
      <c r="G28" s="187" t="str">
        <f>IF($A28="","",SUMPRODUCT(($A$5:$A$14=$A28)*$F$5:$F$14*$O$5:$O$14))</f>
        <v/>
      </c>
      <c r="H28" s="188"/>
      <c r="I28" s="188"/>
      <c r="J28" s="187" t="str">
        <f>IF($A28="","",G28-M28)</f>
        <v/>
      </c>
      <c r="K28" s="188"/>
      <c r="L28" s="188"/>
      <c r="M28" s="185" t="str">
        <f>IF($A28="","",SUMIFS($P$5:$P$14,$A$5:$A$14,$A28))</f>
        <v/>
      </c>
      <c r="N28" s="186"/>
    </row>
    <row r="29" spans="1:17" ht="22.05" customHeight="1" x14ac:dyDescent="0.3">
      <c r="A29" s="181" t="str">
        <f>IF((ROWS($A$19:$A29)+8)&gt;SIM_AUX!$C$3,"",IF(INDEX(SIM_MERCADO!$A:$A,(ROWS($A$19:$A29)+8))="","",INDEX(SIM_MERCADO!$A:$A,(ROWS($A$19:$A29)+8))))</f>
        <v/>
      </c>
      <c r="B29" s="182" t="str">
        <f>IF($A29="","",INDEX(SIM_MERCADO!$B:$B,(ROWS($A$19:$A29)+8)))</f>
        <v/>
      </c>
      <c r="C29" s="183"/>
      <c r="D29" s="183"/>
      <c r="E29" s="183"/>
      <c r="F29" s="139" t="str">
        <f>IF($A29="","",COUNTIFS($A$5:$A$14,$A29,$B$5:$B$14,"&lt;&gt;"))</f>
        <v/>
      </c>
      <c r="G29" s="187" t="str">
        <f>IF($A29="","",SUMPRODUCT(($A$5:$A$14=$A29)*$F$5:$F$14*$O$5:$O$14))</f>
        <v/>
      </c>
      <c r="H29" s="188"/>
      <c r="I29" s="188"/>
      <c r="J29" s="187" t="str">
        <f>IF($A29="","",G29-M29)</f>
        <v/>
      </c>
      <c r="K29" s="188"/>
      <c r="L29" s="188"/>
      <c r="M29" s="185" t="str">
        <f>IF($A29="","",SUMIFS($P$5:$P$14,$A$5:$A$14,$A29))</f>
        <v/>
      </c>
      <c r="N29" s="186"/>
    </row>
    <row r="30" spans="1:17" ht="22.05" customHeight="1" x14ac:dyDescent="0.3">
      <c r="A30" s="181" t="str">
        <f>IF((ROWS($A$19:$A30)+8)&gt;SIM_AUX!$C$3,"",IF(INDEX(SIM_MERCADO!$A:$A,(ROWS($A$19:$A30)+8))="","",INDEX(SIM_MERCADO!$A:$A,(ROWS($A$19:$A30)+8))))</f>
        <v/>
      </c>
      <c r="B30" s="182" t="str">
        <f>IF($A30="","",INDEX(SIM_MERCADO!$B:$B,(ROWS($A$19:$A30)+8)))</f>
        <v/>
      </c>
      <c r="C30" s="183"/>
      <c r="D30" s="183"/>
      <c r="E30" s="183"/>
      <c r="F30" s="139" t="str">
        <f>IF($A30="","",COUNTIFS($A$5:$A$14,$A30,$B$5:$B$14,"&lt;&gt;"))</f>
        <v/>
      </c>
      <c r="G30" s="187" t="str">
        <f>IF($A30="","",SUMPRODUCT(($A$5:$A$14=$A30)*$F$5:$F$14*$O$5:$O$14))</f>
        <v/>
      </c>
      <c r="H30" s="188"/>
      <c r="I30" s="188"/>
      <c r="J30" s="187" t="str">
        <f>IF($A30="","",G30-M30)</f>
        <v/>
      </c>
      <c r="K30" s="188"/>
      <c r="L30" s="188"/>
      <c r="M30" s="185" t="str">
        <f>IF($A30="","",SUMIFS($P$5:$P$14,$A$5:$A$14,$A30))</f>
        <v/>
      </c>
      <c r="N30" s="186"/>
    </row>
    <row r="31" spans="1:17" ht="22.05" customHeight="1" x14ac:dyDescent="0.3">
      <c r="A31" s="181" t="str">
        <f>IF((ROWS($A$19:$A31)+8)&gt;SIM_AUX!$C$3,"",IF(INDEX(SIM_MERCADO!$A:$A,(ROWS($A$19:$A31)+8))="","",INDEX(SIM_MERCADO!$A:$A,(ROWS($A$19:$A31)+8))))</f>
        <v/>
      </c>
      <c r="B31" s="182" t="str">
        <f>IF($A31="","",INDEX(SIM_MERCADO!$B:$B,(ROWS($A$19:$A31)+8)))</f>
        <v/>
      </c>
      <c r="C31" s="183"/>
      <c r="D31" s="183"/>
      <c r="E31" s="183"/>
      <c r="F31" s="139" t="str">
        <f>IF($A31="","",COUNTIFS($A$5:$A$14,$A31,$B$5:$B$14,"&lt;&gt;"))</f>
        <v/>
      </c>
      <c r="G31" s="187" t="str">
        <f>IF($A31="","",SUMPRODUCT(($A$5:$A$14=$A31)*$F$5:$F$14*$O$5:$O$14))</f>
        <v/>
      </c>
      <c r="H31" s="188"/>
      <c r="I31" s="188"/>
      <c r="J31" s="187" t="str">
        <f>IF($A31="","",G31-M31)</f>
        <v/>
      </c>
      <c r="K31" s="188"/>
      <c r="L31" s="188"/>
      <c r="M31" s="185" t="str">
        <f>IF($A31="","",SUMIFS($P$5:$P$14,$A$5:$A$14,$A31))</f>
        <v/>
      </c>
      <c r="N31" s="186"/>
    </row>
    <row r="32" spans="1:17" ht="22.05" customHeight="1" x14ac:dyDescent="0.3">
      <c r="A32" s="181" t="str">
        <f>IF((ROWS($A$19:$A32)+8)&gt;SIM_AUX!$C$3,"",IF(INDEX(SIM_MERCADO!$A:$A,(ROWS($A$19:$A32)+8))="","",INDEX(SIM_MERCADO!$A:$A,(ROWS($A$19:$A32)+8))))</f>
        <v/>
      </c>
      <c r="B32" s="182" t="str">
        <f>IF($A32="","",INDEX(SIM_MERCADO!$B:$B,(ROWS($A$19:$A32)+8)))</f>
        <v/>
      </c>
      <c r="C32" s="183"/>
      <c r="D32" s="183"/>
      <c r="E32" s="183"/>
      <c r="F32" s="139" t="str">
        <f>IF($A32="","",COUNTIFS($A$5:$A$14,$A32,$B$5:$B$14,"&lt;&gt;"))</f>
        <v/>
      </c>
      <c r="G32" s="187" t="str">
        <f>IF($A32="","",SUMPRODUCT(($A$5:$A$14=$A32)*$F$5:$F$14*$O$5:$O$14))</f>
        <v/>
      </c>
      <c r="H32" s="188"/>
      <c r="I32" s="188"/>
      <c r="J32" s="187" t="str">
        <f>IF($A32="","",G32-M32)</f>
        <v/>
      </c>
      <c r="K32" s="188"/>
      <c r="L32" s="188"/>
      <c r="M32" s="185" t="str">
        <f>IF($A32="","",SUMIFS($P$5:$P$14,$A$5:$A$14,$A32))</f>
        <v/>
      </c>
      <c r="N32" s="186"/>
    </row>
    <row r="33" spans="1:17" ht="22.05" customHeight="1" x14ac:dyDescent="0.3">
      <c r="A33" s="181" t="str">
        <f>IF((ROWS($A$19:$A33)+8)&gt;SIM_AUX!$C$3,"",IF(INDEX(SIM_MERCADO!$A:$A,(ROWS($A$19:$A33)+8))="","",INDEX(SIM_MERCADO!$A:$A,(ROWS($A$19:$A33)+8))))</f>
        <v/>
      </c>
      <c r="B33" s="182" t="str">
        <f>IF($A33="","",INDEX(SIM_MERCADO!$B:$B,(ROWS($A$19:$A33)+8)))</f>
        <v/>
      </c>
      <c r="C33" s="183"/>
      <c r="D33" s="183"/>
      <c r="E33" s="183"/>
      <c r="F33" s="139" t="str">
        <f>IF($A33="","",COUNTIFS($A$5:$A$14,$A33,$B$5:$B$14,"&lt;&gt;"))</f>
        <v/>
      </c>
      <c r="G33" s="187" t="str">
        <f>IF($A33="","",SUMPRODUCT(($A$5:$A$14=$A33)*$F$5:$F$14*$O$5:$O$14))</f>
        <v/>
      </c>
      <c r="H33" s="188"/>
      <c r="I33" s="188"/>
      <c r="J33" s="187" t="str">
        <f>IF($A33="","",G33-M33)</f>
        <v/>
      </c>
      <c r="K33" s="188"/>
      <c r="L33" s="188"/>
      <c r="M33" s="185" t="str">
        <f>IF($A33="","",SUMIFS($P$5:$P$14,$A$5:$A$14,$A33))</f>
        <v/>
      </c>
      <c r="N33" s="186"/>
    </row>
    <row r="34" spans="1:17" ht="22.05" customHeight="1" x14ac:dyDescent="0.3">
      <c r="A34" s="181" t="str">
        <f>IF((ROWS($A$19:$A34)+8)&gt;SIM_AUX!$C$3,"",IF(INDEX(SIM_MERCADO!$A:$A,(ROWS($A$19:$A34)+8))="","",INDEX(SIM_MERCADO!$A:$A,(ROWS($A$19:$A34)+8))))</f>
        <v/>
      </c>
      <c r="B34" s="182" t="str">
        <f>IF($A34="","",INDEX(SIM_MERCADO!$B:$B,(ROWS($A$19:$A34)+8)))</f>
        <v/>
      </c>
      <c r="C34" s="183"/>
      <c r="D34" s="183"/>
      <c r="E34" s="183"/>
      <c r="F34" s="139" t="str">
        <f>IF($A34="","",COUNTIFS($A$5:$A$14,$A34,$B$5:$B$14,"&lt;&gt;"))</f>
        <v/>
      </c>
      <c r="G34" s="187" t="str">
        <f>IF($A34="","",SUMPRODUCT(($A$5:$A$14=$A34)*$F$5:$F$14*$O$5:$O$14))</f>
        <v/>
      </c>
      <c r="H34" s="188"/>
      <c r="I34" s="188"/>
      <c r="J34" s="187" t="str">
        <f>IF($A34="","",G34-M34)</f>
        <v/>
      </c>
      <c r="K34" s="188"/>
      <c r="L34" s="188"/>
      <c r="M34" s="185" t="str">
        <f>IF($A34="","",SUMIFS($P$5:$P$14,$A$5:$A$14,$A34))</f>
        <v/>
      </c>
      <c r="N34" s="186"/>
    </row>
    <row r="35" spans="1:17" ht="22.05" customHeight="1" x14ac:dyDescent="0.3">
      <c r="A35" s="181" t="str">
        <f>IF((ROWS($A$19:$A35)+8)&gt;SIM_AUX!$C$3,"",IF(INDEX(SIM_MERCADO!$A:$A,(ROWS($A$19:$A35)+8))="","",INDEX(SIM_MERCADO!$A:$A,(ROWS($A$19:$A35)+8))))</f>
        <v/>
      </c>
      <c r="B35" s="182" t="str">
        <f>IF($A35="","",INDEX(SIM_MERCADO!$B:$B,(ROWS($A$19:$A35)+8)))</f>
        <v/>
      </c>
      <c r="C35" s="183"/>
      <c r="D35" s="183"/>
      <c r="E35" s="183"/>
      <c r="F35" s="139" t="str">
        <f>IF($A35="","",COUNTIFS($A$5:$A$14,$A35,$B$5:$B$14,"&lt;&gt;"))</f>
        <v/>
      </c>
      <c r="G35" s="187" t="str">
        <f>IF($A35="","",SUMPRODUCT(($A$5:$A$14=$A35)*$F$5:$F$14*$O$5:$O$14))</f>
        <v/>
      </c>
      <c r="H35" s="188"/>
      <c r="I35" s="188"/>
      <c r="J35" s="187" t="str">
        <f>IF($A35="","",G35-M35)</f>
        <v/>
      </c>
      <c r="K35" s="188"/>
      <c r="L35" s="188"/>
      <c r="M35" s="185" t="str">
        <f>IF($A35="","",SUMIFS($P$5:$P$14,$A$5:$A$14,$A35))</f>
        <v/>
      </c>
      <c r="N35" s="186"/>
    </row>
    <row r="36" spans="1:17" ht="22.05" customHeight="1" x14ac:dyDescent="0.3">
      <c r="A36" s="181" t="str">
        <f>IF((ROWS($A$19:$A36)+8)&gt;SIM_AUX!$C$3,"",IF(INDEX(SIM_MERCADO!$A:$A,(ROWS($A$19:$A36)+8))="","",INDEX(SIM_MERCADO!$A:$A,(ROWS($A$19:$A36)+8))))</f>
        <v/>
      </c>
      <c r="B36" s="182" t="str">
        <f>IF($A36="","",INDEX(SIM_MERCADO!$B:$B,(ROWS($A$19:$A36)+8)))</f>
        <v/>
      </c>
      <c r="C36" s="183"/>
      <c r="D36" s="183"/>
      <c r="E36" s="183"/>
      <c r="F36" s="139" t="str">
        <f>IF($A36="","",COUNTIFS($A$5:$A$14,$A36,$B$5:$B$14,"&lt;&gt;"))</f>
        <v/>
      </c>
      <c r="G36" s="187" t="str">
        <f>IF($A36="","",SUMPRODUCT(($A$5:$A$14=$A36)*$F$5:$F$14*$O$5:$O$14))</f>
        <v/>
      </c>
      <c r="H36" s="188"/>
      <c r="I36" s="188"/>
      <c r="J36" s="187" t="str">
        <f>IF($A36="","",G36-M36)</f>
        <v/>
      </c>
      <c r="K36" s="188"/>
      <c r="L36" s="188"/>
      <c r="M36" s="185" t="str">
        <f>IF($A36="","",SUMIFS($P$5:$P$14,$A$5:$A$14,$A36))</f>
        <v/>
      </c>
      <c r="N36" s="186"/>
    </row>
    <row r="37" spans="1:17" ht="22.05" customHeight="1" x14ac:dyDescent="0.3">
      <c r="A37" s="181" t="str">
        <f>IF((ROWS($A$19:$A37)+8)&gt;SIM_AUX!$C$3,"",IF(INDEX(SIM_MERCADO!$A:$A,(ROWS($A$19:$A37)+8))="","",INDEX(SIM_MERCADO!$A:$A,(ROWS($A$19:$A37)+8))))</f>
        <v/>
      </c>
      <c r="B37" s="182" t="str">
        <f>IF($A37="","",INDEX(SIM_MERCADO!$B:$B,(ROWS($A$19:$A37)+8)))</f>
        <v/>
      </c>
      <c r="C37" s="183"/>
      <c r="D37" s="183"/>
      <c r="E37" s="183"/>
      <c r="F37" s="139" t="str">
        <f>IF($A37="","",COUNTIFS($A$5:$A$14,$A37,$B$5:$B$14,"&lt;&gt;"))</f>
        <v/>
      </c>
      <c r="G37" s="187" t="str">
        <f>IF($A37="","",SUMPRODUCT(($A$5:$A$14=$A37)*$F$5:$F$14*$O$5:$O$14))</f>
        <v/>
      </c>
      <c r="H37" s="188"/>
      <c r="I37" s="188"/>
      <c r="J37" s="187" t="str">
        <f>IF($A37="","",G37-M37)</f>
        <v/>
      </c>
      <c r="K37" s="188"/>
      <c r="L37" s="188"/>
      <c r="M37" s="185" t="str">
        <f>IF($A37="","",SUMIFS($P$5:$P$14,$A$5:$A$14,$A37))</f>
        <v/>
      </c>
      <c r="N37" s="186"/>
    </row>
    <row r="38" spans="1:17" ht="22.05" customHeight="1" x14ac:dyDescent="0.3">
      <c r="A38" s="181" t="str">
        <f>IF((ROWS($A$19:$A38)+8)&gt;SIM_AUX!$C$3,"",IF(INDEX(SIM_MERCADO!$A:$A,(ROWS($A$19:$A38)+8))="","",INDEX(SIM_MERCADO!$A:$A,(ROWS($A$19:$A38)+8))))</f>
        <v/>
      </c>
      <c r="B38" s="182" t="str">
        <f>IF($A38="","",INDEX(SIM_MERCADO!$B:$B,(ROWS($A$19:$A38)+8)))</f>
        <v/>
      </c>
      <c r="C38" s="183"/>
      <c r="D38" s="183"/>
      <c r="E38" s="183"/>
      <c r="F38" s="139" t="str">
        <f>IF($A38="","",COUNTIFS($A$5:$A$14,$A38,$B$5:$B$14,"&lt;&gt;"))</f>
        <v/>
      </c>
      <c r="G38" s="187" t="str">
        <f>IF($A38="","",SUMPRODUCT(($A$5:$A$14=$A38)*$F$5:$F$14*$O$5:$O$14))</f>
        <v/>
      </c>
      <c r="H38" s="188"/>
      <c r="I38" s="188"/>
      <c r="J38" s="187" t="str">
        <f>IF($A38="","",G38-M38)</f>
        <v/>
      </c>
      <c r="K38" s="188"/>
      <c r="L38" s="188"/>
      <c r="M38" s="185" t="str">
        <f>IF($A38="","",SUMIFS($P$5:$P$14,$A$5:$A$14,$A38))</f>
        <v/>
      </c>
      <c r="N38" s="186"/>
    </row>
    <row r="39" spans="1:17" ht="19.95" customHeight="1" x14ac:dyDescent="0.3">
      <c r="A39" s="189" t="s">
        <v>100</v>
      </c>
      <c r="B39" s="189"/>
      <c r="C39" s="189"/>
      <c r="D39" s="189"/>
      <c r="E39" s="189"/>
      <c r="F39" s="190">
        <f>SUM(F19:F38)</f>
        <v>2</v>
      </c>
      <c r="G39" s="191">
        <f>SUM(G19:G38)</f>
        <v>124235230</v>
      </c>
      <c r="H39" s="189"/>
      <c r="I39" s="189"/>
      <c r="J39" s="191">
        <f>SUM(J19:J38)</f>
        <v>72750230</v>
      </c>
      <c r="K39" s="189"/>
      <c r="L39" s="189"/>
      <c r="M39" s="191">
        <f>SUM(M19:M38)</f>
        <v>51485000</v>
      </c>
      <c r="N39" s="189"/>
    </row>
    <row r="40" spans="1:17" ht="19.95" customHeight="1" x14ac:dyDescent="0.3">
      <c r="A40" s="192" t="s">
        <v>228</v>
      </c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91">
        <f>SUMIFS($P$5:$P$14,$A$5:$A$14,"",$B$5:$B$14,"&lt;&gt;")</f>
        <v>121179000</v>
      </c>
      <c r="N40" s="189"/>
    </row>
    <row r="41" spans="1:17" ht="19.95" customHeight="1" x14ac:dyDescent="0.3">
      <c r="A41" s="192" t="s">
        <v>229</v>
      </c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91">
        <f>P15-M39-M40</f>
        <v>0</v>
      </c>
      <c r="N41" s="189"/>
    </row>
    <row r="43" spans="1:17" ht="61.95" customHeight="1" x14ac:dyDescent="0.3">
      <c r="A43" s="108" t="s">
        <v>230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</row>
  </sheetData>
  <mergeCells count="99">
    <mergeCell ref="A40:L40"/>
    <mergeCell ref="M40:N40"/>
    <mergeCell ref="A41:L41"/>
    <mergeCell ref="M41:N41"/>
    <mergeCell ref="A43:Q43"/>
    <mergeCell ref="B38:E38"/>
    <mergeCell ref="G38:I38"/>
    <mergeCell ref="J38:L38"/>
    <mergeCell ref="M38:N38"/>
    <mergeCell ref="A39:E39"/>
    <mergeCell ref="G39:I39"/>
    <mergeCell ref="J39:L39"/>
    <mergeCell ref="M39:N39"/>
    <mergeCell ref="B36:E36"/>
    <mergeCell ref="G36:I36"/>
    <mergeCell ref="J36:L36"/>
    <mergeCell ref="M36:N36"/>
    <mergeCell ref="B37:E37"/>
    <mergeCell ref="G37:I37"/>
    <mergeCell ref="J37:L37"/>
    <mergeCell ref="M37:N37"/>
    <mergeCell ref="B34:E34"/>
    <mergeCell ref="G34:I34"/>
    <mergeCell ref="J34:L34"/>
    <mergeCell ref="M34:N34"/>
    <mergeCell ref="B35:E35"/>
    <mergeCell ref="G35:I35"/>
    <mergeCell ref="J35:L35"/>
    <mergeCell ref="M35:N35"/>
    <mergeCell ref="B32:E32"/>
    <mergeCell ref="G32:I32"/>
    <mergeCell ref="J32:L32"/>
    <mergeCell ref="M32:N32"/>
    <mergeCell ref="B33:E33"/>
    <mergeCell ref="G33:I33"/>
    <mergeCell ref="J33:L33"/>
    <mergeCell ref="M33:N33"/>
    <mergeCell ref="B30:E30"/>
    <mergeCell ref="G30:I30"/>
    <mergeCell ref="J30:L30"/>
    <mergeCell ref="M30:N30"/>
    <mergeCell ref="B31:E31"/>
    <mergeCell ref="G31:I31"/>
    <mergeCell ref="J31:L31"/>
    <mergeCell ref="M31:N31"/>
    <mergeCell ref="B28:E28"/>
    <mergeCell ref="G28:I28"/>
    <mergeCell ref="J28:L28"/>
    <mergeCell ref="M28:N28"/>
    <mergeCell ref="B29:E29"/>
    <mergeCell ref="G29:I29"/>
    <mergeCell ref="J29:L29"/>
    <mergeCell ref="M29:N29"/>
    <mergeCell ref="B26:E26"/>
    <mergeCell ref="G26:I26"/>
    <mergeCell ref="J26:L26"/>
    <mergeCell ref="M26:N26"/>
    <mergeCell ref="B27:E27"/>
    <mergeCell ref="G27:I27"/>
    <mergeCell ref="J27:L27"/>
    <mergeCell ref="M27:N27"/>
    <mergeCell ref="B24:E24"/>
    <mergeCell ref="G24:I24"/>
    <mergeCell ref="J24:L24"/>
    <mergeCell ref="M24:N24"/>
    <mergeCell ref="B25:E25"/>
    <mergeCell ref="G25:I25"/>
    <mergeCell ref="J25:L25"/>
    <mergeCell ref="M25:N25"/>
    <mergeCell ref="B22:E22"/>
    <mergeCell ref="G22:I22"/>
    <mergeCell ref="J22:L22"/>
    <mergeCell ref="M22:N22"/>
    <mergeCell ref="B23:E23"/>
    <mergeCell ref="G23:I23"/>
    <mergeCell ref="J23:L23"/>
    <mergeCell ref="M23:N23"/>
    <mergeCell ref="B20:E20"/>
    <mergeCell ref="G20:I20"/>
    <mergeCell ref="J20:L20"/>
    <mergeCell ref="M20:N20"/>
    <mergeCell ref="B21:E21"/>
    <mergeCell ref="G21:I21"/>
    <mergeCell ref="J21:L21"/>
    <mergeCell ref="M21:N21"/>
    <mergeCell ref="B18:E18"/>
    <mergeCell ref="G18:I18"/>
    <mergeCell ref="J18:L18"/>
    <mergeCell ref="M18:N18"/>
    <mergeCell ref="B19:E19"/>
    <mergeCell ref="G19:I19"/>
    <mergeCell ref="J19:L19"/>
    <mergeCell ref="M19:N19"/>
    <mergeCell ref="A1:Q1"/>
    <mergeCell ref="A2:Q2"/>
    <mergeCell ref="A3:Q3"/>
    <mergeCell ref="S4:T4"/>
    <mergeCell ref="A15:E15"/>
    <mergeCell ref="A17:Q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977A-1E1A-4E2E-8BD6-9592A64A4AFB}">
  <sheetPr>
    <tabColor rgb="FFED7D31"/>
  </sheetPr>
  <dimension ref="A1:O44"/>
  <sheetViews>
    <sheetView showGridLines="0" topLeftCell="A13" workbookViewId="0">
      <selection activeCell="B29" sqref="B29"/>
    </sheetView>
  </sheetViews>
  <sheetFormatPr baseColWidth="10" defaultRowHeight="14.4" x14ac:dyDescent="0.3"/>
  <cols>
    <col min="1" max="1" width="2.5546875" customWidth="1"/>
    <col min="2" max="2" width="53.6640625" customWidth="1"/>
    <col min="3" max="3" width="14.77734375" customWidth="1"/>
    <col min="4" max="4" width="17.5546875" customWidth="1"/>
    <col min="5" max="5" width="22.33203125" customWidth="1"/>
    <col min="6" max="6" width="29.21875" customWidth="1"/>
    <col min="7" max="7" width="3.6640625" customWidth="1"/>
    <col min="8" max="8" width="18.44140625" customWidth="1"/>
    <col min="9" max="9" width="18.5546875" customWidth="1"/>
    <col min="10" max="10" width="16.5546875" customWidth="1"/>
    <col min="11" max="11" width="13.6640625" customWidth="1"/>
    <col min="12" max="13" width="3.6640625" customWidth="1"/>
    <col min="14" max="15" width="17.44140625" customWidth="1"/>
  </cols>
  <sheetData>
    <row r="1" spans="1:15" ht="15" thickBot="1" x14ac:dyDescent="0.35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</row>
    <row r="2" spans="1:15" ht="19.95" customHeight="1" x14ac:dyDescent="0.3">
      <c r="A2" s="98"/>
      <c r="B2" s="149" t="s">
        <v>101</v>
      </c>
      <c r="C2" s="147"/>
      <c r="D2" s="147"/>
      <c r="E2" s="147"/>
      <c r="F2" s="153"/>
      <c r="G2" s="98"/>
      <c r="H2" s="98"/>
      <c r="I2" s="98"/>
      <c r="J2" s="98"/>
      <c r="K2" s="98"/>
      <c r="L2" s="98"/>
      <c r="M2" s="98"/>
      <c r="N2" s="98"/>
      <c r="O2" s="98"/>
    </row>
    <row r="3" spans="1:15" ht="18" customHeight="1" x14ac:dyDescent="0.3">
      <c r="A3" s="98"/>
      <c r="B3" s="159" t="s">
        <v>102</v>
      </c>
      <c r="C3" s="160"/>
      <c r="D3" s="160"/>
      <c r="E3" s="160"/>
      <c r="F3" s="161"/>
      <c r="G3" s="98"/>
      <c r="H3" s="145" t="s">
        <v>115</v>
      </c>
      <c r="I3" s="145"/>
      <c r="J3" s="145"/>
      <c r="K3" s="145"/>
      <c r="L3" s="98"/>
      <c r="M3" s="98"/>
      <c r="N3" s="98"/>
      <c r="O3" s="98"/>
    </row>
    <row r="4" spans="1:15" ht="25.95" customHeight="1" x14ac:dyDescent="0.3">
      <c r="A4" s="98"/>
      <c r="B4" s="150" t="s">
        <v>103</v>
      </c>
      <c r="C4" s="143" t="s">
        <v>104</v>
      </c>
      <c r="D4" s="143" t="s">
        <v>105</v>
      </c>
      <c r="E4" s="143" t="s">
        <v>106</v>
      </c>
      <c r="F4" s="154" t="s">
        <v>107</v>
      </c>
      <c r="G4" s="98"/>
      <c r="H4" s="146" t="s">
        <v>116</v>
      </c>
      <c r="I4" s="146" t="s">
        <v>117</v>
      </c>
      <c r="J4" s="146" t="s">
        <v>118</v>
      </c>
      <c r="K4" s="146" t="s">
        <v>119</v>
      </c>
      <c r="L4" s="98"/>
      <c r="M4" s="98"/>
      <c r="N4" s="146" t="s">
        <v>126</v>
      </c>
      <c r="O4" s="146" t="s">
        <v>127</v>
      </c>
    </row>
    <row r="5" spans="1:15" ht="43.95" customHeight="1" thickBot="1" x14ac:dyDescent="0.35">
      <c r="A5" s="98"/>
      <c r="B5" s="151" t="str">
        <f>SIM_MERCADO!E4</f>
        <v>Predio rural, sector Puente Bomba – El Ebanal (corr. Tigreras). Coord. 11.251133, -73.127307</v>
      </c>
      <c r="C5" s="100" t="s">
        <v>108</v>
      </c>
      <c r="D5" s="101">
        <v>12</v>
      </c>
      <c r="E5" s="102">
        <f>SIM_MERCADO!H20</f>
        <v>26400200</v>
      </c>
      <c r="F5" s="155">
        <f>MROUND(D5*E5,100)</f>
        <v>316802400</v>
      </c>
      <c r="G5" s="98"/>
      <c r="H5" s="103" t="s">
        <v>120</v>
      </c>
      <c r="I5" s="104">
        <f>ROUND(F22,0)</f>
        <v>437981400</v>
      </c>
      <c r="J5" s="103"/>
      <c r="K5" s="103"/>
      <c r="L5" s="98"/>
      <c r="M5" s="98"/>
      <c r="N5" s="99" t="s">
        <v>128</v>
      </c>
      <c r="O5" s="99" t="s">
        <v>157</v>
      </c>
    </row>
    <row r="6" spans="1:15" ht="18" customHeight="1" x14ac:dyDescent="0.3">
      <c r="A6" s="98"/>
      <c r="B6" s="149" t="s">
        <v>109</v>
      </c>
      <c r="C6" s="147"/>
      <c r="D6" s="147"/>
      <c r="E6" s="147"/>
      <c r="F6" s="153"/>
      <c r="G6" s="98"/>
      <c r="H6" s="103" t="s">
        <v>121</v>
      </c>
      <c r="I6" s="104">
        <f>INT(I5/10^6)</f>
        <v>437</v>
      </c>
      <c r="J6" s="103"/>
      <c r="K6" s="103"/>
      <c r="L6" s="98"/>
      <c r="M6" s="98"/>
      <c r="N6" s="99" t="s">
        <v>129</v>
      </c>
      <c r="O6" s="99" t="s">
        <v>158</v>
      </c>
    </row>
    <row r="7" spans="1:15" ht="25.95" customHeight="1" x14ac:dyDescent="0.3">
      <c r="A7" s="98"/>
      <c r="B7" s="150" t="s">
        <v>103</v>
      </c>
      <c r="C7" s="143" t="s">
        <v>104</v>
      </c>
      <c r="D7" s="143" t="s">
        <v>105</v>
      </c>
      <c r="E7" s="143" t="s">
        <v>106</v>
      </c>
      <c r="F7" s="154" t="s">
        <v>107</v>
      </c>
      <c r="G7" s="98"/>
      <c r="H7" s="103" t="s">
        <v>122</v>
      </c>
      <c r="I7" s="104">
        <f>INT(I6/1000)</f>
        <v>0</v>
      </c>
      <c r="J7" s="103" t="str">
        <f>IF(I7=0,"",IF(I7=100,"CIEN",TRIM(CHOOSE(INT(I7/100)+1,"","CIENTO ","DOSCIENTOS ","TRESCIENTOS ","CUATROCIENTOS ","QUINIENTOS ","SEISCIENTOS ","SETECIENTOS ","OCHOCIENTOS ","NOVECIENTOS ")&amp;IF(MOD(I7,100)=0,"",IF(MOD(I7,100)&lt;30,INDEX($N$5:$N$33,MOD(I7,100)),INDEX($O$5:$O$11,INT(MOD(I7,100)/10)-2)&amp;IF(MOD(I7,10)=0,""," Y "&amp;INDEX($N$5:$N$13,MOD(I7,10))))))))</f>
        <v/>
      </c>
      <c r="K7" s="103" t="str">
        <f>IF(RIGHT(J7,9)="VEINTIUNO",LEFT(J7,LEN(J7)-9)&amp;"VEINTIÚN",IF(RIGHT(J7,3)="UNO",LEFT(J7,LEN(J7)-1),J7))</f>
        <v/>
      </c>
      <c r="L7" s="98"/>
      <c r="M7" s="98"/>
      <c r="N7" s="99" t="s">
        <v>130</v>
      </c>
      <c r="O7" s="99" t="s">
        <v>159</v>
      </c>
    </row>
    <row r="8" spans="1:15" ht="19.95" customHeight="1" x14ac:dyDescent="0.3">
      <c r="A8" s="98"/>
      <c r="B8" s="151" t="str">
        <f>IFERROR(UPPER(INDEX(SIM_DEPRECIACIÓN!$B$5:$B$14,MATCH(1,SIM_DEPRECIACIÓN!$Q$5:$Q$14,0))),"")</f>
        <v>CASA PRINCIPAL</v>
      </c>
      <c r="C8" s="100" t="str">
        <f>IF(B8="","","m²")</f>
        <v>m²</v>
      </c>
      <c r="D8" s="198">
        <f>IF(B8="","",INDEX(SIM_DEPRECIACIÓN!$O$5:$O$14,MATCH(1,SIM_DEPRECIACIÓN!$Q$5:$Q$14,0)))</f>
        <v>97</v>
      </c>
      <c r="E8" s="102">
        <f>IF(B8="","",INDEX(SIM_DEPRECIACIÓN!$N$5:$N$14,MATCH(1,SIM_DEPRECIACIÓN!$Q$5:$Q$14,0)))</f>
        <v>722000</v>
      </c>
      <c r="F8" s="155">
        <f>IF(B8="","",MROUND(D8*E8,100))</f>
        <v>70034000</v>
      </c>
      <c r="G8" s="98"/>
      <c r="H8" s="103" t="s">
        <v>123</v>
      </c>
      <c r="I8" s="104">
        <f>MOD(I6,1000)</f>
        <v>437</v>
      </c>
      <c r="J8" s="103" t="str">
        <f>IF(I8=0,"",IF(I8=100,"CIEN",TRIM(CHOOSE(INT(I8/100)+1,"","CIENTO ","DOSCIENTOS ","TRESCIENTOS ","CUATROCIENTOS ","QUINIENTOS ","SEISCIENTOS ","SETECIENTOS ","OCHOCIENTOS ","NOVECIENTOS ")&amp;IF(MOD(I8,100)=0,"",IF(MOD(I8,100)&lt;30,INDEX($N$5:$N$33,MOD(I8,100)),INDEX($O$5:$O$11,INT(MOD(I8,100)/10)-2)&amp;IF(MOD(I8,10)=0,""," Y "&amp;INDEX($N$5:$N$13,MOD(I8,10))))))))</f>
        <v>CUATROCIENTOS TREINTA Y SIETE</v>
      </c>
      <c r="K8" s="103" t="str">
        <f>IF(RIGHT(J8,9)="VEINTIUNO",LEFT(J8,LEN(J8)-9)&amp;"VEINTIÚN",IF(RIGHT(J8,3)="UNO",LEFT(J8,LEN(J8)-1),J8))</f>
        <v>CUATROCIENTOS TREINTA Y SIETE</v>
      </c>
      <c r="L8" s="98"/>
      <c r="M8" s="98"/>
      <c r="N8" s="99" t="s">
        <v>131</v>
      </c>
      <c r="O8" s="99" t="s">
        <v>160</v>
      </c>
    </row>
    <row r="9" spans="1:15" ht="22.05" customHeight="1" thickBot="1" x14ac:dyDescent="0.35">
      <c r="A9" s="98"/>
      <c r="B9" s="162" t="s">
        <v>110</v>
      </c>
      <c r="C9" s="160"/>
      <c r="D9" s="160"/>
      <c r="E9" s="160"/>
      <c r="F9" s="155">
        <f>SUM(F8:F8)</f>
        <v>70034000</v>
      </c>
      <c r="G9" s="98"/>
      <c r="H9" s="103" t="s">
        <v>124</v>
      </c>
      <c r="I9" s="104">
        <f>INT(MOD(I5,10^6)/1000)</f>
        <v>981</v>
      </c>
      <c r="J9" s="103" t="str">
        <f>IF(I9=0,"",IF(I9=100,"CIEN",TRIM(CHOOSE(INT(I9/100)+1,"","CIENTO ","DOSCIENTOS ","TRESCIENTOS ","CUATROCIENTOS ","QUINIENTOS ","SEISCIENTOS ","SETECIENTOS ","OCHOCIENTOS ","NOVECIENTOS ")&amp;IF(MOD(I9,100)=0,"",IF(MOD(I9,100)&lt;30,INDEX($N$5:$N$33,MOD(I9,100)),INDEX($O$5:$O$11,INT(MOD(I9,100)/10)-2)&amp;IF(MOD(I9,10)=0,""," Y "&amp;INDEX($N$5:$N$13,MOD(I9,10))))))))</f>
        <v>NOVECIENTOS OCHENTA Y UNO</v>
      </c>
      <c r="K9" s="103" t="str">
        <f>IF(RIGHT(J9,9)="VEINTIUNO",LEFT(J9,LEN(J9)-9)&amp;"VEINTIÚN",IF(RIGHT(J9,3)="UNO",LEFT(J9,LEN(J9)-1),J9))</f>
        <v>NOVECIENTOS OCHENTA Y UN</v>
      </c>
      <c r="L9" s="98"/>
      <c r="M9" s="98"/>
      <c r="N9" s="99" t="s">
        <v>132</v>
      </c>
      <c r="O9" s="99" t="s">
        <v>161</v>
      </c>
    </row>
    <row r="10" spans="1:15" ht="18" customHeight="1" x14ac:dyDescent="0.3">
      <c r="A10" s="98"/>
      <c r="B10" s="149" t="s">
        <v>111</v>
      </c>
      <c r="C10" s="147"/>
      <c r="D10" s="147"/>
      <c r="E10" s="147"/>
      <c r="F10" s="153"/>
      <c r="G10" s="98"/>
      <c r="H10" s="103" t="s">
        <v>125</v>
      </c>
      <c r="I10" s="104">
        <f>MOD(I5,1000)</f>
        <v>400</v>
      </c>
      <c r="J10" s="103" t="str">
        <f>IF(I10=0,"",IF(I10=100,"CIEN",TRIM(CHOOSE(INT(I10/100)+1,"","CIENTO ","DOSCIENTOS ","TRESCIENTOS ","CUATROCIENTOS ","QUINIENTOS ","SEISCIENTOS ","SETECIENTOS ","OCHOCIENTOS ","NOVECIENTOS ")&amp;IF(MOD(I10,100)=0,"",IF(MOD(I10,100)&lt;30,INDEX($N$5:$N$33,MOD(I10,100)),INDEX($O$5:$O$11,INT(MOD(I10,100)/10)-2)&amp;IF(MOD(I10,10)=0,""," Y "&amp;INDEX($N$5:$N$13,MOD(I10,10))))))))</f>
        <v>CUATROCIENTOS</v>
      </c>
      <c r="K10" s="103"/>
      <c r="L10" s="98"/>
      <c r="M10" s="98"/>
      <c r="N10" s="99" t="s">
        <v>133</v>
      </c>
      <c r="O10" s="99" t="s">
        <v>162</v>
      </c>
    </row>
    <row r="11" spans="1:15" ht="25.95" customHeight="1" x14ac:dyDescent="0.3">
      <c r="A11" s="98"/>
      <c r="B11" s="150" t="s">
        <v>103</v>
      </c>
      <c r="C11" s="143" t="s">
        <v>104</v>
      </c>
      <c r="D11" s="143" t="s">
        <v>105</v>
      </c>
      <c r="E11" s="143" t="s">
        <v>106</v>
      </c>
      <c r="F11" s="154" t="s">
        <v>107</v>
      </c>
      <c r="G11" s="98"/>
      <c r="H11" s="98"/>
      <c r="I11" s="98"/>
      <c r="J11" s="98"/>
      <c r="K11" s="98"/>
      <c r="L11" s="98"/>
      <c r="M11" s="98"/>
      <c r="N11" s="99" t="s">
        <v>134</v>
      </c>
      <c r="O11" s="99" t="s">
        <v>163</v>
      </c>
    </row>
    <row r="12" spans="1:15" ht="19.95" customHeight="1" x14ac:dyDescent="0.3">
      <c r="A12" s="98"/>
      <c r="B12" s="241" t="str">
        <f>IFERROR(UPPER(INDEX(SIM_DEPRECIACIÓN!$B$5:$B$14,MATCH((ROWS($B$12:$B12)+1),SIM_DEPRECIACIÓN!$Q$5:$Q$14,0))),"")</f>
        <v>CASA PEQUEÑA</v>
      </c>
      <c r="C12" s="201" t="str">
        <f>IF(B12="","","m²")</f>
        <v>m²</v>
      </c>
      <c r="D12" s="198">
        <f>IF(B12="","",INDEX(SIM_DEPRECIACIÓN!$O$5:$O$14,MATCH((ROWS($B$12:$B12)+1),SIM_DEPRECIACIÓN!$Q$5:$Q$14,0)))</f>
        <v>53</v>
      </c>
      <c r="E12" s="102">
        <f>IF(B12="","",INDEX(SIM_DEPRECIACIÓN!$N$5:$N$14,MATCH((ROWS($B$12:$B12)+1),SIM_DEPRECIACIÓN!$Q$5:$Q$14,0)))</f>
        <v>573000</v>
      </c>
      <c r="F12" s="155">
        <f>IF(B12="","",MROUND(D12*E12,100))</f>
        <v>30369000</v>
      </c>
      <c r="G12" s="98"/>
      <c r="H12" s="98"/>
      <c r="I12" s="98"/>
      <c r="J12" s="98"/>
      <c r="K12" s="98"/>
      <c r="L12" s="98"/>
      <c r="M12" s="98"/>
      <c r="N12" s="99" t="s">
        <v>135</v>
      </c>
      <c r="O12" s="99"/>
    </row>
    <row r="13" spans="1:15" ht="19.95" customHeight="1" x14ac:dyDescent="0.3">
      <c r="A13" s="98"/>
      <c r="B13" s="241" t="str">
        <f>IFERROR(UPPER(INDEX(SIM_DEPRECIACIÓN!$B$5:$B$14,MATCH((ROWS($B$12:$B13)+1),SIM_DEPRECIACIÓN!$Q$5:$Q$14,0))),"")</f>
        <v>BODEGA AUXILIAR</v>
      </c>
      <c r="C13" s="201" t="str">
        <f>IF(B13="","","m²")</f>
        <v>m²</v>
      </c>
      <c r="D13" s="198">
        <f>IF(B13="","",INDEX(SIM_DEPRECIACIÓN!$O$5:$O$14,MATCH((ROWS($B$12:$B13)+1),SIM_DEPRECIACIÓN!$Q$5:$Q$14,0)))</f>
        <v>28</v>
      </c>
      <c r="E13" s="102">
        <f>IF(B13="","",INDEX(SIM_DEPRECIACIÓN!$N$5:$N$14,MATCH((ROWS($B$12:$B13)+1),SIM_DEPRECIACIÓN!$Q$5:$Q$14,0)))</f>
        <v>317000</v>
      </c>
      <c r="F13" s="155">
        <f>IF(B13="","",MROUND(D13*E13,100))</f>
        <v>8876000</v>
      </c>
      <c r="G13" s="98"/>
      <c r="H13" s="98"/>
      <c r="I13" s="98"/>
      <c r="J13" s="98"/>
      <c r="K13" s="98"/>
      <c r="L13" s="98"/>
      <c r="M13" s="98"/>
      <c r="N13" s="99" t="s">
        <v>136</v>
      </c>
      <c r="O13" s="99"/>
    </row>
    <row r="14" spans="1:15" ht="19.95" customHeight="1" x14ac:dyDescent="0.3">
      <c r="A14" s="98"/>
      <c r="B14" s="241" t="str">
        <f>IFERROR(UPPER(INDEX(SIM_DEPRECIACIÓN!$B$5:$B$14,MATCH((ROWS($B$12:$B14)+1),SIM_DEPRECIACIÓN!$Q$5:$Q$14,0))),"")</f>
        <v>CUARTO ÚTIL</v>
      </c>
      <c r="C14" s="201" t="str">
        <f>IF(B14="","","m²")</f>
        <v>m²</v>
      </c>
      <c r="D14" s="198">
        <f>IF(B14="","",INDEX(SIM_DEPRECIACIÓN!$O$5:$O$14,MATCH((ROWS($B$12:$B14)+1),SIM_DEPRECIACIÓN!$Q$5:$Q$14,0)))</f>
        <v>17</v>
      </c>
      <c r="E14" s="102">
        <f>IF(B14="","",INDEX(SIM_DEPRECIACIÓN!$N$5:$N$14,MATCH((ROWS($B$12:$B14)+1),SIM_DEPRECIACIÓN!$Q$5:$Q$14,0)))</f>
        <v>700000</v>
      </c>
      <c r="F14" s="155">
        <f>IF(B14="","",MROUND(D14*E14,100))</f>
        <v>11900000</v>
      </c>
      <c r="G14" s="98"/>
      <c r="H14" s="98"/>
      <c r="I14" s="98"/>
      <c r="J14" s="98"/>
      <c r="K14" s="98"/>
      <c r="L14" s="98"/>
      <c r="M14" s="98"/>
      <c r="N14" s="99" t="s">
        <v>137</v>
      </c>
      <c r="O14" s="99"/>
    </row>
    <row r="15" spans="1:15" ht="19.95" customHeight="1" x14ac:dyDescent="0.3">
      <c r="A15" s="98"/>
      <c r="B15" s="241" t="str">
        <f>IFERROR(UPPER(INDEX(SIM_DEPRECIACIÓN!$B$5:$B$14,MATCH((ROWS($B$12:$B15)+1),SIM_DEPRECIACIÓN!$Q$5:$Q$14,0))),"")</f>
        <v/>
      </c>
      <c r="C15" s="201" t="str">
        <f>IF(B15="","","m²")</f>
        <v/>
      </c>
      <c r="D15" s="198" t="str">
        <f>IF(B15="","",INDEX(SIM_DEPRECIACIÓN!$O$5:$O$14,MATCH((ROWS($B$12:$B15)+1),SIM_DEPRECIACIÓN!$Q$5:$Q$14,0)))</f>
        <v/>
      </c>
      <c r="E15" s="102" t="str">
        <f>IF(B15="","",INDEX(SIM_DEPRECIACIÓN!$N$5:$N$14,MATCH((ROWS($B$12:$B15)+1),SIM_DEPRECIACIÓN!$Q$5:$Q$14,0)))</f>
        <v/>
      </c>
      <c r="F15" s="155" t="str">
        <f>IF(B15="","",MROUND(D15*E15,100))</f>
        <v/>
      </c>
      <c r="G15" s="98"/>
      <c r="H15" s="98"/>
      <c r="I15" s="98"/>
      <c r="J15" s="98"/>
      <c r="K15" s="98"/>
      <c r="L15" s="98"/>
      <c r="M15" s="98"/>
      <c r="N15" s="99" t="s">
        <v>138</v>
      </c>
      <c r="O15" s="99"/>
    </row>
    <row r="16" spans="1:15" ht="19.95" customHeight="1" x14ac:dyDescent="0.3">
      <c r="A16" s="98"/>
      <c r="B16" s="241" t="str">
        <f>IFERROR(UPPER(INDEX(SIM_DEPRECIACIÓN!$B$5:$B$14,MATCH((ROWS($B$12:$B16)+1),SIM_DEPRECIACIÓN!$Q$5:$Q$14,0))),"")</f>
        <v/>
      </c>
      <c r="C16" s="201" t="str">
        <f>IF(B16="","","m²")</f>
        <v/>
      </c>
      <c r="D16" s="198" t="str">
        <f>IF(B16="","",INDEX(SIM_DEPRECIACIÓN!$O$5:$O$14,MATCH((ROWS($B$12:$B16)+1),SIM_DEPRECIACIÓN!$Q$5:$Q$14,0)))</f>
        <v/>
      </c>
      <c r="E16" s="102" t="str">
        <f>IF(B16="","",INDEX(SIM_DEPRECIACIÓN!$N$5:$N$14,MATCH((ROWS($B$12:$B16)+1),SIM_DEPRECIACIÓN!$Q$5:$Q$14,0)))</f>
        <v/>
      </c>
      <c r="F16" s="155" t="str">
        <f>IF(B16="","",MROUND(D16*E16,100))</f>
        <v/>
      </c>
      <c r="G16" s="98"/>
      <c r="H16" s="98"/>
      <c r="I16" s="98"/>
      <c r="J16" s="98"/>
      <c r="K16" s="98"/>
      <c r="L16" s="98"/>
      <c r="M16" s="98"/>
      <c r="N16" s="99" t="s">
        <v>139</v>
      </c>
      <c r="O16" s="99"/>
    </row>
    <row r="17" spans="1:15" ht="19.95" customHeight="1" x14ac:dyDescent="0.3">
      <c r="A17" s="98"/>
      <c r="B17" s="203" t="str">
        <f>IFERROR(UPPER(INDEX(SIM_DEPRECIACIÓN!$B$5:$B$14,MATCH((ROWS($B$12:$B17)+1),SIM_DEPRECIACIÓN!$Q$5:$Q$14,0))),"")</f>
        <v/>
      </c>
      <c r="C17" s="202" t="str">
        <f>IF(B17="","","m²")</f>
        <v/>
      </c>
      <c r="D17" s="199" t="str">
        <f>IF(B17="","",INDEX(SIM_DEPRECIACIÓN!$O$5:$O$14,MATCH((ROWS($B$12:$B17)+1),SIM_DEPRECIACIÓN!$Q$5:$Q$14,0)))</f>
        <v/>
      </c>
      <c r="E17" s="200" t="str">
        <f>IF(B17="","",INDEX(SIM_DEPRECIACIÓN!$N$5:$N$14,MATCH((ROWS($B$12:$B17)+1),SIM_DEPRECIACIÓN!$Q$5:$Q$14,0)))</f>
        <v/>
      </c>
      <c r="F17" s="204" t="str">
        <f>IF(B17="","",MROUND(D17*E17,100))</f>
        <v/>
      </c>
      <c r="G17" s="98"/>
      <c r="H17" s="98"/>
      <c r="I17" s="98"/>
      <c r="J17" s="98"/>
      <c r="K17" s="98"/>
      <c r="L17" s="98"/>
      <c r="M17" s="98"/>
      <c r="N17" s="99" t="s">
        <v>140</v>
      </c>
      <c r="O17" s="99"/>
    </row>
    <row r="18" spans="1:15" ht="19.95" customHeight="1" x14ac:dyDescent="0.3">
      <c r="A18" s="98"/>
      <c r="B18" s="203" t="str">
        <f>IFERROR(UPPER(INDEX(SIM_DEPRECIACIÓN!$B$5:$B$14,MATCH((ROWS($B$12:$B18)+1),SIM_DEPRECIACIÓN!$Q$5:$Q$14,0))),"")</f>
        <v/>
      </c>
      <c r="C18" s="202" t="str">
        <f>IF(B18="","","m²")</f>
        <v/>
      </c>
      <c r="D18" s="199" t="str">
        <f>IF(B18="","",INDEX(SIM_DEPRECIACIÓN!$O$5:$O$14,MATCH((ROWS($B$12:$B18)+1),SIM_DEPRECIACIÓN!$Q$5:$Q$14,0)))</f>
        <v/>
      </c>
      <c r="E18" s="200" t="str">
        <f>IF(B18="","",INDEX(SIM_DEPRECIACIÓN!$N$5:$N$14,MATCH((ROWS($B$12:$B18)+1),SIM_DEPRECIACIÓN!$Q$5:$Q$14,0)))</f>
        <v/>
      </c>
      <c r="F18" s="204" t="str">
        <f>IF(B18="","",MROUND(D18*E18,100))</f>
        <v/>
      </c>
      <c r="G18" s="98"/>
      <c r="H18" s="98"/>
      <c r="I18" s="98"/>
      <c r="J18" s="98"/>
      <c r="K18" s="98"/>
      <c r="L18" s="98"/>
      <c r="M18" s="98"/>
      <c r="N18" s="99" t="s">
        <v>141</v>
      </c>
      <c r="O18" s="99"/>
    </row>
    <row r="19" spans="1:15" ht="19.95" customHeight="1" x14ac:dyDescent="0.3">
      <c r="A19" s="98"/>
      <c r="B19" s="203" t="str">
        <f>IFERROR(UPPER(INDEX(SIM_DEPRECIACIÓN!$B$5:$B$14,MATCH((ROWS($B$12:$B19)+1),SIM_DEPRECIACIÓN!$Q$5:$Q$14,0))),"")</f>
        <v/>
      </c>
      <c r="C19" s="202" t="str">
        <f>IF(B19="","","m²")</f>
        <v/>
      </c>
      <c r="D19" s="199" t="str">
        <f>IF(B19="","",INDEX(SIM_DEPRECIACIÓN!$O$5:$O$14,MATCH((ROWS($B$12:$B19)+1),SIM_DEPRECIACIÓN!$Q$5:$Q$14,0)))</f>
        <v/>
      </c>
      <c r="E19" s="200" t="str">
        <f>IF(B19="","",INDEX(SIM_DEPRECIACIÓN!$N$5:$N$14,MATCH((ROWS($B$12:$B19)+1),SIM_DEPRECIACIÓN!$Q$5:$Q$14,0)))</f>
        <v/>
      </c>
      <c r="F19" s="204" t="str">
        <f>IF(B19="","",MROUND(D19*E19,100))</f>
        <v/>
      </c>
      <c r="G19" s="98"/>
      <c r="H19" s="98"/>
      <c r="I19" s="98"/>
      <c r="J19" s="98"/>
      <c r="K19" s="98"/>
      <c r="L19" s="98"/>
      <c r="M19" s="98"/>
      <c r="N19" s="99" t="s">
        <v>142</v>
      </c>
      <c r="O19" s="99"/>
    </row>
    <row r="20" spans="1:15" ht="19.95" customHeight="1" x14ac:dyDescent="0.3">
      <c r="A20" s="98"/>
      <c r="B20" s="203" t="str">
        <f>IFERROR(UPPER(INDEX(SIM_DEPRECIACIÓN!$B$5:$B$14,MATCH((ROWS($B$12:$B20)+1),SIM_DEPRECIACIÓN!$Q$5:$Q$14,0))),"")</f>
        <v/>
      </c>
      <c r="C20" s="202" t="str">
        <f>IF(B20="","","m²")</f>
        <v/>
      </c>
      <c r="D20" s="199" t="str">
        <f>IF(B20="","",INDEX(SIM_DEPRECIACIÓN!$O$5:$O$14,MATCH((ROWS($B$12:$B20)+1),SIM_DEPRECIACIÓN!$Q$5:$Q$14,0)))</f>
        <v/>
      </c>
      <c r="E20" s="200" t="str">
        <f>IF(B20="","",INDEX(SIM_DEPRECIACIÓN!$N$5:$N$14,MATCH((ROWS($B$12:$B20)+1),SIM_DEPRECIACIÓN!$Q$5:$Q$14,0)))</f>
        <v/>
      </c>
      <c r="F20" s="204" t="str">
        <f>IF(B20="","",MROUND(D20*E20,100))</f>
        <v/>
      </c>
      <c r="G20" s="98"/>
      <c r="H20" s="98"/>
      <c r="I20" s="98"/>
      <c r="J20" s="98"/>
      <c r="K20" s="98"/>
      <c r="L20" s="98"/>
      <c r="M20" s="98"/>
      <c r="N20" s="99" t="s">
        <v>143</v>
      </c>
      <c r="O20" s="99"/>
    </row>
    <row r="21" spans="1:15" ht="22.05" customHeight="1" x14ac:dyDescent="0.3">
      <c r="A21" s="98"/>
      <c r="B21" s="162" t="s">
        <v>112</v>
      </c>
      <c r="C21" s="160"/>
      <c r="D21" s="160"/>
      <c r="E21" s="160"/>
      <c r="F21" s="155">
        <f>MROUND(SUM(F12:F20),100)</f>
        <v>51145000</v>
      </c>
      <c r="G21" s="98"/>
      <c r="H21" s="98"/>
      <c r="I21" s="98"/>
      <c r="J21" s="98"/>
      <c r="K21" s="98"/>
      <c r="L21" s="98"/>
      <c r="M21" s="98"/>
      <c r="N21" s="99" t="s">
        <v>144</v>
      </c>
      <c r="O21" s="99"/>
    </row>
    <row r="22" spans="1:15" x14ac:dyDescent="0.3">
      <c r="A22" s="98"/>
      <c r="B22" s="152" t="s">
        <v>113</v>
      </c>
      <c r="C22" s="142"/>
      <c r="D22" s="142"/>
      <c r="E22" s="142"/>
      <c r="F22" s="156">
        <f>MROUND(F5+F9+F21,100)</f>
        <v>437981400</v>
      </c>
      <c r="G22" s="98"/>
      <c r="H22" s="98"/>
      <c r="I22" s="98"/>
      <c r="J22" s="98"/>
      <c r="K22" s="98"/>
      <c r="L22" s="98"/>
      <c r="M22" s="98"/>
      <c r="N22" s="99" t="s">
        <v>145</v>
      </c>
      <c r="O22" s="99"/>
    </row>
    <row r="23" spans="1:15" ht="61.95" customHeight="1" x14ac:dyDescent="0.3">
      <c r="A23" s="98"/>
      <c r="B23" s="242" t="s">
        <v>114</v>
      </c>
      <c r="C23" s="144" t="str">
        <f>TRIM(IF(I6=0,"",IF(I7=0,"",IF(I7=1,"",K7&amp;" ")&amp;"MIL ")&amp;IF(I8=0,"",K8&amp;" ")&amp;IF(I6=1,"MILLÓN ","MILLONES "))&amp;IF(I9=0,"",IF(I9=1,"",K9&amp;" ")&amp;"MIL ")&amp;J10)&amp;IF(I5=0,"CERO","")&amp;" PESOS MLV"</f>
        <v>CUATROCIENTOS TREINTA Y SIETE MILLONES NOVECIENTOS OCHENTA Y UN MIL CUATROCIENTOS PESOS MLV</v>
      </c>
      <c r="D23" s="144"/>
      <c r="E23" s="144"/>
      <c r="F23" s="157"/>
      <c r="G23" s="98"/>
      <c r="H23" s="98"/>
      <c r="I23" s="98"/>
      <c r="J23" s="98"/>
      <c r="K23" s="98"/>
      <c r="L23" s="98"/>
      <c r="M23" s="98"/>
      <c r="N23" s="99" t="s">
        <v>146</v>
      </c>
      <c r="O23" s="99"/>
    </row>
    <row r="24" spans="1:15" x14ac:dyDescent="0.3">
      <c r="A24" s="98"/>
      <c r="B24" s="242"/>
      <c r="C24" s="144"/>
      <c r="D24" s="144"/>
      <c r="E24" s="144"/>
      <c r="F24" s="157"/>
      <c r="G24" s="98"/>
      <c r="H24" s="98"/>
      <c r="I24" s="98"/>
      <c r="J24" s="98"/>
      <c r="K24" s="98"/>
      <c r="L24" s="98"/>
      <c r="M24" s="98"/>
      <c r="N24" s="99" t="s">
        <v>147</v>
      </c>
      <c r="O24" s="99"/>
    </row>
    <row r="25" spans="1:15" ht="15" thickBot="1" x14ac:dyDescent="0.35">
      <c r="A25" s="98"/>
      <c r="B25" s="243"/>
      <c r="C25" s="148"/>
      <c r="D25" s="148"/>
      <c r="E25" s="148"/>
      <c r="F25" s="158"/>
      <c r="G25" s="98"/>
      <c r="H25" s="98"/>
      <c r="I25" s="98"/>
      <c r="J25" s="98"/>
      <c r="K25" s="98"/>
      <c r="L25" s="98"/>
      <c r="M25" s="98"/>
      <c r="N25" s="99" t="s">
        <v>148</v>
      </c>
      <c r="O25" s="99"/>
    </row>
    <row r="26" spans="1:15" x14ac:dyDescent="0.3">
      <c r="A26" s="98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9" t="s">
        <v>149</v>
      </c>
      <c r="O26" s="99"/>
    </row>
    <row r="27" spans="1:15" ht="36" customHeight="1" x14ac:dyDescent="0.3">
      <c r="A27" s="98"/>
      <c r="B27" s="244" t="s">
        <v>231</v>
      </c>
      <c r="C27" s="245"/>
      <c r="D27" s="245"/>
      <c r="E27" s="245"/>
      <c r="F27" s="246"/>
      <c r="G27" s="98"/>
      <c r="H27" s="98"/>
      <c r="I27" s="98"/>
      <c r="J27" s="98"/>
      <c r="K27" s="98"/>
      <c r="L27" s="98"/>
      <c r="M27" s="98"/>
      <c r="N27" s="99" t="s">
        <v>150</v>
      </c>
      <c r="O27" s="99"/>
    </row>
    <row r="28" spans="1:15" x14ac:dyDescent="0.3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9" t="s">
        <v>151</v>
      </c>
      <c r="O28" s="99"/>
    </row>
    <row r="29" spans="1:15" x14ac:dyDescent="0.3">
      <c r="A29" s="98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9" t="s">
        <v>152</v>
      </c>
      <c r="O29" s="99"/>
    </row>
    <row r="30" spans="1:15" x14ac:dyDescent="0.3">
      <c r="A30" s="98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9" t="s">
        <v>153</v>
      </c>
      <c r="O30" s="99"/>
    </row>
    <row r="31" spans="1:15" x14ac:dyDescent="0.3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9" t="s">
        <v>154</v>
      </c>
      <c r="O31" s="99"/>
    </row>
    <row r="32" spans="1:15" x14ac:dyDescent="0.3">
      <c r="A32" s="98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9" t="s">
        <v>155</v>
      </c>
      <c r="O32" s="99"/>
    </row>
    <row r="33" spans="1:15" x14ac:dyDescent="0.3">
      <c r="A33" s="98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9" t="s">
        <v>156</v>
      </c>
      <c r="O33" s="99"/>
    </row>
    <row r="34" spans="1:15" x14ac:dyDescent="0.3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</row>
    <row r="35" spans="1:15" x14ac:dyDescent="0.3">
      <c r="A35" s="98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</row>
    <row r="36" spans="1:15" x14ac:dyDescent="0.3">
      <c r="A36" s="98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spans="1:15" x14ac:dyDescent="0.3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</row>
    <row r="38" spans="1:15" x14ac:dyDescent="0.3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</row>
    <row r="39" spans="1:15" x14ac:dyDescent="0.3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</row>
    <row r="40" spans="1:15" x14ac:dyDescent="0.3">
      <c r="A40" s="98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</row>
    <row r="41" spans="1:15" x14ac:dyDescent="0.3">
      <c r="B41" s="98"/>
      <c r="C41" s="98"/>
      <c r="D41" s="98"/>
      <c r="E41" s="98"/>
      <c r="F41" s="98"/>
    </row>
    <row r="42" spans="1:15" x14ac:dyDescent="0.3">
      <c r="B42" s="98"/>
      <c r="C42" s="98"/>
      <c r="D42" s="98"/>
      <c r="E42" s="98"/>
      <c r="F42" s="98"/>
    </row>
    <row r="43" spans="1:15" x14ac:dyDescent="0.3">
      <c r="B43" s="98"/>
      <c r="C43" s="98"/>
      <c r="D43" s="98"/>
      <c r="E43" s="98"/>
      <c r="F43" s="98"/>
    </row>
    <row r="44" spans="1:15" x14ac:dyDescent="0.3">
      <c r="B44" s="98"/>
      <c r="C44" s="98"/>
      <c r="D44" s="98"/>
      <c r="E44" s="98"/>
      <c r="F44" s="98"/>
    </row>
  </sheetData>
  <mergeCells count="11">
    <mergeCell ref="B21:E21"/>
    <mergeCell ref="B22:E22"/>
    <mergeCell ref="B23:B25"/>
    <mergeCell ref="C23:F25"/>
    <mergeCell ref="B27:F27"/>
    <mergeCell ref="B2:F2"/>
    <mergeCell ref="B3:F3"/>
    <mergeCell ref="H3:K3"/>
    <mergeCell ref="B6:F6"/>
    <mergeCell ref="B9:E9"/>
    <mergeCell ref="B10:F1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60E6-AA4E-4C63-8748-ACF9EF0657E8}">
  <sheetPr>
    <tabColor rgb="FFED7D31"/>
  </sheetPr>
  <dimension ref="A1:S50"/>
  <sheetViews>
    <sheetView showGridLines="0" topLeftCell="C1" workbookViewId="0">
      <selection activeCell="C17" sqref="C17"/>
    </sheetView>
  </sheetViews>
  <sheetFormatPr baseColWidth="10" defaultRowHeight="14.4" x14ac:dyDescent="0.3"/>
  <cols>
    <col min="1" max="1" width="55.5546875" customWidth="1"/>
    <col min="2" max="2" width="14.6640625" customWidth="1"/>
    <col min="3" max="3" width="10.77734375" customWidth="1"/>
    <col min="4" max="4" width="14.77734375" customWidth="1"/>
    <col min="5" max="5" width="15.6640625" customWidth="1"/>
    <col min="6" max="6" width="13.5546875" customWidth="1"/>
    <col min="7" max="7" width="14.88671875" customWidth="1"/>
    <col min="8" max="11" width="18.5546875" customWidth="1"/>
    <col min="12" max="12" width="24.109375" customWidth="1"/>
    <col min="13" max="13" width="4.6640625" customWidth="1"/>
    <col min="14" max="19" width="19.44140625" customWidth="1"/>
  </cols>
  <sheetData>
    <row r="1" spans="1:19" ht="34.049999999999997" customHeight="1" x14ac:dyDescent="0.3">
      <c r="A1" s="214" t="s">
        <v>325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5"/>
      <c r="M1" s="210"/>
      <c r="N1" s="210"/>
      <c r="O1" s="210"/>
      <c r="P1" s="210"/>
      <c r="Q1" s="210"/>
      <c r="R1" s="210"/>
    </row>
    <row r="2" spans="1:19" ht="19.95" customHeight="1" thickBot="1" x14ac:dyDescent="0.35">
      <c r="A2" s="217" t="s">
        <v>330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6"/>
      <c r="M2" s="210"/>
      <c r="N2" s="210"/>
      <c r="O2" s="210"/>
      <c r="P2" s="210"/>
      <c r="Q2" s="210"/>
      <c r="R2" s="210"/>
    </row>
    <row r="3" spans="1:19" ht="15" thickBot="1" x14ac:dyDescent="0.35">
      <c r="A3" s="210"/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210"/>
      <c r="R3" s="210"/>
    </row>
    <row r="4" spans="1:19" ht="18" customHeight="1" x14ac:dyDescent="0.3">
      <c r="A4" s="218" t="s">
        <v>177</v>
      </c>
      <c r="B4" s="223">
        <f>SIM_COMBINACIONES!B5</f>
        <v>0.1</v>
      </c>
      <c r="C4" s="210"/>
      <c r="D4" s="256" t="s">
        <v>287</v>
      </c>
      <c r="E4" s="254"/>
      <c r="F4" s="256" t="s">
        <v>288</v>
      </c>
      <c r="G4" s="254"/>
      <c r="H4" s="256" t="s">
        <v>289</v>
      </c>
      <c r="I4" s="254"/>
      <c r="J4" s="256" t="s">
        <v>290</v>
      </c>
      <c r="K4" s="254"/>
      <c r="L4" s="259" t="s">
        <v>291</v>
      </c>
      <c r="M4" s="210"/>
      <c r="N4" s="210"/>
      <c r="O4" s="210"/>
      <c r="P4" s="210"/>
      <c r="Q4" s="210"/>
      <c r="R4" s="210"/>
    </row>
    <row r="5" spans="1:19" ht="16.95" customHeight="1" x14ac:dyDescent="0.3">
      <c r="A5" s="218" t="s">
        <v>180</v>
      </c>
      <c r="B5" s="221">
        <f>SIM_COMBINACIONES!B8</f>
        <v>4</v>
      </c>
      <c r="C5" s="210"/>
      <c r="D5" s="262">
        <f>D18</f>
        <v>25566800.595238093</v>
      </c>
      <c r="E5" s="253"/>
      <c r="F5" s="262">
        <f>D19</f>
        <v>27133300.595238093</v>
      </c>
      <c r="G5" s="253"/>
      <c r="H5" s="262">
        <f>D20</f>
        <v>1566500</v>
      </c>
      <c r="I5" s="253"/>
      <c r="J5" s="263">
        <f>MIN(F12:F14)</f>
        <v>6.4526024165430018E-2</v>
      </c>
      <c r="K5" s="253"/>
      <c r="L5" s="264" t="str">
        <f>IF(B8&gt;0,"CUMPLE","NO CUMPLE")</f>
        <v>CUMPLE</v>
      </c>
      <c r="M5" s="210"/>
      <c r="N5" s="210"/>
      <c r="O5" s="210"/>
      <c r="P5" s="210"/>
      <c r="Q5" s="210"/>
      <c r="R5" s="210"/>
    </row>
    <row r="6" spans="1:19" ht="16.95" customHeight="1" x14ac:dyDescent="0.3">
      <c r="A6" s="218" t="s">
        <v>254</v>
      </c>
      <c r="B6" s="224">
        <f>SIM_MERCADO!H14</f>
        <v>26400225.446428571</v>
      </c>
      <c r="C6" s="210"/>
      <c r="D6" s="257"/>
      <c r="E6" s="253"/>
      <c r="F6" s="257"/>
      <c r="G6" s="253"/>
      <c r="H6" s="257"/>
      <c r="I6" s="253"/>
      <c r="J6" s="257"/>
      <c r="K6" s="253"/>
      <c r="L6" s="260"/>
      <c r="M6" s="210"/>
      <c r="N6" s="210"/>
      <c r="O6" s="210"/>
      <c r="P6" s="210"/>
      <c r="Q6" s="210"/>
      <c r="R6" s="210"/>
    </row>
    <row r="7" spans="1:19" ht="16.95" customHeight="1" x14ac:dyDescent="0.3">
      <c r="A7" s="218" t="s">
        <v>255</v>
      </c>
      <c r="B7" s="222">
        <f>SIM_MERCADO!H16</f>
        <v>8.1176481231622605E-2</v>
      </c>
      <c r="C7" s="210"/>
      <c r="D7" s="257"/>
      <c r="E7" s="253"/>
      <c r="F7" s="257"/>
      <c r="G7" s="253"/>
      <c r="H7" s="257"/>
      <c r="I7" s="253"/>
      <c r="J7" s="257"/>
      <c r="K7" s="253"/>
      <c r="L7" s="260"/>
      <c r="M7" s="210"/>
      <c r="N7" s="210"/>
      <c r="O7" s="210"/>
      <c r="P7" s="210"/>
      <c r="Q7" s="210"/>
      <c r="R7" s="210"/>
    </row>
    <row r="8" spans="1:19" ht="18" customHeight="1" thickBot="1" x14ac:dyDescent="0.35">
      <c r="A8" s="218" t="s">
        <v>256</v>
      </c>
      <c r="B8" s="225">
        <f>COUNTIF(L12:L14,"SÍ")</f>
        <v>3</v>
      </c>
      <c r="C8" s="210"/>
      <c r="D8" s="258" t="str">
        <f>B18&amp;" · ofertas "&amp;C18</f>
        <v>Combinación 2 · ofertas 1, 3, 2</v>
      </c>
      <c r="E8" s="255"/>
      <c r="F8" s="258" t="str">
        <f>B19&amp;" · ofertas "&amp;C19</f>
        <v>Combinación 3 · ofertas 3, 2, 4</v>
      </c>
      <c r="G8" s="255"/>
      <c r="H8" s="258" t="str">
        <f>"Equivale a "&amp;ROUND(F20*100,1)&amp;"% de la referencia baja"</f>
        <v>Equivale a 6,1% de la referencia baja</v>
      </c>
      <c r="I8" s="255"/>
      <c r="J8" s="258" t="str">
        <f>"Máximo admisible: "&amp;ROUND(B4*100,1)&amp;"%"</f>
        <v>Máximo admisible: 10%</v>
      </c>
      <c r="K8" s="255"/>
      <c r="L8" s="261" t="str">
        <f>B8&amp;" de 3 combinaciones cumplen"</f>
        <v>3 de 3 combinaciones cumplen</v>
      </c>
      <c r="M8" s="210"/>
      <c r="N8" s="210"/>
      <c r="O8" s="210"/>
      <c r="P8" s="210"/>
      <c r="Q8" s="210"/>
      <c r="R8" s="210"/>
    </row>
    <row r="9" spans="1:19" x14ac:dyDescent="0.3">
      <c r="A9" s="210"/>
      <c r="B9" s="210"/>
      <c r="C9" s="210"/>
      <c r="D9" s="210"/>
      <c r="E9" s="210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</row>
    <row r="10" spans="1:19" x14ac:dyDescent="0.3">
      <c r="A10" s="211" t="s">
        <v>257</v>
      </c>
      <c r="B10" s="211"/>
      <c r="C10" s="211"/>
      <c r="D10" s="211"/>
      <c r="E10" s="211"/>
      <c r="F10" s="211"/>
      <c r="G10" s="211"/>
      <c r="H10" s="211"/>
      <c r="I10" s="211"/>
      <c r="J10" s="211"/>
      <c r="K10" s="211"/>
      <c r="L10" s="211"/>
      <c r="M10" s="210"/>
      <c r="N10" s="247" t="s">
        <v>281</v>
      </c>
      <c r="O10" s="247"/>
      <c r="P10" s="247"/>
      <c r="Q10" s="247"/>
      <c r="R10" s="247"/>
      <c r="S10" s="247"/>
    </row>
    <row r="11" spans="1:19" s="70" customFormat="1" ht="61.95" customHeight="1" x14ac:dyDescent="0.25">
      <c r="A11" s="130" t="s">
        <v>64</v>
      </c>
      <c r="B11" s="130" t="s">
        <v>185</v>
      </c>
      <c r="C11" s="130" t="s">
        <v>197</v>
      </c>
      <c r="D11" s="130" t="s">
        <v>181</v>
      </c>
      <c r="E11" s="130" t="s">
        <v>65</v>
      </c>
      <c r="F11" s="130" t="s">
        <v>66</v>
      </c>
      <c r="G11" s="130" t="s">
        <v>258</v>
      </c>
      <c r="H11" s="130" t="s">
        <v>259</v>
      </c>
      <c r="I11" s="130" t="s">
        <v>260</v>
      </c>
      <c r="J11" s="130" t="s">
        <v>261</v>
      </c>
      <c r="K11" s="130" t="s">
        <v>262</v>
      </c>
      <c r="L11" s="130" t="s">
        <v>263</v>
      </c>
      <c r="M11" s="210"/>
      <c r="N11" s="248" t="s">
        <v>269</v>
      </c>
      <c r="O11" s="248" t="s">
        <v>282</v>
      </c>
      <c r="P11" s="248" t="s">
        <v>283</v>
      </c>
      <c r="Q11" s="248" t="s">
        <v>284</v>
      </c>
      <c r="R11" s="248" t="s">
        <v>285</v>
      </c>
      <c r="S11" s="248" t="s">
        <v>270</v>
      </c>
    </row>
    <row r="12" spans="1:19" ht="24" customHeight="1" x14ac:dyDescent="0.3">
      <c r="A12" s="228" t="str">
        <f>IF(SIM_COMBINACIONES!$O13="","",SIM_COMBINACIONES!A13)</f>
        <v>Combinación 1</v>
      </c>
      <c r="B12" s="220" t="str">
        <f>IF(SIM_COMBINACIONES!$O13="","",SIM_COMBINACIONES!C13)</f>
        <v>1, 3, 2, 4</v>
      </c>
      <c r="C12" s="221">
        <f>IF(SIM_COMBINACIONES!$O13="","",SIM_COMBINACIONES!B13)</f>
        <v>4</v>
      </c>
      <c r="D12" s="226">
        <f>IF(SIM_COMBINACIONES!$O13="","",SIM_COMBINACIONES!F13)</f>
        <v>26400225.446428571</v>
      </c>
      <c r="E12" s="226">
        <f>IF(SIM_COMBINACIONES!$O13="","",SIM_COMBINACIONES!G13)</f>
        <v>2143077.4054626143</v>
      </c>
      <c r="F12" s="227">
        <f>IF(SIM_COMBINACIONES!$O13="","",SIM_COMBINACIONES!H13)</f>
        <v>8.1176481231622605E-2</v>
      </c>
      <c r="G12" s="226">
        <f>IF(SIM_COMBINACIONES!$O13="","",SIM_COMBINACIONES!I13)</f>
        <v>24257148.040965956</v>
      </c>
      <c r="H12" s="226">
        <f>IF(SIM_COMBINACIONES!$O13="","",SIM_COMBINACIONES!J13)</f>
        <v>28543302.851891186</v>
      </c>
      <c r="I12" s="229">
        <f>IF(SIM_COMBINACIONES!$O13="","",D12*(1-$B$4))</f>
        <v>23760202.901785713</v>
      </c>
      <c r="J12" s="229">
        <f>IF(SIM_COMBINACIONES!$O13="","",D12*(1+$B$4))</f>
        <v>29040247.991071429</v>
      </c>
      <c r="K12" s="219">
        <f>IF(SIM_COMBINACIONES!$O13="","",COUNTIFS(SIM_MERCADO!$H$9:$H$13,"&gt;="&amp;I12,SIM_MERCADO!$H$9:$H$13,"&lt;="&amp;J12))</f>
        <v>4</v>
      </c>
      <c r="L12" s="110" t="str">
        <f>IF(SIM_COMBINACIONES!$O13="","",SIM_COMBINACIONES!L13)</f>
        <v>SÍ</v>
      </c>
      <c r="M12" s="210"/>
      <c r="N12" s="252" t="str">
        <f>IF(AND(9&lt;=SIM_AUX!$C$3,INDEX(SIM_MERCADO!$A:$A,9)&lt;&gt;""),"OFERTA "&amp;TEXT(INDEX(SIM_MERCADO!$A:$A,9),"00"),"")</f>
        <v>OFERTA 01</v>
      </c>
      <c r="O12" s="251">
        <f>IF(OR($D$18="",$D$19=""),NA(),MIN($D$18,$D$19)/1000000)</f>
        <v>25.566800595238092</v>
      </c>
      <c r="P12" s="251">
        <f>IF(OR($D$18="",$D$19=""),NA(),ABS($D$19-$D$18)/1000000)</f>
        <v>1.5665</v>
      </c>
      <c r="Q12" s="251" t="e">
        <f>IF(N12="",NA(),IF(AND(INDEX(SIM_MERCADO!$H:$H,9)/1000000&gt;=MIN($D$18,$D$19)/1000000,INDEX(SIM_MERCADO!$H:$H,9)/1000000&lt;=MAX($D$18,$D$19)/1000000),INDEX(SIM_MERCADO!$H:$H,9)/1000000,NA()))</f>
        <v>#N/A</v>
      </c>
      <c r="R12" s="251">
        <f>IF(N12="",NA(),IF(AND(INDEX(SIM_MERCADO!$H:$H,9)/1000000&gt;=MIN($D$18,$D$19)/1000000,INDEX(SIM_MERCADO!$H:$H,9)/1000000&lt;=MAX($D$18,$D$19)/1000000),NA(),INDEX(SIM_MERCADO!$H:$H,9)/1000000))</f>
        <v>24.201000000000001</v>
      </c>
      <c r="S12" s="251">
        <f>SIM_MERCADO!$H$20/1000000</f>
        <v>26.400200000000002</v>
      </c>
    </row>
    <row r="13" spans="1:19" ht="24" customHeight="1" x14ac:dyDescent="0.3">
      <c r="A13" s="228" t="str">
        <f>IF(SIM_COMBINACIONES!$O14="","",SIM_COMBINACIONES!A14)</f>
        <v>Combinación 2</v>
      </c>
      <c r="B13" s="220" t="str">
        <f>IF(SIM_COMBINACIONES!$O14="","",SIM_COMBINACIONES!C14)</f>
        <v>1, 3, 2</v>
      </c>
      <c r="C13" s="221">
        <f>IF(SIM_COMBINACIONES!$O14="","",SIM_COMBINACIONES!B14)</f>
        <v>3</v>
      </c>
      <c r="D13" s="226">
        <f>IF(SIM_COMBINACIONES!$O14="","",SIM_COMBINACIONES!F14)</f>
        <v>25566800.595238093</v>
      </c>
      <c r="E13" s="226">
        <f>IF(SIM_COMBINACIONES!$O14="","",SIM_COMBINACIONES!G14)</f>
        <v>1649723.9930410637</v>
      </c>
      <c r="F13" s="227">
        <f>IF(SIM_COMBINACIONES!$O14="","",SIM_COMBINACIONES!H14)</f>
        <v>6.4526024165430018E-2</v>
      </c>
      <c r="G13" s="226">
        <f>IF(SIM_COMBINACIONES!$O14="","",SIM_COMBINACIONES!I14)</f>
        <v>23917076.602197029</v>
      </c>
      <c r="H13" s="226">
        <f>IF(SIM_COMBINACIONES!$O14="","",SIM_COMBINACIONES!J14)</f>
        <v>27216524.588279158</v>
      </c>
      <c r="I13" s="229">
        <f>IF(SIM_COMBINACIONES!$O14="","",D13*(1-$B$4))</f>
        <v>23010120.535714284</v>
      </c>
      <c r="J13" s="229">
        <f>IF(SIM_COMBINACIONES!$O14="","",D13*(1+$B$4))</f>
        <v>28123480.654761907</v>
      </c>
      <c r="K13" s="219">
        <f>IF(SIM_COMBINACIONES!$O14="","",COUNTIFS(SIM_MERCADO!$H$9:$H$13,"&gt;="&amp;I13,SIM_MERCADO!$H$9:$H$13,"&lt;="&amp;J13))</f>
        <v>3</v>
      </c>
      <c r="L13" s="110" t="str">
        <f>IF(SIM_COMBINACIONES!$O14="","",SIM_COMBINACIONES!L14)</f>
        <v>SÍ</v>
      </c>
      <c r="M13" s="210"/>
      <c r="N13" s="252" t="str">
        <f>IF(AND(10&lt;=SIM_AUX!$C$3,INDEX(SIM_MERCADO!$A:$A,10)&lt;&gt;""),"OFERTA "&amp;TEXT(INDEX(SIM_MERCADO!$A:$A,10),"00"),"")</f>
        <v>OFERTA 02</v>
      </c>
      <c r="O13" s="251">
        <f>IF(OR($D$18="",$D$19=""),NA(),MIN($D$18,$D$19)/1000000)</f>
        <v>25.566800595238092</v>
      </c>
      <c r="P13" s="251">
        <f>IF(OR($D$18="",$D$19=""),NA(),ABS($D$19-$D$18)/1000000)</f>
        <v>1.5665</v>
      </c>
      <c r="Q13" s="251" t="e">
        <f>IF(N13="",NA(),IF(AND(INDEX(SIM_MERCADO!$H:$H,10)/1000000&gt;=MIN($D$18,$D$19)/1000000,INDEX(SIM_MERCADO!$H:$H,10)/1000000&lt;=MAX($D$18,$D$19)/1000000),INDEX(SIM_MERCADO!$H:$H,10)/1000000,NA()))</f>
        <v>#N/A</v>
      </c>
      <c r="R13" s="251">
        <f>IF(N13="",NA(),IF(AND(INDEX(SIM_MERCADO!$H:$H,10)/1000000&gt;=MIN($D$18,$D$19)/1000000,INDEX(SIM_MERCADO!$H:$H,10)/1000000&lt;=MAX($D$18,$D$19)/1000000),NA(),INDEX(SIM_MERCADO!$H:$H,10)/1000000))</f>
        <v>27.399714285714289</v>
      </c>
      <c r="S13" s="251">
        <f>SIM_MERCADO!$H$20/1000000</f>
        <v>26.400200000000002</v>
      </c>
    </row>
    <row r="14" spans="1:19" ht="24" customHeight="1" x14ac:dyDescent="0.3">
      <c r="A14" s="228" t="str">
        <f>IF(SIM_COMBINACIONES!$O15="","",SIM_COMBINACIONES!A15)</f>
        <v>Combinación 3</v>
      </c>
      <c r="B14" s="220" t="str">
        <f>IF(SIM_COMBINACIONES!$O15="","",SIM_COMBINACIONES!C15)</f>
        <v>3, 2, 4</v>
      </c>
      <c r="C14" s="221">
        <f>IF(SIM_COMBINACIONES!$O15="","",SIM_COMBINACIONES!B15)</f>
        <v>3</v>
      </c>
      <c r="D14" s="226">
        <f>IF(SIM_COMBINACIONES!$O15="","",SIM_COMBINACIONES!F15)</f>
        <v>27133300.595238093</v>
      </c>
      <c r="E14" s="226">
        <f>IF(SIM_COMBINACIONES!$O15="","",SIM_COMBINACIONES!G15)</f>
        <v>1914360.4952813671</v>
      </c>
      <c r="F14" s="227">
        <f>IF(SIM_COMBINACIONES!$O15="","",SIM_COMBINACIONES!H15)</f>
        <v>7.0553911735210653E-2</v>
      </c>
      <c r="G14" s="226">
        <f>IF(SIM_COMBINACIONES!$O15="","",SIM_COMBINACIONES!I15)</f>
        <v>25218940.099956725</v>
      </c>
      <c r="H14" s="226">
        <f>IF(SIM_COMBINACIONES!$O15="","",SIM_COMBINACIONES!J15)</f>
        <v>29047661.090519462</v>
      </c>
      <c r="I14" s="229">
        <f>IF(SIM_COMBINACIONES!$O15="","",D14*(1-$B$4))</f>
        <v>24419970.535714284</v>
      </c>
      <c r="J14" s="229">
        <f>IF(SIM_COMBINACIONES!$O15="","",D14*(1+$B$4))</f>
        <v>29846630.654761907</v>
      </c>
      <c r="K14" s="219">
        <f>IF(SIM_COMBINACIONES!$O15="","",COUNTIFS(SIM_MERCADO!$H$9:$H$13,"&gt;="&amp;I14,SIM_MERCADO!$H$9:$H$13,"&lt;="&amp;J14))</f>
        <v>3</v>
      </c>
      <c r="L14" s="110" t="str">
        <f>IF(SIM_COMBINACIONES!$O15="","",SIM_COMBINACIONES!L15)</f>
        <v>SÍ</v>
      </c>
      <c r="M14" s="210"/>
      <c r="N14" s="252" t="str">
        <f>IF(AND(11&lt;=SIM_AUX!$C$3,INDEX(SIM_MERCADO!$A:$A,11)&lt;&gt;""),"OFERTA "&amp;TEXT(INDEX(SIM_MERCADO!$A:$A,11),"00"),"")</f>
        <v>OFERTA 03</v>
      </c>
      <c r="O14" s="251">
        <f>IF(OR($D$18="",$D$19=""),NA(),MIN($D$18,$D$19)/1000000)</f>
        <v>25.566800595238092</v>
      </c>
      <c r="P14" s="251">
        <f>IF(OR($D$18="",$D$19=""),NA(),ABS($D$19-$D$18)/1000000)</f>
        <v>1.5665</v>
      </c>
      <c r="Q14" s="251" t="e">
        <f>IF(N14="",NA(),IF(AND(INDEX(SIM_MERCADO!$H:$H,11)/1000000&gt;=MIN($D$18,$D$19)/1000000,INDEX(SIM_MERCADO!$H:$H,11)/1000000&lt;=MAX($D$18,$D$19)/1000000),INDEX(SIM_MERCADO!$H:$H,11)/1000000,NA()))</f>
        <v>#N/A</v>
      </c>
      <c r="R14" s="251">
        <f>IF(N14="",NA(),IF(AND(INDEX(SIM_MERCADO!$H:$H,11)/1000000&gt;=MIN($D$18,$D$19)/1000000,INDEX(SIM_MERCADO!$H:$H,11)/1000000&lt;=MAX($D$18,$D$19)/1000000),NA(),INDEX(SIM_MERCADO!$H:$H,11)/1000000))</f>
        <v>25.099687500000002</v>
      </c>
      <c r="S14" s="251">
        <f>SIM_MERCADO!$H$20/1000000</f>
        <v>26.400200000000002</v>
      </c>
    </row>
    <row r="15" spans="1:19" x14ac:dyDescent="0.3">
      <c r="A15" s="210"/>
      <c r="B15" s="210"/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52" t="str">
        <f>IF(AND(12&lt;=SIM_AUX!$C$3,INDEX(SIM_MERCADO!$A:$A,12)&lt;&gt;""),"OFERTA "&amp;TEXT(INDEX(SIM_MERCADO!$A:$A,12),"00"),"")</f>
        <v>OFERTA 04</v>
      </c>
      <c r="O15" s="251">
        <f>IF(OR($D$18="",$D$19=""),NA(),MIN($D$18,$D$19)/1000000)</f>
        <v>25.566800595238092</v>
      </c>
      <c r="P15" s="251">
        <f>IF(OR($D$18="",$D$19=""),NA(),ABS($D$19-$D$18)/1000000)</f>
        <v>1.5665</v>
      </c>
      <c r="Q15" s="251" t="e">
        <f>IF(N15="",NA(),IF(AND(INDEX(SIM_MERCADO!$H:$H,12)/1000000&gt;=MIN($D$18,$D$19)/1000000,INDEX(SIM_MERCADO!$H:$H,12)/1000000&lt;=MAX($D$18,$D$19)/1000000),INDEX(SIM_MERCADO!$H:$H,12)/1000000,NA()))</f>
        <v>#N/A</v>
      </c>
      <c r="R15" s="251">
        <f>IF(N15="",NA(),IF(AND(INDEX(SIM_MERCADO!$H:$H,12)/1000000&gt;=MIN($D$18,$D$19)/1000000,INDEX(SIM_MERCADO!$H:$H,12)/1000000&lt;=MAX($D$18,$D$19)/1000000),NA(),INDEX(SIM_MERCADO!$H:$H,12)/1000000))</f>
        <v>28.900500000000001</v>
      </c>
      <c r="S15" s="251">
        <f>SIM_MERCADO!$H$20/1000000</f>
        <v>26.400200000000002</v>
      </c>
    </row>
    <row r="16" spans="1:19" x14ac:dyDescent="0.3">
      <c r="A16" s="240" t="s">
        <v>264</v>
      </c>
      <c r="B16" s="240"/>
      <c r="C16" s="240"/>
      <c r="D16" s="240"/>
      <c r="E16" s="240"/>
      <c r="F16" s="240"/>
      <c r="G16" s="240"/>
      <c r="H16" s="210"/>
      <c r="I16" s="210"/>
      <c r="J16" s="210"/>
      <c r="K16" s="210"/>
      <c r="L16" s="210"/>
      <c r="M16" s="210"/>
      <c r="N16" s="252" t="str">
        <f>IF(AND(13&lt;=SIM_AUX!$C$3,INDEX(SIM_MERCADO!$A:$A,13)&lt;&gt;""),"OFERTA "&amp;TEXT(INDEX(SIM_MERCADO!$A:$A,13),"00"),"")</f>
        <v/>
      </c>
      <c r="O16" s="251">
        <f>IF(OR($D$18="",$D$19=""),NA(),MIN($D$18,$D$19)/1000000)</f>
        <v>25.566800595238092</v>
      </c>
      <c r="P16" s="251">
        <f>IF(OR($D$18="",$D$19=""),NA(),ABS($D$19-$D$18)/1000000)</f>
        <v>1.5665</v>
      </c>
      <c r="Q16" s="251" t="e">
        <f>IF(N16="",NA(),IF(AND(INDEX(SIM_MERCADO!$H:$H,13)/1000000&gt;=MIN($D$18,$D$19)/1000000,INDEX(SIM_MERCADO!$H:$H,13)/1000000&lt;=MAX($D$18,$D$19)/1000000),INDEX(SIM_MERCADO!$H:$H,13)/1000000,NA()))</f>
        <v>#N/A</v>
      </c>
      <c r="R16" s="251" t="e">
        <f>IF(N16="",NA(),IF(AND(INDEX(SIM_MERCADO!$H:$H,13)/1000000&gt;=MIN($D$18,$D$19)/1000000,INDEX(SIM_MERCADO!$H:$H,13)/1000000&lt;=MAX($D$18,$D$19)/1000000),NA(),INDEX(SIM_MERCADO!$H:$H,13)/1000000))</f>
        <v>#N/A</v>
      </c>
      <c r="S16" s="251">
        <f>SIM_MERCADO!$H$20/1000000</f>
        <v>26.400200000000002</v>
      </c>
    </row>
    <row r="17" spans="1:19" ht="34.049999999999997" customHeight="1" x14ac:dyDescent="0.3">
      <c r="A17" s="239" t="s">
        <v>265</v>
      </c>
      <c r="B17" s="239" t="s">
        <v>64</v>
      </c>
      <c r="C17" s="239" t="s">
        <v>185</v>
      </c>
      <c r="D17" s="239" t="s">
        <v>181</v>
      </c>
      <c r="E17" s="239" t="s">
        <v>183</v>
      </c>
      <c r="F17" s="239" t="s">
        <v>66</v>
      </c>
      <c r="G17" s="239" t="s">
        <v>263</v>
      </c>
      <c r="H17" s="210"/>
      <c r="I17" s="210"/>
      <c r="J17" s="210"/>
      <c r="K17" s="210"/>
      <c r="L17" s="210"/>
      <c r="M17" s="210"/>
      <c r="N17" s="252" t="str">
        <f>IF(AND(14&lt;=SIM_AUX!$C$3,INDEX(SIM_MERCADO!$A:$A,14)&lt;&gt;""),"OFERTA "&amp;TEXT(INDEX(SIM_MERCADO!$A:$A,14),"00"),"")</f>
        <v/>
      </c>
      <c r="O17" s="251">
        <f>IF(OR($D$18="",$D$19=""),NA(),MIN($D$18,$D$19)/1000000)</f>
        <v>25.566800595238092</v>
      </c>
      <c r="P17" s="251">
        <f>IF(OR($D$18="",$D$19=""),NA(),ABS($D$19-$D$18)/1000000)</f>
        <v>1.5665</v>
      </c>
      <c r="Q17" s="251" t="e">
        <f>IF(N17="",NA(),IF(AND(INDEX(SIM_MERCADO!$H:$H,14)/1000000&gt;=MIN($D$18,$D$19)/1000000,INDEX(SIM_MERCADO!$H:$H,14)/1000000&lt;=MAX($D$18,$D$19)/1000000),INDEX(SIM_MERCADO!$H:$H,14)/1000000,NA()))</f>
        <v>#N/A</v>
      </c>
      <c r="R17" s="251" t="e">
        <f>IF(N17="",NA(),IF(AND(INDEX(SIM_MERCADO!$H:$H,14)/1000000&gt;=MIN($D$18,$D$19)/1000000,INDEX(SIM_MERCADO!$H:$H,14)/1000000&lt;=MAX($D$18,$D$19)/1000000),NA(),INDEX(SIM_MERCADO!$H:$H,14)/1000000))</f>
        <v>#N/A</v>
      </c>
      <c r="S17" s="251">
        <f>SIM_MERCADO!$H$20/1000000</f>
        <v>26.400200000000002</v>
      </c>
    </row>
    <row r="18" spans="1:19" ht="25.95" customHeight="1" x14ac:dyDescent="0.3">
      <c r="A18" s="133" t="s">
        <v>266</v>
      </c>
      <c r="B18" s="110" t="str">
        <f>IFERROR(INDEX(A12:A14,MATCH(MIN(D12:D14),D12:D14,0)),"")</f>
        <v>Combinación 2</v>
      </c>
      <c r="C18" s="110" t="str">
        <f>IFERROR(INDEX(B12:B14,MATCH(MIN(D12:D14),D12:D14,0)),"")</f>
        <v>1, 3, 2</v>
      </c>
      <c r="D18" s="132">
        <f>IFERROR(INDEX(D12:D14,MATCH(MIN(D12:D14),D12:D14,0)),"")</f>
        <v>25566800.595238093</v>
      </c>
      <c r="E18" s="132">
        <f>IF(D18="","",D18/10000)</f>
        <v>2556.6800595238092</v>
      </c>
      <c r="F18" s="113">
        <f>IFERROR(INDEX(F12:F14,MATCH(MIN(D12:D14),D12:D14,0)),"")</f>
        <v>6.4526024165430018E-2</v>
      </c>
      <c r="G18" s="110" t="str">
        <f>IFERROR(INDEX(L12:L14,MATCH(MIN(D12:D14),D12:D14,0)),"")</f>
        <v>SÍ</v>
      </c>
      <c r="H18" s="210"/>
      <c r="I18" s="210"/>
      <c r="J18" s="210"/>
      <c r="K18" s="210"/>
      <c r="L18" s="210"/>
      <c r="M18" s="210"/>
      <c r="N18" s="252" t="str">
        <f>IF(AND(15&lt;=SIM_AUX!$C$3,INDEX(SIM_MERCADO!$A:$A,15)&lt;&gt;""),"OFERTA "&amp;TEXT(INDEX(SIM_MERCADO!$A:$A,15),"00"),"")</f>
        <v/>
      </c>
      <c r="O18" s="251">
        <f>IF(OR($D$18="",$D$19=""),NA(),MIN($D$18,$D$19)/1000000)</f>
        <v>25.566800595238092</v>
      </c>
      <c r="P18" s="251">
        <f>IF(OR($D$18="",$D$19=""),NA(),ABS($D$19-$D$18)/1000000)</f>
        <v>1.5665</v>
      </c>
      <c r="Q18" s="251" t="e">
        <f>IF(N18="",NA(),IF(AND(INDEX(SIM_MERCADO!$H:$H,15)/1000000&gt;=MIN($D$18,$D$19)/1000000,INDEX(SIM_MERCADO!$H:$H,15)/1000000&lt;=MAX($D$18,$D$19)/1000000),INDEX(SIM_MERCADO!$H:$H,15)/1000000,NA()))</f>
        <v>#N/A</v>
      </c>
      <c r="R18" s="251" t="e">
        <f>IF(N18="",NA(),IF(AND(INDEX(SIM_MERCADO!$H:$H,15)/1000000&gt;=MIN($D$18,$D$19)/1000000,INDEX(SIM_MERCADO!$H:$H,15)/1000000&lt;=MAX($D$18,$D$19)/1000000),NA(),INDEX(SIM_MERCADO!$H:$H,15)/1000000))</f>
        <v>#N/A</v>
      </c>
      <c r="S18" s="251">
        <f>SIM_MERCADO!$H$20/1000000</f>
        <v>26.400200000000002</v>
      </c>
    </row>
    <row r="19" spans="1:19" ht="25.95" customHeight="1" x14ac:dyDescent="0.3">
      <c r="A19" s="133" t="s">
        <v>267</v>
      </c>
      <c r="B19" s="110" t="str">
        <f>IFERROR(INDEX(A12:A14,MATCH(MAX(D12:D14),D12:D14,0)),"")</f>
        <v>Combinación 3</v>
      </c>
      <c r="C19" s="110" t="str">
        <f>IFERROR(INDEX(B12:B14,MATCH(MAX(D12:D14),D12:D14,0)),"")</f>
        <v>3, 2, 4</v>
      </c>
      <c r="D19" s="132">
        <f>IFERROR(INDEX(D12:D14,MATCH(MAX(D12:D14),D12:D14,0)),"")</f>
        <v>27133300.595238093</v>
      </c>
      <c r="E19" s="132">
        <f>IF(D19="","",D19/10000)</f>
        <v>2713.3300595238093</v>
      </c>
      <c r="F19" s="113">
        <f>IFERROR(INDEX(F12:F14,MATCH(MAX(D12:D14),D12:D14,0)),"")</f>
        <v>7.0553911735210653E-2</v>
      </c>
      <c r="G19" s="110" t="str">
        <f>IFERROR(INDEX(L12:L14,MATCH(MAX(D12:D14),D12:D14,0)),"")</f>
        <v>SÍ</v>
      </c>
      <c r="H19" s="210"/>
      <c r="I19" s="210"/>
      <c r="J19" s="210"/>
      <c r="K19" s="210"/>
      <c r="L19" s="210"/>
      <c r="M19" s="210"/>
      <c r="N19" s="252" t="str">
        <f>IF(AND(16&lt;=SIM_AUX!$C$3,INDEX(SIM_MERCADO!$A:$A,16)&lt;&gt;""),"OFERTA "&amp;TEXT(INDEX(SIM_MERCADO!$A:$A,16),"00"),"")</f>
        <v/>
      </c>
      <c r="O19" s="251">
        <f>IF(OR($D$18="",$D$19=""),NA(),MIN($D$18,$D$19)/1000000)</f>
        <v>25.566800595238092</v>
      </c>
      <c r="P19" s="251">
        <f>IF(OR($D$18="",$D$19=""),NA(),ABS($D$19-$D$18)/1000000)</f>
        <v>1.5665</v>
      </c>
      <c r="Q19" s="251" t="e">
        <f>IF(N19="",NA(),IF(AND(INDEX(SIM_MERCADO!$H:$H,16)/1000000&gt;=MIN($D$18,$D$19)/1000000,INDEX(SIM_MERCADO!$H:$H,16)/1000000&lt;=MAX($D$18,$D$19)/1000000),INDEX(SIM_MERCADO!$H:$H,16)/1000000,NA()))</f>
        <v>#N/A</v>
      </c>
      <c r="R19" s="251" t="e">
        <f>IF(N19="",NA(),IF(AND(INDEX(SIM_MERCADO!$H:$H,16)/1000000&gt;=MIN($D$18,$D$19)/1000000,INDEX(SIM_MERCADO!$H:$H,16)/1000000&lt;=MAX($D$18,$D$19)/1000000),NA(),INDEX(SIM_MERCADO!$H:$H,16)/1000000))</f>
        <v>#N/A</v>
      </c>
      <c r="S19" s="251">
        <f>SIM_MERCADO!$H$20/1000000</f>
        <v>26.400200000000002</v>
      </c>
    </row>
    <row r="20" spans="1:19" ht="25.95" customHeight="1" x14ac:dyDescent="0.3">
      <c r="A20" s="230" t="s">
        <v>268</v>
      </c>
      <c r="B20" s="231"/>
      <c r="C20" s="231"/>
      <c r="D20" s="232">
        <f>IF(OR(D18="",D19=""),"",D19-D18)</f>
        <v>1566500</v>
      </c>
      <c r="E20" s="232">
        <f>IF(D20="","",D20/10000)</f>
        <v>156.65</v>
      </c>
      <c r="F20" s="233">
        <f>IF(OR(D20="",D18=0),"",D20/D18)</f>
        <v>6.1270865479029324E-2</v>
      </c>
      <c r="G20" s="231"/>
      <c r="H20" s="210"/>
      <c r="I20" s="210"/>
      <c r="J20" s="210"/>
      <c r="K20" s="210"/>
      <c r="L20" s="210"/>
      <c r="M20" s="210"/>
      <c r="N20" s="252" t="str">
        <f>IF(AND(17&lt;=SIM_AUX!$C$3,INDEX(SIM_MERCADO!$A:$A,17)&lt;&gt;""),"OFERTA "&amp;TEXT(INDEX(SIM_MERCADO!$A:$A,17),"00"),"")</f>
        <v/>
      </c>
      <c r="O20" s="251">
        <f>IF(OR($D$18="",$D$19=""),NA(),MIN($D$18,$D$19)/1000000)</f>
        <v>25.566800595238092</v>
      </c>
      <c r="P20" s="251">
        <f>IF(OR($D$18="",$D$19=""),NA(),ABS($D$19-$D$18)/1000000)</f>
        <v>1.5665</v>
      </c>
      <c r="Q20" s="251" t="e">
        <f>IF(N20="",NA(),IF(AND(INDEX(SIM_MERCADO!$H:$H,17)/1000000&gt;=MIN($D$18,$D$19)/1000000,INDEX(SIM_MERCADO!$H:$H,17)/1000000&lt;=MAX($D$18,$D$19)/1000000),INDEX(SIM_MERCADO!$H:$H,17)/1000000,NA()))</f>
        <v>#N/A</v>
      </c>
      <c r="R20" s="251" t="e">
        <f>IF(N20="",NA(),IF(AND(INDEX(SIM_MERCADO!$H:$H,17)/1000000&gt;=MIN($D$18,$D$19)/1000000,INDEX(SIM_MERCADO!$H:$H,17)/1000000&lt;=MAX($D$18,$D$19)/1000000),NA(),INDEX(SIM_MERCADO!$H:$H,17)/1000000))</f>
        <v>#N/A</v>
      </c>
      <c r="S20" s="251">
        <f>SIM_MERCADO!$H$20/1000000</f>
        <v>26.400200000000002</v>
      </c>
    </row>
    <row r="21" spans="1:19" ht="43.95" customHeight="1" x14ac:dyDescent="0.3">
      <c r="A21" s="235" t="str">
        <f>IF($B$8&gt;0,"Existen "&amp;$B$8&amp;" combinación(es) con CV ≤ "&amp;ROUND($B$4*100,1)&amp;"%: el rango entre las referencias es utilizable bajo la Res. 941.","Ninguna combinación de 3 o más ofertas alcanza CV ≤ "&amp;ROUND($B$4*100,1)&amp;"% (mejor CV: "&amp;ROUND(MIN(F12:F14)*100,1)&amp;"%). Los valores son solo ORIENTATIVOS y no sustentan un valor adoptado; se requieren más ofertas del mismo segmento, dentro de la banda admisible de la combinación elegida.")</f>
        <v>Existen 3 combinación(es) con CV ≤ 10%: el rango entre las referencias es utilizable bajo la Res. 941.</v>
      </c>
      <c r="B21" s="234"/>
      <c r="C21" s="234"/>
      <c r="D21" s="234"/>
      <c r="E21" s="234"/>
      <c r="F21" s="234"/>
      <c r="G21" s="234"/>
      <c r="H21" s="234"/>
      <c r="I21" s="234"/>
      <c r="J21" s="234"/>
      <c r="K21" s="234"/>
      <c r="L21" s="234"/>
      <c r="M21" s="210"/>
      <c r="N21" s="252" t="str">
        <f>IF(AND(18&lt;=SIM_AUX!$C$3,INDEX(SIM_MERCADO!$A:$A,18)&lt;&gt;""),"OFERTA "&amp;TEXT(INDEX(SIM_MERCADO!$A:$A,18),"00"),"")</f>
        <v/>
      </c>
      <c r="O21" s="251">
        <f>IF(OR($D$18="",$D$19=""),NA(),MIN($D$18,$D$19)/1000000)</f>
        <v>25.566800595238092</v>
      </c>
      <c r="P21" s="251">
        <f>IF(OR($D$18="",$D$19=""),NA(),ABS($D$19-$D$18)/1000000)</f>
        <v>1.5665</v>
      </c>
      <c r="Q21" s="251" t="e">
        <f>IF(N21="",NA(),IF(AND(INDEX(SIM_MERCADO!$H:$H,18)/1000000&gt;=MIN($D$18,$D$19)/1000000,INDEX(SIM_MERCADO!$H:$H,18)/1000000&lt;=MAX($D$18,$D$19)/1000000),INDEX(SIM_MERCADO!$H:$H,18)/1000000,NA()))</f>
        <v>#N/A</v>
      </c>
      <c r="R21" s="251" t="e">
        <f>IF(N21="",NA(),IF(AND(INDEX(SIM_MERCADO!$H:$H,18)/1000000&gt;=MIN($D$18,$D$19)/1000000,INDEX(SIM_MERCADO!$H:$H,18)/1000000&lt;=MAX($D$18,$D$19)/1000000),NA(),INDEX(SIM_MERCADO!$H:$H,18)/1000000))</f>
        <v>#N/A</v>
      </c>
      <c r="S21" s="251">
        <f>SIM_MERCADO!$H$20/1000000</f>
        <v>26.400200000000002</v>
      </c>
    </row>
    <row r="22" spans="1:19" x14ac:dyDescent="0.3">
      <c r="A22" s="210"/>
      <c r="B22" s="210"/>
      <c r="C22" s="210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52" t="str">
        <f>IF(AND(19&lt;=SIM_AUX!$C$3,INDEX(SIM_MERCADO!$A:$A,19)&lt;&gt;""),"OFERTA "&amp;TEXT(INDEX(SIM_MERCADO!$A:$A,19),"00"),"")</f>
        <v/>
      </c>
      <c r="O22" s="251">
        <f>IF(OR($D$18="",$D$19=""),NA(),MIN($D$18,$D$19)/1000000)</f>
        <v>25.566800595238092</v>
      </c>
      <c r="P22" s="251">
        <f>IF(OR($D$18="",$D$19=""),NA(),ABS($D$19-$D$18)/1000000)</f>
        <v>1.5665</v>
      </c>
      <c r="Q22" s="251" t="e">
        <f>IF(N22="",NA(),IF(AND(INDEX(SIM_MERCADO!$H:$H,19)/1000000&gt;=MIN($D$18,$D$19)/1000000,INDEX(SIM_MERCADO!$H:$H,19)/1000000&lt;=MAX($D$18,$D$19)/1000000),INDEX(SIM_MERCADO!$H:$H,19)/1000000,NA()))</f>
        <v>#N/A</v>
      </c>
      <c r="R22" s="251" t="e">
        <f>IF(N22="",NA(),IF(AND(INDEX(SIM_MERCADO!$H:$H,19)/1000000&gt;=MIN($D$18,$D$19)/1000000,INDEX(SIM_MERCADO!$H:$H,19)/1000000&lt;=MAX($D$18,$D$19)/1000000),NA(),INDEX(SIM_MERCADO!$H:$H,19)/1000000))</f>
        <v>#N/A</v>
      </c>
      <c r="S22" s="251">
        <f>SIM_MERCADO!$H$20/1000000</f>
        <v>26.400200000000002</v>
      </c>
    </row>
    <row r="23" spans="1:19" x14ac:dyDescent="0.3">
      <c r="A23" s="210"/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0"/>
      <c r="N23" s="252" t="str">
        <f>IF(AND(20&lt;=SIM_AUX!$C$3,INDEX(SIM_MERCADO!$A:$A,20)&lt;&gt;""),"OFERTA "&amp;TEXT(INDEX(SIM_MERCADO!$A:$A,20),"00"),"")</f>
        <v/>
      </c>
      <c r="O23" s="251">
        <f>IF(OR($D$18="",$D$19=""),NA(),MIN($D$18,$D$19)/1000000)</f>
        <v>25.566800595238092</v>
      </c>
      <c r="P23" s="251">
        <f>IF(OR($D$18="",$D$19=""),NA(),ABS($D$19-$D$18)/1000000)</f>
        <v>1.5665</v>
      </c>
      <c r="Q23" s="251" t="e">
        <f>IF(N23="",NA(),IF(AND(INDEX(SIM_MERCADO!$H:$H,20)/1000000&gt;=MIN($D$18,$D$19)/1000000,INDEX(SIM_MERCADO!$H:$H,20)/1000000&lt;=MAX($D$18,$D$19)/1000000),INDEX(SIM_MERCADO!$H:$H,20)/1000000,NA()))</f>
        <v>#N/A</v>
      </c>
      <c r="R23" s="251" t="e">
        <f>IF(N23="",NA(),IF(AND(INDEX(SIM_MERCADO!$H:$H,20)/1000000&gt;=MIN($D$18,$D$19)/1000000,INDEX(SIM_MERCADO!$H:$H,20)/1000000&lt;=MAX($D$18,$D$19)/1000000),NA(),INDEX(SIM_MERCADO!$H:$H,20)/1000000))</f>
        <v>#N/A</v>
      </c>
      <c r="S23" s="251">
        <f>SIM_MERCADO!$H$20/1000000</f>
        <v>26.400200000000002</v>
      </c>
    </row>
    <row r="24" spans="1:19" x14ac:dyDescent="0.3">
      <c r="A24" s="210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</row>
    <row r="25" spans="1:19" x14ac:dyDescent="0.3">
      <c r="A25" s="210"/>
      <c r="B25" s="210"/>
      <c r="C25" s="210"/>
      <c r="D25" s="210"/>
      <c r="E25" s="210"/>
      <c r="F25" s="210"/>
      <c r="G25" s="210"/>
      <c r="H25" s="210"/>
      <c r="I25" s="210"/>
      <c r="J25" s="210"/>
      <c r="K25" s="210"/>
      <c r="L25" s="210"/>
      <c r="M25" s="210"/>
    </row>
    <row r="26" spans="1:19" x14ac:dyDescent="0.3">
      <c r="A26" s="210"/>
      <c r="B26" s="210"/>
      <c r="C26" s="210"/>
      <c r="D26" s="210"/>
      <c r="E26" s="210"/>
      <c r="F26" s="210"/>
      <c r="G26" s="210"/>
      <c r="H26" s="210"/>
      <c r="I26" s="210"/>
      <c r="J26" s="210"/>
      <c r="K26" s="210"/>
      <c r="L26" s="210"/>
      <c r="M26" s="210"/>
      <c r="N26" s="248" t="s">
        <v>64</v>
      </c>
      <c r="O26" s="248" t="s">
        <v>66</v>
      </c>
      <c r="P26" s="248" t="s">
        <v>286</v>
      </c>
    </row>
    <row r="27" spans="1:19" x14ac:dyDescent="0.3">
      <c r="A27" s="210"/>
      <c r="B27" s="210"/>
      <c r="C27" s="210"/>
      <c r="D27" s="210"/>
      <c r="E27" s="210"/>
      <c r="F27" s="210"/>
      <c r="G27" s="210"/>
      <c r="H27" s="210"/>
      <c r="I27" s="210"/>
      <c r="J27" s="210"/>
      <c r="K27" s="210"/>
      <c r="L27" s="210"/>
      <c r="M27" s="210"/>
      <c r="N27" s="249" t="str">
        <f>IF(A12="",NA(),A12)</f>
        <v>Combinación 1</v>
      </c>
      <c r="O27" s="250">
        <f>IF(F12="",NA(),F12)</f>
        <v>8.1176481231622605E-2</v>
      </c>
      <c r="P27" s="250">
        <f>$B$4</f>
        <v>0.1</v>
      </c>
    </row>
    <row r="28" spans="1:19" x14ac:dyDescent="0.3">
      <c r="A28" s="210"/>
      <c r="B28" s="210"/>
      <c r="C28" s="210"/>
      <c r="D28" s="210"/>
      <c r="E28" s="210"/>
      <c r="F28" s="210"/>
      <c r="G28" s="210"/>
      <c r="H28" s="210"/>
      <c r="I28" s="210"/>
      <c r="J28" s="210"/>
      <c r="K28" s="210"/>
      <c r="L28" s="210"/>
      <c r="M28" s="210"/>
      <c r="N28" s="249" t="str">
        <f>IF(A13="",NA(),A13)</f>
        <v>Combinación 2</v>
      </c>
      <c r="O28" s="250">
        <f>IF(F13="",NA(),F13)</f>
        <v>6.4526024165430018E-2</v>
      </c>
      <c r="P28" s="250">
        <f>$B$4</f>
        <v>0.1</v>
      </c>
    </row>
    <row r="29" spans="1:19" x14ac:dyDescent="0.3">
      <c r="A29" s="210"/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49" t="str">
        <f>IF(A14="",NA(),A14)</f>
        <v>Combinación 3</v>
      </c>
      <c r="O29" s="250">
        <f>IF(F14="",NA(),F14)</f>
        <v>7.0553911735210653E-2</v>
      </c>
      <c r="P29" s="250">
        <f>$B$4</f>
        <v>0.1</v>
      </c>
    </row>
    <row r="30" spans="1:19" x14ac:dyDescent="0.3">
      <c r="A30" s="210"/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0"/>
      <c r="M30" s="210"/>
    </row>
    <row r="31" spans="1:19" x14ac:dyDescent="0.3">
      <c r="A31" s="210"/>
      <c r="B31" s="210"/>
      <c r="C31" s="210"/>
      <c r="D31" s="210"/>
      <c r="E31" s="210"/>
      <c r="F31" s="210"/>
      <c r="G31" s="210"/>
      <c r="H31" s="210"/>
      <c r="I31" s="210"/>
      <c r="J31" s="210"/>
      <c r="K31" s="210"/>
      <c r="L31" s="210"/>
      <c r="M31" s="210"/>
      <c r="N31" s="210"/>
      <c r="O31" s="210"/>
      <c r="P31" s="210"/>
      <c r="Q31" s="210"/>
      <c r="R31" s="210"/>
    </row>
    <row r="32" spans="1:19" x14ac:dyDescent="0.3">
      <c r="A32" s="210"/>
      <c r="B32" s="210"/>
      <c r="C32" s="210"/>
      <c r="D32" s="210"/>
      <c r="E32" s="210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</row>
    <row r="33" spans="1:18" x14ac:dyDescent="0.3">
      <c r="A33" s="210"/>
      <c r="B33" s="210"/>
      <c r="C33" s="210"/>
      <c r="D33" s="210"/>
      <c r="E33" s="210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</row>
    <row r="34" spans="1:18" x14ac:dyDescent="0.3">
      <c r="A34" s="210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</row>
    <row r="35" spans="1:18" x14ac:dyDescent="0.3">
      <c r="A35" s="210"/>
      <c r="B35" s="210"/>
      <c r="C35" s="210"/>
      <c r="D35" s="210"/>
      <c r="E35" s="210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</row>
    <row r="36" spans="1:18" x14ac:dyDescent="0.3">
      <c r="A36" s="210"/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</row>
    <row r="37" spans="1:18" x14ac:dyDescent="0.3">
      <c r="A37" s="210"/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</row>
    <row r="38" spans="1:18" x14ac:dyDescent="0.3">
      <c r="A38" s="210"/>
      <c r="B38" s="210"/>
      <c r="C38" s="210"/>
      <c r="D38" s="210"/>
      <c r="E38" s="210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</row>
    <row r="39" spans="1:18" x14ac:dyDescent="0.3">
      <c r="A39" s="210"/>
      <c r="B39" s="210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</row>
    <row r="40" spans="1:18" x14ac:dyDescent="0.3">
      <c r="A40" s="210"/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</row>
    <row r="41" spans="1:18" x14ac:dyDescent="0.3">
      <c r="A41" s="210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</row>
    <row r="42" spans="1:18" x14ac:dyDescent="0.3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</row>
    <row r="43" spans="1:18" x14ac:dyDescent="0.3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</row>
    <row r="44" spans="1:18" x14ac:dyDescent="0.3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</row>
    <row r="45" spans="1:18" x14ac:dyDescent="0.3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</row>
    <row r="46" spans="1:18" x14ac:dyDescent="0.3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</row>
    <row r="47" spans="1:18" x14ac:dyDescent="0.3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</row>
    <row r="48" spans="1:18" x14ac:dyDescent="0.3">
      <c r="A48" s="210"/>
      <c r="B48" s="210"/>
      <c r="C48" s="210"/>
      <c r="D48" s="210"/>
      <c r="E48" s="210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</row>
    <row r="49" spans="1:18" x14ac:dyDescent="0.3">
      <c r="A49" s="210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</row>
    <row r="50" spans="1:18" x14ac:dyDescent="0.3">
      <c r="A50" s="210"/>
      <c r="B50" s="210"/>
      <c r="C50" s="210"/>
      <c r="D50" s="210"/>
      <c r="E50" s="210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</row>
  </sheetData>
  <mergeCells count="19">
    <mergeCell ref="A10:L10"/>
    <mergeCell ref="N10:S10"/>
    <mergeCell ref="A16:G16"/>
    <mergeCell ref="A21:L21"/>
    <mergeCell ref="D5:E7"/>
    <mergeCell ref="F5:G7"/>
    <mergeCell ref="H5:I7"/>
    <mergeCell ref="J5:K7"/>
    <mergeCell ref="L5:L7"/>
    <mergeCell ref="D8:E8"/>
    <mergeCell ref="F8:G8"/>
    <mergeCell ref="H8:I8"/>
    <mergeCell ref="J8:K8"/>
    <mergeCell ref="A1:L1"/>
    <mergeCell ref="A2:L2"/>
    <mergeCell ref="D4:E4"/>
    <mergeCell ref="F4:G4"/>
    <mergeCell ref="H4:I4"/>
    <mergeCell ref="J4:K4"/>
  </mergeCells>
  <conditionalFormatting sqref="L4:L8">
    <cfRule type="expression" dxfId="2" priority="1">
      <formula>$L$5="CUMPLE"</formula>
    </cfRule>
  </conditionalFormatting>
  <conditionalFormatting sqref="L4:L8">
    <cfRule type="expression" dxfId="1" priority="2">
      <formula>$L$5="NO CUMPLE"</formula>
    </cfRule>
  </conditionalFormatting>
  <conditionalFormatting sqref="J4:K8">
    <cfRule type="expression" dxfId="0" priority="3">
      <formula>$J$5&gt;$B$4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6DCE-F978-4B61-9499-A6BDA505A82E}">
  <sheetPr>
    <tabColor rgb="FFED7D31"/>
  </sheetPr>
  <dimension ref="A1:Q410"/>
  <sheetViews>
    <sheetView workbookViewId="0">
      <pane ySplit="4" topLeftCell="A5" activePane="bottomLeft" state="frozen"/>
      <selection pane="bottomLeft"/>
    </sheetView>
  </sheetViews>
  <sheetFormatPr baseColWidth="10" defaultRowHeight="14.4" x14ac:dyDescent="0.3"/>
  <cols>
    <col min="1" max="1" width="27.77734375" customWidth="1"/>
    <col min="2" max="10" width="16.6640625" customWidth="1"/>
    <col min="11" max="11" width="3.6640625" customWidth="1"/>
    <col min="12" max="20" width="16.6640625" customWidth="1"/>
  </cols>
  <sheetData>
    <row r="1" spans="1:17" x14ac:dyDescent="0.3">
      <c r="A1" s="59" t="s">
        <v>194</v>
      </c>
    </row>
    <row r="2" spans="1:17" x14ac:dyDescent="0.3">
      <c r="A2" t="s">
        <v>164</v>
      </c>
      <c r="C2">
        <f>MATCH("PROMEDIO",SIM_MERCADO!F:F,0)</f>
        <v>14</v>
      </c>
      <c r="H2" t="s">
        <v>166</v>
      </c>
      <c r="J2">
        <f>COUNT(J5:J34)</f>
        <v>4</v>
      </c>
    </row>
    <row r="3" spans="1:17" x14ac:dyDescent="0.3">
      <c r="A3" t="s">
        <v>165</v>
      </c>
      <c r="C3">
        <f>C2-1</f>
        <v>13</v>
      </c>
      <c r="H3" t="s">
        <v>327</v>
      </c>
      <c r="J3" s="60">
        <f>IFERROR(INDEX(SIM_MERCADO!$H:$H,$C$2+2),0)</f>
        <v>8.1176481231622605E-2</v>
      </c>
    </row>
    <row r="4" spans="1:17" x14ac:dyDescent="0.3">
      <c r="A4" s="105" t="s">
        <v>167</v>
      </c>
      <c r="B4" s="105" t="s">
        <v>168</v>
      </c>
      <c r="C4" s="105" t="s">
        <v>169</v>
      </c>
      <c r="D4" s="105" t="s">
        <v>170</v>
      </c>
      <c r="E4" s="105" t="s">
        <v>171</v>
      </c>
      <c r="F4" s="105" t="s">
        <v>172</v>
      </c>
      <c r="G4" s="105" t="s">
        <v>175</v>
      </c>
      <c r="H4" s="105" t="s">
        <v>190</v>
      </c>
      <c r="I4" s="105" t="s">
        <v>169</v>
      </c>
      <c r="J4" s="105" t="s">
        <v>170</v>
      </c>
      <c r="L4" t="s">
        <v>191</v>
      </c>
      <c r="M4" t="s">
        <v>192</v>
      </c>
      <c r="N4" t="s">
        <v>173</v>
      </c>
      <c r="O4" t="s">
        <v>174</v>
      </c>
      <c r="P4" t="s">
        <v>193</v>
      </c>
      <c r="Q4" t="s">
        <v>175</v>
      </c>
    </row>
    <row r="5" spans="1:17" x14ac:dyDescent="0.3">
      <c r="A5">
        <v>1</v>
      </c>
      <c r="B5">
        <f>8+A5</f>
        <v>9</v>
      </c>
      <c r="C5">
        <f>IF(B5&lt;=$C$3,IF(ISNUMBER(INDEX(SIM_MERCADO!$H:$H,B5)),IF(ISNUMBER(INDEX(SIM_MERCADO!$A:$A,B5)),INDEX(SIM_MERCADO!$A:$A,B5),B5-8),""),"")</f>
        <v>1</v>
      </c>
      <c r="D5" s="1">
        <f>IF(C5="","",INDEX(SIM_MERCADO!$H:$H,B5))</f>
        <v>24201000</v>
      </c>
      <c r="E5">
        <f>IF(C5="",0,IF(OR(SIM_COMBINACIONES!$B$6="NO",$J$3&lt;=SIM_COMBINACIONES!$B$5),1,IF(AND(D5&gt;=SIM_COMBINACIONES!$B$3,D5&lt;=SIM_COMBINACIONES!$B$4),1,0)))</f>
        <v>1</v>
      </c>
      <c r="F5">
        <f>IF(E5=1,SUM(E$5:E5),"")</f>
        <v>1</v>
      </c>
      <c r="G5">
        <f>IF(E5=1,D5+A5*0.000000001,"")</f>
        <v>24201000</v>
      </c>
      <c r="H5">
        <v>1</v>
      </c>
      <c r="I5">
        <f>IFERROR(INDEX($C$5:$C$34,MATCH(SMALL($G$5:$G$34,H5),$G$5:$G$34,0)),"")</f>
        <v>1</v>
      </c>
      <c r="J5" s="1">
        <f>IFERROR(INDEX($D$5:$D$34,MATCH(SMALL($G$5:$G$34,H5),$G$5:$G$34,0)),"")</f>
        <v>24201000</v>
      </c>
      <c r="L5">
        <v>1</v>
      </c>
      <c r="M5">
        <v>3</v>
      </c>
      <c r="N5">
        <f>IF(L5+M5-1&lt;=$J$2,1,0)</f>
        <v>1</v>
      </c>
      <c r="O5">
        <f>IF(N5=1,_xlfn.STDEV.S(INDEX($J$5:$J$34,L5):INDEX($J$5:$J$34,L5+M5-1))/AVERAGE(INDEX($J$5:$J$34,L5):INDEX($J$5:$J$34,L5+M5-1)),"")</f>
        <v>6.4526024165430018E-2</v>
      </c>
      <c r="P5">
        <f>IF(N5=1,IF(O5&lt;=SIM_COMBINACIONES!$B$5,1,0),"")</f>
        <v>1</v>
      </c>
      <c r="Q5">
        <f>IF(N5=1,IF(P5=1,-M5,100)+O5+ROW()*0.000000000001,"")</f>
        <v>-2.93547397582957</v>
      </c>
    </row>
    <row r="6" spans="1:17" x14ac:dyDescent="0.3">
      <c r="A6">
        <v>2</v>
      </c>
      <c r="B6">
        <f>8+A6</f>
        <v>10</v>
      </c>
      <c r="C6">
        <f>IF(B6&lt;=$C$3,IF(ISNUMBER(INDEX(SIM_MERCADO!$H:$H,B6)),IF(ISNUMBER(INDEX(SIM_MERCADO!$A:$A,B6)),INDEX(SIM_MERCADO!$A:$A,B6),B6-8),""),"")</f>
        <v>2</v>
      </c>
      <c r="D6" s="1">
        <f>IF(C6="","",INDEX(SIM_MERCADO!$H:$H,B6))</f>
        <v>27399714.285714287</v>
      </c>
      <c r="E6">
        <f>IF(C6="",0,IF(OR(SIM_COMBINACIONES!$B$6="NO",$J$3&lt;=SIM_COMBINACIONES!$B$5),1,IF(AND(D6&gt;=SIM_COMBINACIONES!$B$3,D6&lt;=SIM_COMBINACIONES!$B$4),1,0)))</f>
        <v>1</v>
      </c>
      <c r="F6">
        <f>IF(E6=1,SUM(E$5:E6),"")</f>
        <v>2</v>
      </c>
      <c r="G6">
        <f>IF(E6=1,D6+A6*0.000000001,"")</f>
        <v>27399714.285714291</v>
      </c>
      <c r="H6">
        <v>2</v>
      </c>
      <c r="I6">
        <f>IFERROR(INDEX($C$5:$C$34,MATCH(SMALL($G$5:$G$34,H6),$G$5:$G$34,0)),"")</f>
        <v>3</v>
      </c>
      <c r="J6" s="1">
        <f>IFERROR(INDEX($D$5:$D$34,MATCH(SMALL($G$5:$G$34,H6),$G$5:$G$34,0)),"")</f>
        <v>25099687.5</v>
      </c>
      <c r="L6">
        <v>1</v>
      </c>
      <c r="M6">
        <v>4</v>
      </c>
      <c r="N6">
        <f>IF(L6+M6-1&lt;=$J$2,1,0)</f>
        <v>1</v>
      </c>
      <c r="O6">
        <f>IF(N6=1,_xlfn.STDEV.S(INDEX($J$5:$J$34,L6):INDEX($J$5:$J$34,L6+M6-1))/AVERAGE(INDEX($J$5:$J$34,L6):INDEX($J$5:$J$34,L6+M6-1)),"")</f>
        <v>8.1176481231622605E-2</v>
      </c>
      <c r="P6">
        <f>IF(N6=1,IF(O6&lt;=SIM_COMBINACIONES!$B$5,1,0),"")</f>
        <v>1</v>
      </c>
      <c r="Q6">
        <f>IF(N6=1,IF(P6=1,-M6,100)+O6+ROW()*0.000000000001,"")</f>
        <v>-3.9188235187623772</v>
      </c>
    </row>
    <row r="7" spans="1:17" x14ac:dyDescent="0.3">
      <c r="A7">
        <v>3</v>
      </c>
      <c r="B7">
        <f>8+A7</f>
        <v>11</v>
      </c>
      <c r="C7">
        <f>IF(B7&lt;=$C$3,IF(ISNUMBER(INDEX(SIM_MERCADO!$H:$H,B7)),IF(ISNUMBER(INDEX(SIM_MERCADO!$A:$A,B7)),INDEX(SIM_MERCADO!$A:$A,B7),B7-8),""),"")</f>
        <v>3</v>
      </c>
      <c r="D7" s="1">
        <f>IF(C7="","",INDEX(SIM_MERCADO!$H:$H,B7))</f>
        <v>25099687.5</v>
      </c>
      <c r="E7">
        <f>IF(C7="",0,IF(OR(SIM_COMBINACIONES!$B$6="NO",$J$3&lt;=SIM_COMBINACIONES!$B$5),1,IF(AND(D7&gt;=SIM_COMBINACIONES!$B$3,D7&lt;=SIM_COMBINACIONES!$B$4),1,0)))</f>
        <v>1</v>
      </c>
      <c r="F7">
        <f>IF(E7=1,SUM(E$5:E7),"")</f>
        <v>3</v>
      </c>
      <c r="G7">
        <f>IF(E7=1,D7+A7*0.000000001,"")</f>
        <v>25099687.500000004</v>
      </c>
      <c r="H7">
        <v>3</v>
      </c>
      <c r="I7">
        <f>IFERROR(INDEX($C$5:$C$34,MATCH(SMALL($G$5:$G$34,H7),$G$5:$G$34,0)),"")</f>
        <v>2</v>
      </c>
      <c r="J7" s="1">
        <f>IFERROR(INDEX($D$5:$D$34,MATCH(SMALL($G$5:$G$34,H7),$G$5:$G$34,0)),"")</f>
        <v>27399714.285714287</v>
      </c>
      <c r="L7">
        <v>1</v>
      </c>
      <c r="M7">
        <v>5</v>
      </c>
      <c r="N7">
        <f>IF(L7+M7-1&lt;=$J$2,1,0)</f>
        <v>0</v>
      </c>
      <c r="O7" t="str">
        <f>IF(N7=1,_xlfn.STDEV.S(INDEX($J$5:$J$34,L7):INDEX($J$5:$J$34,L7+M7-1))/AVERAGE(INDEX($J$5:$J$34,L7):INDEX($J$5:$J$34,L7+M7-1)),"")</f>
        <v/>
      </c>
      <c r="P7" t="str">
        <f>IF(N7=1,IF(O7&lt;=SIM_COMBINACIONES!$B$5,1,0),"")</f>
        <v/>
      </c>
      <c r="Q7" t="str">
        <f>IF(N7=1,IF(P7=1,-M7,100)+O7+ROW()*0.000000000001,"")</f>
        <v/>
      </c>
    </row>
    <row r="8" spans="1:17" x14ac:dyDescent="0.3">
      <c r="A8">
        <v>4</v>
      </c>
      <c r="B8">
        <f>8+A8</f>
        <v>12</v>
      </c>
      <c r="C8">
        <f>IF(B8&lt;=$C$3,IF(ISNUMBER(INDEX(SIM_MERCADO!$H:$H,B8)),IF(ISNUMBER(INDEX(SIM_MERCADO!$A:$A,B8)),INDEX(SIM_MERCADO!$A:$A,B8),B8-8),""),"")</f>
        <v>4</v>
      </c>
      <c r="D8" s="1">
        <f>IF(C8="","",INDEX(SIM_MERCADO!$H:$H,B8))</f>
        <v>28900500</v>
      </c>
      <c r="E8">
        <f>IF(C8="",0,IF(OR(SIM_COMBINACIONES!$B$6="NO",$J$3&lt;=SIM_COMBINACIONES!$B$5),1,IF(AND(D8&gt;=SIM_COMBINACIONES!$B$3,D8&lt;=SIM_COMBINACIONES!$B$4),1,0)))</f>
        <v>1</v>
      </c>
      <c r="F8">
        <f>IF(E8=1,SUM(E$5:E8),"")</f>
        <v>4</v>
      </c>
      <c r="G8">
        <f>IF(E8=1,D8+A8*0.000000001,"")</f>
        <v>28900500.000000004</v>
      </c>
      <c r="H8">
        <v>4</v>
      </c>
      <c r="I8">
        <f>IFERROR(INDEX($C$5:$C$34,MATCH(SMALL($G$5:$G$34,H8),$G$5:$G$34,0)),"")</f>
        <v>4</v>
      </c>
      <c r="J8" s="1">
        <f>IFERROR(INDEX($D$5:$D$34,MATCH(SMALL($G$5:$G$34,H8),$G$5:$G$34,0)),"")</f>
        <v>28900500</v>
      </c>
      <c r="L8">
        <v>1</v>
      </c>
      <c r="M8">
        <v>6</v>
      </c>
      <c r="N8">
        <f>IF(L8+M8-1&lt;=$J$2,1,0)</f>
        <v>0</v>
      </c>
      <c r="O8" t="str">
        <f>IF(N8=1,_xlfn.STDEV.S(INDEX($J$5:$J$34,L8):INDEX($J$5:$J$34,L8+M8-1))/AVERAGE(INDEX($J$5:$J$34,L8):INDEX($J$5:$J$34,L8+M8-1)),"")</f>
        <v/>
      </c>
      <c r="P8" t="str">
        <f>IF(N8=1,IF(O8&lt;=SIM_COMBINACIONES!$B$5,1,0),"")</f>
        <v/>
      </c>
      <c r="Q8" t="str">
        <f>IF(N8=1,IF(P8=1,-M8,100)+O8+ROW()*0.000000000001,"")</f>
        <v/>
      </c>
    </row>
    <row r="9" spans="1:17" x14ac:dyDescent="0.3">
      <c r="A9">
        <v>5</v>
      </c>
      <c r="B9">
        <f>8+A9</f>
        <v>13</v>
      </c>
      <c r="C9" t="str">
        <f>IF(B9&lt;=$C$3,IF(ISNUMBER(INDEX(SIM_MERCADO!$H:$H,B9)),IF(ISNUMBER(INDEX(SIM_MERCADO!$A:$A,B9)),INDEX(SIM_MERCADO!$A:$A,B9),B9-8),""),"")</f>
        <v/>
      </c>
      <c r="D9" s="1" t="str">
        <f>IF(C9="","",INDEX(SIM_MERCADO!$H:$H,B9))</f>
        <v/>
      </c>
      <c r="E9">
        <f>IF(C9="",0,IF(OR(SIM_COMBINACIONES!$B$6="NO",$J$3&lt;=SIM_COMBINACIONES!$B$5),1,IF(AND(D9&gt;=SIM_COMBINACIONES!$B$3,D9&lt;=SIM_COMBINACIONES!$B$4),1,0)))</f>
        <v>0</v>
      </c>
      <c r="F9" t="str">
        <f>IF(E9=1,SUM(E$5:E9),"")</f>
        <v/>
      </c>
      <c r="G9" t="str">
        <f>IF(E9=1,D9+A9*0.000000001,"")</f>
        <v/>
      </c>
      <c r="H9">
        <v>5</v>
      </c>
      <c r="I9" t="str">
        <f>IFERROR(INDEX($C$5:$C$34,MATCH(SMALL($G$5:$G$34,H9),$G$5:$G$34,0)),"")</f>
        <v/>
      </c>
      <c r="J9" s="1" t="str">
        <f>IFERROR(INDEX($D$5:$D$34,MATCH(SMALL($G$5:$G$34,H9),$G$5:$G$34,0)),"")</f>
        <v/>
      </c>
      <c r="L9">
        <v>1</v>
      </c>
      <c r="M9">
        <v>7</v>
      </c>
      <c r="N9">
        <f>IF(L9+M9-1&lt;=$J$2,1,0)</f>
        <v>0</v>
      </c>
      <c r="O9" t="str">
        <f>IF(N9=1,_xlfn.STDEV.S(INDEX($J$5:$J$34,L9):INDEX($J$5:$J$34,L9+M9-1))/AVERAGE(INDEX($J$5:$J$34,L9):INDEX($J$5:$J$34,L9+M9-1)),"")</f>
        <v/>
      </c>
      <c r="P9" t="str">
        <f>IF(N9=1,IF(O9&lt;=SIM_COMBINACIONES!$B$5,1,0),"")</f>
        <v/>
      </c>
      <c r="Q9" t="str">
        <f>IF(N9=1,IF(P9=1,-M9,100)+O9+ROW()*0.000000000001,"")</f>
        <v/>
      </c>
    </row>
    <row r="10" spans="1:17" x14ac:dyDescent="0.3">
      <c r="A10">
        <v>6</v>
      </c>
      <c r="B10">
        <f>8+A10</f>
        <v>14</v>
      </c>
      <c r="C10" t="str">
        <f>IF(B10&lt;=$C$3,IF(ISNUMBER(INDEX(SIM_MERCADO!$H:$H,B10)),IF(ISNUMBER(INDEX(SIM_MERCADO!$A:$A,B10)),INDEX(SIM_MERCADO!$A:$A,B10),B10-8),""),"")</f>
        <v/>
      </c>
      <c r="D10" s="1" t="str">
        <f>IF(C10="","",INDEX(SIM_MERCADO!$H:$H,B10))</f>
        <v/>
      </c>
      <c r="E10">
        <f>IF(C10="",0,IF(OR(SIM_COMBINACIONES!$B$6="NO",$J$3&lt;=SIM_COMBINACIONES!$B$5),1,IF(AND(D10&gt;=SIM_COMBINACIONES!$B$3,D10&lt;=SIM_COMBINACIONES!$B$4),1,0)))</f>
        <v>0</v>
      </c>
      <c r="F10" t="str">
        <f>IF(E10=1,SUM(E$5:E10),"")</f>
        <v/>
      </c>
      <c r="G10" t="str">
        <f>IF(E10=1,D10+A10*0.000000001,"")</f>
        <v/>
      </c>
      <c r="H10">
        <v>6</v>
      </c>
      <c r="I10" t="str">
        <f>IFERROR(INDEX($C$5:$C$34,MATCH(SMALL($G$5:$G$34,H10),$G$5:$G$34,0)),"")</f>
        <v/>
      </c>
      <c r="J10" s="1" t="str">
        <f>IFERROR(INDEX($D$5:$D$34,MATCH(SMALL($G$5:$G$34,H10),$G$5:$G$34,0)),"")</f>
        <v/>
      </c>
      <c r="L10">
        <v>1</v>
      </c>
      <c r="M10">
        <v>8</v>
      </c>
      <c r="N10">
        <f>IF(L10+M10-1&lt;=$J$2,1,0)</f>
        <v>0</v>
      </c>
      <c r="O10" t="str">
        <f>IF(N10=1,_xlfn.STDEV.S(INDEX($J$5:$J$34,L10):INDEX($J$5:$J$34,L10+M10-1))/AVERAGE(INDEX($J$5:$J$34,L10):INDEX($J$5:$J$34,L10+M10-1)),"")</f>
        <v/>
      </c>
      <c r="P10" t="str">
        <f>IF(N10=1,IF(O10&lt;=SIM_COMBINACIONES!$B$5,1,0),"")</f>
        <v/>
      </c>
      <c r="Q10" t="str">
        <f>IF(N10=1,IF(P10=1,-M10,100)+O10+ROW()*0.000000000001,"")</f>
        <v/>
      </c>
    </row>
    <row r="11" spans="1:17" x14ac:dyDescent="0.3">
      <c r="A11">
        <v>7</v>
      </c>
      <c r="B11">
        <f>8+A11</f>
        <v>15</v>
      </c>
      <c r="C11" t="str">
        <f>IF(B11&lt;=$C$3,IF(ISNUMBER(INDEX(SIM_MERCADO!$H:$H,B11)),IF(ISNUMBER(INDEX(SIM_MERCADO!$A:$A,B11)),INDEX(SIM_MERCADO!$A:$A,B11),B11-8),""),"")</f>
        <v/>
      </c>
      <c r="D11" s="1" t="str">
        <f>IF(C11="","",INDEX(SIM_MERCADO!$H:$H,B11))</f>
        <v/>
      </c>
      <c r="E11">
        <f>IF(C11="",0,IF(OR(SIM_COMBINACIONES!$B$6="NO",$J$3&lt;=SIM_COMBINACIONES!$B$5),1,IF(AND(D11&gt;=SIM_COMBINACIONES!$B$3,D11&lt;=SIM_COMBINACIONES!$B$4),1,0)))</f>
        <v>0</v>
      </c>
      <c r="F11" t="str">
        <f>IF(E11=1,SUM(E$5:E11),"")</f>
        <v/>
      </c>
      <c r="G11" t="str">
        <f>IF(E11=1,D11+A11*0.000000001,"")</f>
        <v/>
      </c>
      <c r="H11">
        <v>7</v>
      </c>
      <c r="I11" t="str">
        <f>IFERROR(INDEX($C$5:$C$34,MATCH(SMALL($G$5:$G$34,H11),$G$5:$G$34,0)),"")</f>
        <v/>
      </c>
      <c r="J11" s="1" t="str">
        <f>IFERROR(INDEX($D$5:$D$34,MATCH(SMALL($G$5:$G$34,H11),$G$5:$G$34,0)),"")</f>
        <v/>
      </c>
      <c r="L11">
        <v>1</v>
      </c>
      <c r="M11">
        <v>9</v>
      </c>
      <c r="N11">
        <f>IF(L11+M11-1&lt;=$J$2,1,0)</f>
        <v>0</v>
      </c>
      <c r="O11" t="str">
        <f>IF(N11=1,_xlfn.STDEV.S(INDEX($J$5:$J$34,L11):INDEX($J$5:$J$34,L11+M11-1))/AVERAGE(INDEX($J$5:$J$34,L11):INDEX($J$5:$J$34,L11+M11-1)),"")</f>
        <v/>
      </c>
      <c r="P11" t="str">
        <f>IF(N11=1,IF(O11&lt;=SIM_COMBINACIONES!$B$5,1,0),"")</f>
        <v/>
      </c>
      <c r="Q11" t="str">
        <f>IF(N11=1,IF(P11=1,-M11,100)+O11+ROW()*0.000000000001,"")</f>
        <v/>
      </c>
    </row>
    <row r="12" spans="1:17" x14ac:dyDescent="0.3">
      <c r="A12">
        <v>8</v>
      </c>
      <c r="B12">
        <f>8+A12</f>
        <v>16</v>
      </c>
      <c r="C12" t="str">
        <f>IF(B12&lt;=$C$3,IF(ISNUMBER(INDEX(SIM_MERCADO!$H:$H,B12)),IF(ISNUMBER(INDEX(SIM_MERCADO!$A:$A,B12)),INDEX(SIM_MERCADO!$A:$A,B12),B12-8),""),"")</f>
        <v/>
      </c>
      <c r="D12" s="1" t="str">
        <f>IF(C12="","",INDEX(SIM_MERCADO!$H:$H,B12))</f>
        <v/>
      </c>
      <c r="E12">
        <f>IF(C12="",0,IF(OR(SIM_COMBINACIONES!$B$6="NO",$J$3&lt;=SIM_COMBINACIONES!$B$5),1,IF(AND(D12&gt;=SIM_COMBINACIONES!$B$3,D12&lt;=SIM_COMBINACIONES!$B$4),1,0)))</f>
        <v>0</v>
      </c>
      <c r="F12" t="str">
        <f>IF(E12=1,SUM(E$5:E12),"")</f>
        <v/>
      </c>
      <c r="G12" t="str">
        <f>IF(E12=1,D12+A12*0.000000001,"")</f>
        <v/>
      </c>
      <c r="H12">
        <v>8</v>
      </c>
      <c r="I12" t="str">
        <f>IFERROR(INDEX($C$5:$C$34,MATCH(SMALL($G$5:$G$34,H12),$G$5:$G$34,0)),"")</f>
        <v/>
      </c>
      <c r="J12" s="1" t="str">
        <f>IFERROR(INDEX($D$5:$D$34,MATCH(SMALL($G$5:$G$34,H12),$G$5:$G$34,0)),"")</f>
        <v/>
      </c>
      <c r="L12">
        <v>1</v>
      </c>
      <c r="M12">
        <v>10</v>
      </c>
      <c r="N12">
        <f>IF(L12+M12-1&lt;=$J$2,1,0)</f>
        <v>0</v>
      </c>
      <c r="O12" t="str">
        <f>IF(N12=1,_xlfn.STDEV.S(INDEX($J$5:$J$34,L12):INDEX($J$5:$J$34,L12+M12-1))/AVERAGE(INDEX($J$5:$J$34,L12):INDEX($J$5:$J$34,L12+M12-1)),"")</f>
        <v/>
      </c>
      <c r="P12" t="str">
        <f>IF(N12=1,IF(O12&lt;=SIM_COMBINACIONES!$B$5,1,0),"")</f>
        <v/>
      </c>
      <c r="Q12" t="str">
        <f>IF(N12=1,IF(P12=1,-M12,100)+O12+ROW()*0.000000000001,"")</f>
        <v/>
      </c>
    </row>
    <row r="13" spans="1:17" x14ac:dyDescent="0.3">
      <c r="A13">
        <v>9</v>
      </c>
      <c r="B13">
        <f>8+A13</f>
        <v>17</v>
      </c>
      <c r="C13" t="str">
        <f>IF(B13&lt;=$C$3,IF(ISNUMBER(INDEX(SIM_MERCADO!$H:$H,B13)),IF(ISNUMBER(INDEX(SIM_MERCADO!$A:$A,B13)),INDEX(SIM_MERCADO!$A:$A,B13),B13-8),""),"")</f>
        <v/>
      </c>
      <c r="D13" s="1" t="str">
        <f>IF(C13="","",INDEX(SIM_MERCADO!$H:$H,B13))</f>
        <v/>
      </c>
      <c r="E13">
        <f>IF(C13="",0,IF(OR(SIM_COMBINACIONES!$B$6="NO",$J$3&lt;=SIM_COMBINACIONES!$B$5),1,IF(AND(D13&gt;=SIM_COMBINACIONES!$B$3,D13&lt;=SIM_COMBINACIONES!$B$4),1,0)))</f>
        <v>0</v>
      </c>
      <c r="F13" t="str">
        <f>IF(E13=1,SUM(E$5:E13),"")</f>
        <v/>
      </c>
      <c r="G13" t="str">
        <f>IF(E13=1,D13+A13*0.000000001,"")</f>
        <v/>
      </c>
      <c r="H13">
        <v>9</v>
      </c>
      <c r="I13" t="str">
        <f>IFERROR(INDEX($C$5:$C$34,MATCH(SMALL($G$5:$G$34,H13),$G$5:$G$34,0)),"")</f>
        <v/>
      </c>
      <c r="J13" s="1" t="str">
        <f>IFERROR(INDEX($D$5:$D$34,MATCH(SMALL($G$5:$G$34,H13),$G$5:$G$34,0)),"")</f>
        <v/>
      </c>
      <c r="L13">
        <v>1</v>
      </c>
      <c r="M13">
        <v>11</v>
      </c>
      <c r="N13">
        <f>IF(L13+M13-1&lt;=$J$2,1,0)</f>
        <v>0</v>
      </c>
      <c r="O13" t="str">
        <f>IF(N13=1,_xlfn.STDEV.S(INDEX($J$5:$J$34,L13):INDEX($J$5:$J$34,L13+M13-1))/AVERAGE(INDEX($J$5:$J$34,L13):INDEX($J$5:$J$34,L13+M13-1)),"")</f>
        <v/>
      </c>
      <c r="P13" t="str">
        <f>IF(N13=1,IF(O13&lt;=SIM_COMBINACIONES!$B$5,1,0),"")</f>
        <v/>
      </c>
      <c r="Q13" t="str">
        <f>IF(N13=1,IF(P13=1,-M13,100)+O13+ROW()*0.000000000001,"")</f>
        <v/>
      </c>
    </row>
    <row r="14" spans="1:17" x14ac:dyDescent="0.3">
      <c r="A14">
        <v>10</v>
      </c>
      <c r="B14">
        <f>8+A14</f>
        <v>18</v>
      </c>
      <c r="C14" t="str">
        <f>IF(B14&lt;=$C$3,IF(ISNUMBER(INDEX(SIM_MERCADO!$H:$H,B14)),IF(ISNUMBER(INDEX(SIM_MERCADO!$A:$A,B14)),INDEX(SIM_MERCADO!$A:$A,B14),B14-8),""),"")</f>
        <v/>
      </c>
      <c r="D14" s="1" t="str">
        <f>IF(C14="","",INDEX(SIM_MERCADO!$H:$H,B14))</f>
        <v/>
      </c>
      <c r="E14">
        <f>IF(C14="",0,IF(OR(SIM_COMBINACIONES!$B$6="NO",$J$3&lt;=SIM_COMBINACIONES!$B$5),1,IF(AND(D14&gt;=SIM_COMBINACIONES!$B$3,D14&lt;=SIM_COMBINACIONES!$B$4),1,0)))</f>
        <v>0</v>
      </c>
      <c r="F14" t="str">
        <f>IF(E14=1,SUM(E$5:E14),"")</f>
        <v/>
      </c>
      <c r="G14" t="str">
        <f>IF(E14=1,D14+A14*0.000000001,"")</f>
        <v/>
      </c>
      <c r="H14">
        <v>10</v>
      </c>
      <c r="I14" t="str">
        <f>IFERROR(INDEX($C$5:$C$34,MATCH(SMALL($G$5:$G$34,H14),$G$5:$G$34,0)),"")</f>
        <v/>
      </c>
      <c r="J14" s="1" t="str">
        <f>IFERROR(INDEX($D$5:$D$34,MATCH(SMALL($G$5:$G$34,H14),$G$5:$G$34,0)),"")</f>
        <v/>
      </c>
      <c r="L14">
        <v>1</v>
      </c>
      <c r="M14">
        <v>12</v>
      </c>
      <c r="N14">
        <f>IF(L14+M14-1&lt;=$J$2,1,0)</f>
        <v>0</v>
      </c>
      <c r="O14" t="str">
        <f>IF(N14=1,_xlfn.STDEV.S(INDEX($J$5:$J$34,L14):INDEX($J$5:$J$34,L14+M14-1))/AVERAGE(INDEX($J$5:$J$34,L14):INDEX($J$5:$J$34,L14+M14-1)),"")</f>
        <v/>
      </c>
      <c r="P14" t="str">
        <f>IF(N14=1,IF(O14&lt;=SIM_COMBINACIONES!$B$5,1,0),"")</f>
        <v/>
      </c>
      <c r="Q14" t="str">
        <f>IF(N14=1,IF(P14=1,-M14,100)+O14+ROW()*0.000000000001,"")</f>
        <v/>
      </c>
    </row>
    <row r="15" spans="1:17" x14ac:dyDescent="0.3">
      <c r="A15">
        <v>11</v>
      </c>
      <c r="B15">
        <f>8+A15</f>
        <v>19</v>
      </c>
      <c r="C15" t="str">
        <f>IF(B15&lt;=$C$3,IF(ISNUMBER(INDEX(SIM_MERCADO!$H:$H,B15)),IF(ISNUMBER(INDEX(SIM_MERCADO!$A:$A,B15)),INDEX(SIM_MERCADO!$A:$A,B15),B15-8),""),"")</f>
        <v/>
      </c>
      <c r="D15" s="1" t="str">
        <f>IF(C15="","",INDEX(SIM_MERCADO!$H:$H,B15))</f>
        <v/>
      </c>
      <c r="E15">
        <f>IF(C15="",0,IF(OR(SIM_COMBINACIONES!$B$6="NO",$J$3&lt;=SIM_COMBINACIONES!$B$5),1,IF(AND(D15&gt;=SIM_COMBINACIONES!$B$3,D15&lt;=SIM_COMBINACIONES!$B$4),1,0)))</f>
        <v>0</v>
      </c>
      <c r="F15" t="str">
        <f>IF(E15=1,SUM(E$5:E15),"")</f>
        <v/>
      </c>
      <c r="G15" t="str">
        <f>IF(E15=1,D15+A15*0.000000001,"")</f>
        <v/>
      </c>
      <c r="H15">
        <v>11</v>
      </c>
      <c r="I15" t="str">
        <f>IFERROR(INDEX($C$5:$C$34,MATCH(SMALL($G$5:$G$34,H15),$G$5:$G$34,0)),"")</f>
        <v/>
      </c>
      <c r="J15" s="1" t="str">
        <f>IFERROR(INDEX($D$5:$D$34,MATCH(SMALL($G$5:$G$34,H15),$G$5:$G$34,0)),"")</f>
        <v/>
      </c>
      <c r="L15">
        <v>1</v>
      </c>
      <c r="M15">
        <v>13</v>
      </c>
      <c r="N15">
        <f>IF(L15+M15-1&lt;=$J$2,1,0)</f>
        <v>0</v>
      </c>
      <c r="O15" t="str">
        <f>IF(N15=1,_xlfn.STDEV.S(INDEX($J$5:$J$34,L15):INDEX($J$5:$J$34,L15+M15-1))/AVERAGE(INDEX($J$5:$J$34,L15):INDEX($J$5:$J$34,L15+M15-1)),"")</f>
        <v/>
      </c>
      <c r="P15" t="str">
        <f>IF(N15=1,IF(O15&lt;=SIM_COMBINACIONES!$B$5,1,0),"")</f>
        <v/>
      </c>
      <c r="Q15" t="str">
        <f>IF(N15=1,IF(P15=1,-M15,100)+O15+ROW()*0.000000000001,"")</f>
        <v/>
      </c>
    </row>
    <row r="16" spans="1:17" x14ac:dyDescent="0.3">
      <c r="A16">
        <v>12</v>
      </c>
      <c r="B16">
        <f>8+A16</f>
        <v>20</v>
      </c>
      <c r="C16" t="str">
        <f>IF(B16&lt;=$C$3,IF(ISNUMBER(INDEX(SIM_MERCADO!$H:$H,B16)),IF(ISNUMBER(INDEX(SIM_MERCADO!$A:$A,B16)),INDEX(SIM_MERCADO!$A:$A,B16),B16-8),""),"")</f>
        <v/>
      </c>
      <c r="D16" s="1" t="str">
        <f>IF(C16="","",INDEX(SIM_MERCADO!$H:$H,B16))</f>
        <v/>
      </c>
      <c r="E16">
        <f>IF(C16="",0,IF(OR(SIM_COMBINACIONES!$B$6="NO",$J$3&lt;=SIM_COMBINACIONES!$B$5),1,IF(AND(D16&gt;=SIM_COMBINACIONES!$B$3,D16&lt;=SIM_COMBINACIONES!$B$4),1,0)))</f>
        <v>0</v>
      </c>
      <c r="F16" t="str">
        <f>IF(E16=1,SUM(E$5:E16),"")</f>
        <v/>
      </c>
      <c r="G16" t="str">
        <f>IF(E16=1,D16+A16*0.000000001,"")</f>
        <v/>
      </c>
      <c r="H16">
        <v>12</v>
      </c>
      <c r="I16" t="str">
        <f>IFERROR(INDEX($C$5:$C$34,MATCH(SMALL($G$5:$G$34,H16),$G$5:$G$34,0)),"")</f>
        <v/>
      </c>
      <c r="J16" s="1" t="str">
        <f>IFERROR(INDEX($D$5:$D$34,MATCH(SMALL($G$5:$G$34,H16),$G$5:$G$34,0)),"")</f>
        <v/>
      </c>
      <c r="L16">
        <v>1</v>
      </c>
      <c r="M16">
        <v>14</v>
      </c>
      <c r="N16">
        <f>IF(L16+M16-1&lt;=$J$2,1,0)</f>
        <v>0</v>
      </c>
      <c r="O16" t="str">
        <f>IF(N16=1,_xlfn.STDEV.S(INDEX($J$5:$J$34,L16):INDEX($J$5:$J$34,L16+M16-1))/AVERAGE(INDEX($J$5:$J$34,L16):INDEX($J$5:$J$34,L16+M16-1)),"")</f>
        <v/>
      </c>
      <c r="P16" t="str">
        <f>IF(N16=1,IF(O16&lt;=SIM_COMBINACIONES!$B$5,1,0),"")</f>
        <v/>
      </c>
      <c r="Q16" t="str">
        <f>IF(N16=1,IF(P16=1,-M16,100)+O16+ROW()*0.000000000001,"")</f>
        <v/>
      </c>
    </row>
    <row r="17" spans="1:17" x14ac:dyDescent="0.3">
      <c r="A17">
        <v>13</v>
      </c>
      <c r="B17">
        <f>8+A17</f>
        <v>21</v>
      </c>
      <c r="C17" t="str">
        <f>IF(B17&lt;=$C$3,IF(ISNUMBER(INDEX(SIM_MERCADO!$H:$H,B17)),IF(ISNUMBER(INDEX(SIM_MERCADO!$A:$A,B17)),INDEX(SIM_MERCADO!$A:$A,B17),B17-8),""),"")</f>
        <v/>
      </c>
      <c r="D17" s="1" t="str">
        <f>IF(C17="","",INDEX(SIM_MERCADO!$H:$H,B17))</f>
        <v/>
      </c>
      <c r="E17">
        <f>IF(C17="",0,IF(OR(SIM_COMBINACIONES!$B$6="NO",$J$3&lt;=SIM_COMBINACIONES!$B$5),1,IF(AND(D17&gt;=SIM_COMBINACIONES!$B$3,D17&lt;=SIM_COMBINACIONES!$B$4),1,0)))</f>
        <v>0</v>
      </c>
      <c r="F17" t="str">
        <f>IF(E17=1,SUM(E$5:E17),"")</f>
        <v/>
      </c>
      <c r="G17" t="str">
        <f>IF(E17=1,D17+A17*0.000000001,"")</f>
        <v/>
      </c>
      <c r="H17">
        <v>13</v>
      </c>
      <c r="I17" t="str">
        <f>IFERROR(INDEX($C$5:$C$34,MATCH(SMALL($G$5:$G$34,H17),$G$5:$G$34,0)),"")</f>
        <v/>
      </c>
      <c r="J17" s="1" t="str">
        <f>IFERROR(INDEX($D$5:$D$34,MATCH(SMALL($G$5:$G$34,H17),$G$5:$G$34,0)),"")</f>
        <v/>
      </c>
      <c r="L17">
        <v>1</v>
      </c>
      <c r="M17">
        <v>15</v>
      </c>
      <c r="N17">
        <f>IF(L17+M17-1&lt;=$J$2,1,0)</f>
        <v>0</v>
      </c>
      <c r="O17" t="str">
        <f>IF(N17=1,_xlfn.STDEV.S(INDEX($J$5:$J$34,L17):INDEX($J$5:$J$34,L17+M17-1))/AVERAGE(INDEX($J$5:$J$34,L17):INDEX($J$5:$J$34,L17+M17-1)),"")</f>
        <v/>
      </c>
      <c r="P17" t="str">
        <f>IF(N17=1,IF(O17&lt;=SIM_COMBINACIONES!$B$5,1,0),"")</f>
        <v/>
      </c>
      <c r="Q17" t="str">
        <f>IF(N17=1,IF(P17=1,-M17,100)+O17+ROW()*0.000000000001,"")</f>
        <v/>
      </c>
    </row>
    <row r="18" spans="1:17" x14ac:dyDescent="0.3">
      <c r="A18">
        <v>14</v>
      </c>
      <c r="B18">
        <f>8+A18</f>
        <v>22</v>
      </c>
      <c r="C18" t="str">
        <f>IF(B18&lt;=$C$3,IF(ISNUMBER(INDEX(SIM_MERCADO!$H:$H,B18)),IF(ISNUMBER(INDEX(SIM_MERCADO!$A:$A,B18)),INDEX(SIM_MERCADO!$A:$A,B18),B18-8),""),"")</f>
        <v/>
      </c>
      <c r="D18" s="1" t="str">
        <f>IF(C18="","",INDEX(SIM_MERCADO!$H:$H,B18))</f>
        <v/>
      </c>
      <c r="E18">
        <f>IF(C18="",0,IF(OR(SIM_COMBINACIONES!$B$6="NO",$J$3&lt;=SIM_COMBINACIONES!$B$5),1,IF(AND(D18&gt;=SIM_COMBINACIONES!$B$3,D18&lt;=SIM_COMBINACIONES!$B$4),1,0)))</f>
        <v>0</v>
      </c>
      <c r="F18" t="str">
        <f>IF(E18=1,SUM(E$5:E18),"")</f>
        <v/>
      </c>
      <c r="G18" t="str">
        <f>IF(E18=1,D18+A18*0.000000001,"")</f>
        <v/>
      </c>
      <c r="H18">
        <v>14</v>
      </c>
      <c r="I18" t="str">
        <f>IFERROR(INDEX($C$5:$C$34,MATCH(SMALL($G$5:$G$34,H18),$G$5:$G$34,0)),"")</f>
        <v/>
      </c>
      <c r="J18" s="1" t="str">
        <f>IFERROR(INDEX($D$5:$D$34,MATCH(SMALL($G$5:$G$34,H18),$G$5:$G$34,0)),"")</f>
        <v/>
      </c>
      <c r="L18">
        <v>1</v>
      </c>
      <c r="M18">
        <v>16</v>
      </c>
      <c r="N18">
        <f>IF(L18+M18-1&lt;=$J$2,1,0)</f>
        <v>0</v>
      </c>
      <c r="O18" t="str">
        <f>IF(N18=1,_xlfn.STDEV.S(INDEX($J$5:$J$34,L18):INDEX($J$5:$J$34,L18+M18-1))/AVERAGE(INDEX($J$5:$J$34,L18):INDEX($J$5:$J$34,L18+M18-1)),"")</f>
        <v/>
      </c>
      <c r="P18" t="str">
        <f>IF(N18=1,IF(O18&lt;=SIM_COMBINACIONES!$B$5,1,0),"")</f>
        <v/>
      </c>
      <c r="Q18" t="str">
        <f>IF(N18=1,IF(P18=1,-M18,100)+O18+ROW()*0.000000000001,"")</f>
        <v/>
      </c>
    </row>
    <row r="19" spans="1:17" x14ac:dyDescent="0.3">
      <c r="A19">
        <v>15</v>
      </c>
      <c r="B19">
        <f>8+A19</f>
        <v>23</v>
      </c>
      <c r="C19" t="str">
        <f>IF(B19&lt;=$C$3,IF(ISNUMBER(INDEX(SIM_MERCADO!$H:$H,B19)),IF(ISNUMBER(INDEX(SIM_MERCADO!$A:$A,B19)),INDEX(SIM_MERCADO!$A:$A,B19),B19-8),""),"")</f>
        <v/>
      </c>
      <c r="D19" s="1" t="str">
        <f>IF(C19="","",INDEX(SIM_MERCADO!$H:$H,B19))</f>
        <v/>
      </c>
      <c r="E19">
        <f>IF(C19="",0,IF(OR(SIM_COMBINACIONES!$B$6="NO",$J$3&lt;=SIM_COMBINACIONES!$B$5),1,IF(AND(D19&gt;=SIM_COMBINACIONES!$B$3,D19&lt;=SIM_COMBINACIONES!$B$4),1,0)))</f>
        <v>0</v>
      </c>
      <c r="F19" t="str">
        <f>IF(E19=1,SUM(E$5:E19),"")</f>
        <v/>
      </c>
      <c r="G19" t="str">
        <f>IF(E19=1,D19+A19*0.000000001,"")</f>
        <v/>
      </c>
      <c r="H19">
        <v>15</v>
      </c>
      <c r="I19" t="str">
        <f>IFERROR(INDEX($C$5:$C$34,MATCH(SMALL($G$5:$G$34,H19),$G$5:$G$34,0)),"")</f>
        <v/>
      </c>
      <c r="J19" s="1" t="str">
        <f>IFERROR(INDEX($D$5:$D$34,MATCH(SMALL($G$5:$G$34,H19),$G$5:$G$34,0)),"")</f>
        <v/>
      </c>
      <c r="L19">
        <v>1</v>
      </c>
      <c r="M19">
        <v>17</v>
      </c>
      <c r="N19">
        <f>IF(L19+M19-1&lt;=$J$2,1,0)</f>
        <v>0</v>
      </c>
      <c r="O19" t="str">
        <f>IF(N19=1,_xlfn.STDEV.S(INDEX($J$5:$J$34,L19):INDEX($J$5:$J$34,L19+M19-1))/AVERAGE(INDEX($J$5:$J$34,L19):INDEX($J$5:$J$34,L19+M19-1)),"")</f>
        <v/>
      </c>
      <c r="P19" t="str">
        <f>IF(N19=1,IF(O19&lt;=SIM_COMBINACIONES!$B$5,1,0),"")</f>
        <v/>
      </c>
      <c r="Q19" t="str">
        <f>IF(N19=1,IF(P19=1,-M19,100)+O19+ROW()*0.000000000001,"")</f>
        <v/>
      </c>
    </row>
    <row r="20" spans="1:17" x14ac:dyDescent="0.3">
      <c r="A20">
        <v>16</v>
      </c>
      <c r="B20">
        <f>8+A20</f>
        <v>24</v>
      </c>
      <c r="C20" t="str">
        <f>IF(B20&lt;=$C$3,IF(ISNUMBER(INDEX(SIM_MERCADO!$H:$H,B20)),IF(ISNUMBER(INDEX(SIM_MERCADO!$A:$A,B20)),INDEX(SIM_MERCADO!$A:$A,B20),B20-8),""),"")</f>
        <v/>
      </c>
      <c r="D20" s="1" t="str">
        <f>IF(C20="","",INDEX(SIM_MERCADO!$H:$H,B20))</f>
        <v/>
      </c>
      <c r="E20">
        <f>IF(C20="",0,IF(OR(SIM_COMBINACIONES!$B$6="NO",$J$3&lt;=SIM_COMBINACIONES!$B$5),1,IF(AND(D20&gt;=SIM_COMBINACIONES!$B$3,D20&lt;=SIM_COMBINACIONES!$B$4),1,0)))</f>
        <v>0</v>
      </c>
      <c r="F20" t="str">
        <f>IF(E20=1,SUM(E$5:E20),"")</f>
        <v/>
      </c>
      <c r="G20" t="str">
        <f>IF(E20=1,D20+A20*0.000000001,"")</f>
        <v/>
      </c>
      <c r="H20">
        <v>16</v>
      </c>
      <c r="I20" t="str">
        <f>IFERROR(INDEX($C$5:$C$34,MATCH(SMALL($G$5:$G$34,H20),$G$5:$G$34,0)),"")</f>
        <v/>
      </c>
      <c r="J20" s="1" t="str">
        <f>IFERROR(INDEX($D$5:$D$34,MATCH(SMALL($G$5:$G$34,H20),$G$5:$G$34,0)),"")</f>
        <v/>
      </c>
      <c r="L20">
        <v>1</v>
      </c>
      <c r="M20">
        <v>18</v>
      </c>
      <c r="N20">
        <f>IF(L20+M20-1&lt;=$J$2,1,0)</f>
        <v>0</v>
      </c>
      <c r="O20" t="str">
        <f>IF(N20=1,_xlfn.STDEV.S(INDEX($J$5:$J$34,L20):INDEX($J$5:$J$34,L20+M20-1))/AVERAGE(INDEX($J$5:$J$34,L20):INDEX($J$5:$J$34,L20+M20-1)),"")</f>
        <v/>
      </c>
      <c r="P20" t="str">
        <f>IF(N20=1,IF(O20&lt;=SIM_COMBINACIONES!$B$5,1,0),"")</f>
        <v/>
      </c>
      <c r="Q20" t="str">
        <f>IF(N20=1,IF(P20=1,-M20,100)+O20+ROW()*0.000000000001,"")</f>
        <v/>
      </c>
    </row>
    <row r="21" spans="1:17" x14ac:dyDescent="0.3">
      <c r="A21">
        <v>17</v>
      </c>
      <c r="B21">
        <f>8+A21</f>
        <v>25</v>
      </c>
      <c r="C21" t="str">
        <f>IF(B21&lt;=$C$3,IF(ISNUMBER(INDEX(SIM_MERCADO!$H:$H,B21)),IF(ISNUMBER(INDEX(SIM_MERCADO!$A:$A,B21)),INDEX(SIM_MERCADO!$A:$A,B21),B21-8),""),"")</f>
        <v/>
      </c>
      <c r="D21" s="1" t="str">
        <f>IF(C21="","",INDEX(SIM_MERCADO!$H:$H,B21))</f>
        <v/>
      </c>
      <c r="E21">
        <f>IF(C21="",0,IF(OR(SIM_COMBINACIONES!$B$6="NO",$J$3&lt;=SIM_COMBINACIONES!$B$5),1,IF(AND(D21&gt;=SIM_COMBINACIONES!$B$3,D21&lt;=SIM_COMBINACIONES!$B$4),1,0)))</f>
        <v>0</v>
      </c>
      <c r="F21" t="str">
        <f>IF(E21=1,SUM(E$5:E21),"")</f>
        <v/>
      </c>
      <c r="G21" t="str">
        <f>IF(E21=1,D21+A21*0.000000001,"")</f>
        <v/>
      </c>
      <c r="H21">
        <v>17</v>
      </c>
      <c r="I21" t="str">
        <f>IFERROR(INDEX($C$5:$C$34,MATCH(SMALL($G$5:$G$34,H21),$G$5:$G$34,0)),"")</f>
        <v/>
      </c>
      <c r="J21" s="1" t="str">
        <f>IFERROR(INDEX($D$5:$D$34,MATCH(SMALL($G$5:$G$34,H21),$G$5:$G$34,0)),"")</f>
        <v/>
      </c>
      <c r="L21">
        <v>1</v>
      </c>
      <c r="M21">
        <v>19</v>
      </c>
      <c r="N21">
        <f>IF(L21+M21-1&lt;=$J$2,1,0)</f>
        <v>0</v>
      </c>
      <c r="O21" t="str">
        <f>IF(N21=1,_xlfn.STDEV.S(INDEX($J$5:$J$34,L21):INDEX($J$5:$J$34,L21+M21-1))/AVERAGE(INDEX($J$5:$J$34,L21):INDEX($J$5:$J$34,L21+M21-1)),"")</f>
        <v/>
      </c>
      <c r="P21" t="str">
        <f>IF(N21=1,IF(O21&lt;=SIM_COMBINACIONES!$B$5,1,0),"")</f>
        <v/>
      </c>
      <c r="Q21" t="str">
        <f>IF(N21=1,IF(P21=1,-M21,100)+O21+ROW()*0.000000000001,"")</f>
        <v/>
      </c>
    </row>
    <row r="22" spans="1:17" x14ac:dyDescent="0.3">
      <c r="A22">
        <v>18</v>
      </c>
      <c r="B22">
        <f>8+A22</f>
        <v>26</v>
      </c>
      <c r="C22" t="str">
        <f>IF(B22&lt;=$C$3,IF(ISNUMBER(INDEX(SIM_MERCADO!$H:$H,B22)),IF(ISNUMBER(INDEX(SIM_MERCADO!$A:$A,B22)),INDEX(SIM_MERCADO!$A:$A,B22),B22-8),""),"")</f>
        <v/>
      </c>
      <c r="D22" s="1" t="str">
        <f>IF(C22="","",INDEX(SIM_MERCADO!$H:$H,B22))</f>
        <v/>
      </c>
      <c r="E22">
        <f>IF(C22="",0,IF(OR(SIM_COMBINACIONES!$B$6="NO",$J$3&lt;=SIM_COMBINACIONES!$B$5),1,IF(AND(D22&gt;=SIM_COMBINACIONES!$B$3,D22&lt;=SIM_COMBINACIONES!$B$4),1,0)))</f>
        <v>0</v>
      </c>
      <c r="F22" t="str">
        <f>IF(E22=1,SUM(E$5:E22),"")</f>
        <v/>
      </c>
      <c r="G22" t="str">
        <f>IF(E22=1,D22+A22*0.000000001,"")</f>
        <v/>
      </c>
      <c r="H22">
        <v>18</v>
      </c>
      <c r="I22" t="str">
        <f>IFERROR(INDEX($C$5:$C$34,MATCH(SMALL($G$5:$G$34,H22),$G$5:$G$34,0)),"")</f>
        <v/>
      </c>
      <c r="J22" s="1" t="str">
        <f>IFERROR(INDEX($D$5:$D$34,MATCH(SMALL($G$5:$G$34,H22),$G$5:$G$34,0)),"")</f>
        <v/>
      </c>
      <c r="L22">
        <v>1</v>
      </c>
      <c r="M22">
        <v>20</v>
      </c>
      <c r="N22">
        <f>IF(L22+M22-1&lt;=$J$2,1,0)</f>
        <v>0</v>
      </c>
      <c r="O22" t="str">
        <f>IF(N22=1,_xlfn.STDEV.S(INDEX($J$5:$J$34,L22):INDEX($J$5:$J$34,L22+M22-1))/AVERAGE(INDEX($J$5:$J$34,L22):INDEX($J$5:$J$34,L22+M22-1)),"")</f>
        <v/>
      </c>
      <c r="P22" t="str">
        <f>IF(N22=1,IF(O22&lt;=SIM_COMBINACIONES!$B$5,1,0),"")</f>
        <v/>
      </c>
      <c r="Q22" t="str">
        <f>IF(N22=1,IF(P22=1,-M22,100)+O22+ROW()*0.000000000001,"")</f>
        <v/>
      </c>
    </row>
    <row r="23" spans="1:17" x14ac:dyDescent="0.3">
      <c r="A23">
        <v>19</v>
      </c>
      <c r="B23">
        <f>8+A23</f>
        <v>27</v>
      </c>
      <c r="C23" t="str">
        <f>IF(B23&lt;=$C$3,IF(ISNUMBER(INDEX(SIM_MERCADO!$H:$H,B23)),IF(ISNUMBER(INDEX(SIM_MERCADO!$A:$A,B23)),INDEX(SIM_MERCADO!$A:$A,B23),B23-8),""),"")</f>
        <v/>
      </c>
      <c r="D23" s="1" t="str">
        <f>IF(C23="","",INDEX(SIM_MERCADO!$H:$H,B23))</f>
        <v/>
      </c>
      <c r="E23">
        <f>IF(C23="",0,IF(OR(SIM_COMBINACIONES!$B$6="NO",$J$3&lt;=SIM_COMBINACIONES!$B$5),1,IF(AND(D23&gt;=SIM_COMBINACIONES!$B$3,D23&lt;=SIM_COMBINACIONES!$B$4),1,0)))</f>
        <v>0</v>
      </c>
      <c r="F23" t="str">
        <f>IF(E23=1,SUM(E$5:E23),"")</f>
        <v/>
      </c>
      <c r="G23" t="str">
        <f>IF(E23=1,D23+A23*0.000000001,"")</f>
        <v/>
      </c>
      <c r="H23">
        <v>19</v>
      </c>
      <c r="I23" t="str">
        <f>IFERROR(INDEX($C$5:$C$34,MATCH(SMALL($G$5:$G$34,H23),$G$5:$G$34,0)),"")</f>
        <v/>
      </c>
      <c r="J23" s="1" t="str">
        <f>IFERROR(INDEX($D$5:$D$34,MATCH(SMALL($G$5:$G$34,H23),$G$5:$G$34,0)),"")</f>
        <v/>
      </c>
      <c r="L23">
        <v>1</v>
      </c>
      <c r="M23">
        <v>21</v>
      </c>
      <c r="N23">
        <f>IF(L23+M23-1&lt;=$J$2,1,0)</f>
        <v>0</v>
      </c>
      <c r="O23" t="str">
        <f>IF(N23=1,_xlfn.STDEV.S(INDEX($J$5:$J$34,L23):INDEX($J$5:$J$34,L23+M23-1))/AVERAGE(INDEX($J$5:$J$34,L23):INDEX($J$5:$J$34,L23+M23-1)),"")</f>
        <v/>
      </c>
      <c r="P23" t="str">
        <f>IF(N23=1,IF(O23&lt;=SIM_COMBINACIONES!$B$5,1,0),"")</f>
        <v/>
      </c>
      <c r="Q23" t="str">
        <f>IF(N23=1,IF(P23=1,-M23,100)+O23+ROW()*0.000000000001,"")</f>
        <v/>
      </c>
    </row>
    <row r="24" spans="1:17" x14ac:dyDescent="0.3">
      <c r="A24">
        <v>20</v>
      </c>
      <c r="B24">
        <f>8+A24</f>
        <v>28</v>
      </c>
      <c r="C24" t="str">
        <f>IF(B24&lt;=$C$3,IF(ISNUMBER(INDEX(SIM_MERCADO!$H:$H,B24)),IF(ISNUMBER(INDEX(SIM_MERCADO!$A:$A,B24)),INDEX(SIM_MERCADO!$A:$A,B24),B24-8),""),"")</f>
        <v/>
      </c>
      <c r="D24" s="1" t="str">
        <f>IF(C24="","",INDEX(SIM_MERCADO!$H:$H,B24))</f>
        <v/>
      </c>
      <c r="E24">
        <f>IF(C24="",0,IF(OR(SIM_COMBINACIONES!$B$6="NO",$J$3&lt;=SIM_COMBINACIONES!$B$5),1,IF(AND(D24&gt;=SIM_COMBINACIONES!$B$3,D24&lt;=SIM_COMBINACIONES!$B$4),1,0)))</f>
        <v>0</v>
      </c>
      <c r="F24" t="str">
        <f>IF(E24=1,SUM(E$5:E24),"")</f>
        <v/>
      </c>
      <c r="G24" t="str">
        <f>IF(E24=1,D24+A24*0.000000001,"")</f>
        <v/>
      </c>
      <c r="H24">
        <v>20</v>
      </c>
      <c r="I24" t="str">
        <f>IFERROR(INDEX($C$5:$C$34,MATCH(SMALL($G$5:$G$34,H24),$G$5:$G$34,0)),"")</f>
        <v/>
      </c>
      <c r="J24" s="1" t="str">
        <f>IFERROR(INDEX($D$5:$D$34,MATCH(SMALL($G$5:$G$34,H24),$G$5:$G$34,0)),"")</f>
        <v/>
      </c>
      <c r="L24">
        <v>1</v>
      </c>
      <c r="M24">
        <v>22</v>
      </c>
      <c r="N24">
        <f>IF(L24+M24-1&lt;=$J$2,1,0)</f>
        <v>0</v>
      </c>
      <c r="O24" t="str">
        <f>IF(N24=1,_xlfn.STDEV.S(INDEX($J$5:$J$34,L24):INDEX($J$5:$J$34,L24+M24-1))/AVERAGE(INDEX($J$5:$J$34,L24):INDEX($J$5:$J$34,L24+M24-1)),"")</f>
        <v/>
      </c>
      <c r="P24" t="str">
        <f>IF(N24=1,IF(O24&lt;=SIM_COMBINACIONES!$B$5,1,0),"")</f>
        <v/>
      </c>
      <c r="Q24" t="str">
        <f>IF(N24=1,IF(P24=1,-M24,100)+O24+ROW()*0.000000000001,"")</f>
        <v/>
      </c>
    </row>
    <row r="25" spans="1:17" x14ac:dyDescent="0.3">
      <c r="A25">
        <v>21</v>
      </c>
      <c r="B25">
        <f>8+A25</f>
        <v>29</v>
      </c>
      <c r="C25" t="str">
        <f>IF(B25&lt;=$C$3,IF(ISNUMBER(INDEX(SIM_MERCADO!$H:$H,B25)),IF(ISNUMBER(INDEX(SIM_MERCADO!$A:$A,B25)),INDEX(SIM_MERCADO!$A:$A,B25),B25-8),""),"")</f>
        <v/>
      </c>
      <c r="D25" s="1" t="str">
        <f>IF(C25="","",INDEX(SIM_MERCADO!$H:$H,B25))</f>
        <v/>
      </c>
      <c r="E25">
        <f>IF(C25="",0,IF(OR(SIM_COMBINACIONES!$B$6="NO",$J$3&lt;=SIM_COMBINACIONES!$B$5),1,IF(AND(D25&gt;=SIM_COMBINACIONES!$B$3,D25&lt;=SIM_COMBINACIONES!$B$4),1,0)))</f>
        <v>0</v>
      </c>
      <c r="F25" t="str">
        <f>IF(E25=1,SUM(E$5:E25),"")</f>
        <v/>
      </c>
      <c r="G25" t="str">
        <f>IF(E25=1,D25+A25*0.000000001,"")</f>
        <v/>
      </c>
      <c r="H25">
        <v>21</v>
      </c>
      <c r="I25" t="str">
        <f>IFERROR(INDEX($C$5:$C$34,MATCH(SMALL($G$5:$G$34,H25),$G$5:$G$34,0)),"")</f>
        <v/>
      </c>
      <c r="J25" s="1" t="str">
        <f>IFERROR(INDEX($D$5:$D$34,MATCH(SMALL($G$5:$G$34,H25),$G$5:$G$34,0)),"")</f>
        <v/>
      </c>
      <c r="L25">
        <v>1</v>
      </c>
      <c r="M25">
        <v>23</v>
      </c>
      <c r="N25">
        <f>IF(L25+M25-1&lt;=$J$2,1,0)</f>
        <v>0</v>
      </c>
      <c r="O25" t="str">
        <f>IF(N25=1,_xlfn.STDEV.S(INDEX($J$5:$J$34,L25):INDEX($J$5:$J$34,L25+M25-1))/AVERAGE(INDEX($J$5:$J$34,L25):INDEX($J$5:$J$34,L25+M25-1)),"")</f>
        <v/>
      </c>
      <c r="P25" t="str">
        <f>IF(N25=1,IF(O25&lt;=SIM_COMBINACIONES!$B$5,1,0),"")</f>
        <v/>
      </c>
      <c r="Q25" t="str">
        <f>IF(N25=1,IF(P25=1,-M25,100)+O25+ROW()*0.000000000001,"")</f>
        <v/>
      </c>
    </row>
    <row r="26" spans="1:17" x14ac:dyDescent="0.3">
      <c r="A26">
        <v>22</v>
      </c>
      <c r="B26">
        <f>8+A26</f>
        <v>30</v>
      </c>
      <c r="C26" t="str">
        <f>IF(B26&lt;=$C$3,IF(ISNUMBER(INDEX(SIM_MERCADO!$H:$H,B26)),IF(ISNUMBER(INDEX(SIM_MERCADO!$A:$A,B26)),INDEX(SIM_MERCADO!$A:$A,B26),B26-8),""),"")</f>
        <v/>
      </c>
      <c r="D26" s="1" t="str">
        <f>IF(C26="","",INDEX(SIM_MERCADO!$H:$H,B26))</f>
        <v/>
      </c>
      <c r="E26">
        <f>IF(C26="",0,IF(OR(SIM_COMBINACIONES!$B$6="NO",$J$3&lt;=SIM_COMBINACIONES!$B$5),1,IF(AND(D26&gt;=SIM_COMBINACIONES!$B$3,D26&lt;=SIM_COMBINACIONES!$B$4),1,0)))</f>
        <v>0</v>
      </c>
      <c r="F26" t="str">
        <f>IF(E26=1,SUM(E$5:E26),"")</f>
        <v/>
      </c>
      <c r="G26" t="str">
        <f>IF(E26=1,D26+A26*0.000000001,"")</f>
        <v/>
      </c>
      <c r="H26">
        <v>22</v>
      </c>
      <c r="I26" t="str">
        <f>IFERROR(INDEX($C$5:$C$34,MATCH(SMALL($G$5:$G$34,H26),$G$5:$G$34,0)),"")</f>
        <v/>
      </c>
      <c r="J26" s="1" t="str">
        <f>IFERROR(INDEX($D$5:$D$34,MATCH(SMALL($G$5:$G$34,H26),$G$5:$G$34,0)),"")</f>
        <v/>
      </c>
      <c r="L26">
        <v>1</v>
      </c>
      <c r="M26">
        <v>24</v>
      </c>
      <c r="N26">
        <f>IF(L26+M26-1&lt;=$J$2,1,0)</f>
        <v>0</v>
      </c>
      <c r="O26" t="str">
        <f>IF(N26=1,_xlfn.STDEV.S(INDEX($J$5:$J$34,L26):INDEX($J$5:$J$34,L26+M26-1))/AVERAGE(INDEX($J$5:$J$34,L26):INDEX($J$5:$J$34,L26+M26-1)),"")</f>
        <v/>
      </c>
      <c r="P26" t="str">
        <f>IF(N26=1,IF(O26&lt;=SIM_COMBINACIONES!$B$5,1,0),"")</f>
        <v/>
      </c>
      <c r="Q26" t="str">
        <f>IF(N26=1,IF(P26=1,-M26,100)+O26+ROW()*0.000000000001,"")</f>
        <v/>
      </c>
    </row>
    <row r="27" spans="1:17" x14ac:dyDescent="0.3">
      <c r="A27">
        <v>23</v>
      </c>
      <c r="B27">
        <f>8+A27</f>
        <v>31</v>
      </c>
      <c r="C27" t="str">
        <f>IF(B27&lt;=$C$3,IF(ISNUMBER(INDEX(SIM_MERCADO!$H:$H,B27)),IF(ISNUMBER(INDEX(SIM_MERCADO!$A:$A,B27)),INDEX(SIM_MERCADO!$A:$A,B27),B27-8),""),"")</f>
        <v/>
      </c>
      <c r="D27" s="1" t="str">
        <f>IF(C27="","",INDEX(SIM_MERCADO!$H:$H,B27))</f>
        <v/>
      </c>
      <c r="E27">
        <f>IF(C27="",0,IF(OR(SIM_COMBINACIONES!$B$6="NO",$J$3&lt;=SIM_COMBINACIONES!$B$5),1,IF(AND(D27&gt;=SIM_COMBINACIONES!$B$3,D27&lt;=SIM_COMBINACIONES!$B$4),1,0)))</f>
        <v>0</v>
      </c>
      <c r="F27" t="str">
        <f>IF(E27=1,SUM(E$5:E27),"")</f>
        <v/>
      </c>
      <c r="G27" t="str">
        <f>IF(E27=1,D27+A27*0.000000001,"")</f>
        <v/>
      </c>
      <c r="H27">
        <v>23</v>
      </c>
      <c r="I27" t="str">
        <f>IFERROR(INDEX($C$5:$C$34,MATCH(SMALL($G$5:$G$34,H27),$G$5:$G$34,0)),"")</f>
        <v/>
      </c>
      <c r="J27" s="1" t="str">
        <f>IFERROR(INDEX($D$5:$D$34,MATCH(SMALL($G$5:$G$34,H27),$G$5:$G$34,0)),"")</f>
        <v/>
      </c>
      <c r="L27">
        <v>1</v>
      </c>
      <c r="M27">
        <v>25</v>
      </c>
      <c r="N27">
        <f>IF(L27+M27-1&lt;=$J$2,1,0)</f>
        <v>0</v>
      </c>
      <c r="O27" t="str">
        <f>IF(N27=1,_xlfn.STDEV.S(INDEX($J$5:$J$34,L27):INDEX($J$5:$J$34,L27+M27-1))/AVERAGE(INDEX($J$5:$J$34,L27):INDEX($J$5:$J$34,L27+M27-1)),"")</f>
        <v/>
      </c>
      <c r="P27" t="str">
        <f>IF(N27=1,IF(O27&lt;=SIM_COMBINACIONES!$B$5,1,0),"")</f>
        <v/>
      </c>
      <c r="Q27" t="str">
        <f>IF(N27=1,IF(P27=1,-M27,100)+O27+ROW()*0.000000000001,"")</f>
        <v/>
      </c>
    </row>
    <row r="28" spans="1:17" x14ac:dyDescent="0.3">
      <c r="A28">
        <v>24</v>
      </c>
      <c r="B28">
        <f>8+A28</f>
        <v>32</v>
      </c>
      <c r="C28" t="str">
        <f>IF(B28&lt;=$C$3,IF(ISNUMBER(INDEX(SIM_MERCADO!$H:$H,B28)),IF(ISNUMBER(INDEX(SIM_MERCADO!$A:$A,B28)),INDEX(SIM_MERCADO!$A:$A,B28),B28-8),""),"")</f>
        <v/>
      </c>
      <c r="D28" s="1" t="str">
        <f>IF(C28="","",INDEX(SIM_MERCADO!$H:$H,B28))</f>
        <v/>
      </c>
      <c r="E28">
        <f>IF(C28="",0,IF(OR(SIM_COMBINACIONES!$B$6="NO",$J$3&lt;=SIM_COMBINACIONES!$B$5),1,IF(AND(D28&gt;=SIM_COMBINACIONES!$B$3,D28&lt;=SIM_COMBINACIONES!$B$4),1,0)))</f>
        <v>0</v>
      </c>
      <c r="F28" t="str">
        <f>IF(E28=1,SUM(E$5:E28),"")</f>
        <v/>
      </c>
      <c r="G28" t="str">
        <f>IF(E28=1,D28+A28*0.000000001,"")</f>
        <v/>
      </c>
      <c r="H28">
        <v>24</v>
      </c>
      <c r="I28" t="str">
        <f>IFERROR(INDEX($C$5:$C$34,MATCH(SMALL($G$5:$G$34,H28),$G$5:$G$34,0)),"")</f>
        <v/>
      </c>
      <c r="J28" s="1" t="str">
        <f>IFERROR(INDEX($D$5:$D$34,MATCH(SMALL($G$5:$G$34,H28),$G$5:$G$34,0)),"")</f>
        <v/>
      </c>
      <c r="L28">
        <v>1</v>
      </c>
      <c r="M28">
        <v>26</v>
      </c>
      <c r="N28">
        <f>IF(L28+M28-1&lt;=$J$2,1,0)</f>
        <v>0</v>
      </c>
      <c r="O28" t="str">
        <f>IF(N28=1,_xlfn.STDEV.S(INDEX($J$5:$J$34,L28):INDEX($J$5:$J$34,L28+M28-1))/AVERAGE(INDEX($J$5:$J$34,L28):INDEX($J$5:$J$34,L28+M28-1)),"")</f>
        <v/>
      </c>
      <c r="P28" t="str">
        <f>IF(N28=1,IF(O28&lt;=SIM_COMBINACIONES!$B$5,1,0),"")</f>
        <v/>
      </c>
      <c r="Q28" t="str">
        <f>IF(N28=1,IF(P28=1,-M28,100)+O28+ROW()*0.000000000001,"")</f>
        <v/>
      </c>
    </row>
    <row r="29" spans="1:17" x14ac:dyDescent="0.3">
      <c r="A29">
        <v>25</v>
      </c>
      <c r="B29">
        <f>8+A29</f>
        <v>33</v>
      </c>
      <c r="C29" t="str">
        <f>IF(B29&lt;=$C$3,IF(ISNUMBER(INDEX(SIM_MERCADO!$H:$H,B29)),IF(ISNUMBER(INDEX(SIM_MERCADO!$A:$A,B29)),INDEX(SIM_MERCADO!$A:$A,B29),B29-8),""),"")</f>
        <v/>
      </c>
      <c r="D29" s="1" t="str">
        <f>IF(C29="","",INDEX(SIM_MERCADO!$H:$H,B29))</f>
        <v/>
      </c>
      <c r="E29">
        <f>IF(C29="",0,IF(OR(SIM_COMBINACIONES!$B$6="NO",$J$3&lt;=SIM_COMBINACIONES!$B$5),1,IF(AND(D29&gt;=SIM_COMBINACIONES!$B$3,D29&lt;=SIM_COMBINACIONES!$B$4),1,0)))</f>
        <v>0</v>
      </c>
      <c r="F29" t="str">
        <f>IF(E29=1,SUM(E$5:E29),"")</f>
        <v/>
      </c>
      <c r="G29" t="str">
        <f>IF(E29=1,D29+A29*0.000000001,"")</f>
        <v/>
      </c>
      <c r="H29">
        <v>25</v>
      </c>
      <c r="I29" t="str">
        <f>IFERROR(INDEX($C$5:$C$34,MATCH(SMALL($G$5:$G$34,H29),$G$5:$G$34,0)),"")</f>
        <v/>
      </c>
      <c r="J29" s="1" t="str">
        <f>IFERROR(INDEX($D$5:$D$34,MATCH(SMALL($G$5:$G$34,H29),$G$5:$G$34,0)),"")</f>
        <v/>
      </c>
      <c r="L29">
        <v>1</v>
      </c>
      <c r="M29">
        <v>27</v>
      </c>
      <c r="N29">
        <f>IF(L29+M29-1&lt;=$J$2,1,0)</f>
        <v>0</v>
      </c>
      <c r="O29" t="str">
        <f>IF(N29=1,_xlfn.STDEV.S(INDEX($J$5:$J$34,L29):INDEX($J$5:$J$34,L29+M29-1))/AVERAGE(INDEX($J$5:$J$34,L29):INDEX($J$5:$J$34,L29+M29-1)),"")</f>
        <v/>
      </c>
      <c r="P29" t="str">
        <f>IF(N29=1,IF(O29&lt;=SIM_COMBINACIONES!$B$5,1,0),"")</f>
        <v/>
      </c>
      <c r="Q29" t="str">
        <f>IF(N29=1,IF(P29=1,-M29,100)+O29+ROW()*0.000000000001,"")</f>
        <v/>
      </c>
    </row>
    <row r="30" spans="1:17" x14ac:dyDescent="0.3">
      <c r="A30">
        <v>26</v>
      </c>
      <c r="B30">
        <f>8+A30</f>
        <v>34</v>
      </c>
      <c r="C30" t="str">
        <f>IF(B30&lt;=$C$3,IF(ISNUMBER(INDEX(SIM_MERCADO!$H:$H,B30)),IF(ISNUMBER(INDEX(SIM_MERCADO!$A:$A,B30)),INDEX(SIM_MERCADO!$A:$A,B30),B30-8),""),"")</f>
        <v/>
      </c>
      <c r="D30" s="1" t="str">
        <f>IF(C30="","",INDEX(SIM_MERCADO!$H:$H,B30))</f>
        <v/>
      </c>
      <c r="E30">
        <f>IF(C30="",0,IF(OR(SIM_COMBINACIONES!$B$6="NO",$J$3&lt;=SIM_COMBINACIONES!$B$5),1,IF(AND(D30&gt;=SIM_COMBINACIONES!$B$3,D30&lt;=SIM_COMBINACIONES!$B$4),1,0)))</f>
        <v>0</v>
      </c>
      <c r="F30" t="str">
        <f>IF(E30=1,SUM(E$5:E30),"")</f>
        <v/>
      </c>
      <c r="G30" t="str">
        <f>IF(E30=1,D30+A30*0.000000001,"")</f>
        <v/>
      </c>
      <c r="H30">
        <v>26</v>
      </c>
      <c r="I30" t="str">
        <f>IFERROR(INDEX($C$5:$C$34,MATCH(SMALL($G$5:$G$34,H30),$G$5:$G$34,0)),"")</f>
        <v/>
      </c>
      <c r="J30" s="1" t="str">
        <f>IFERROR(INDEX($D$5:$D$34,MATCH(SMALL($G$5:$G$34,H30),$G$5:$G$34,0)),"")</f>
        <v/>
      </c>
      <c r="L30">
        <v>1</v>
      </c>
      <c r="M30">
        <v>28</v>
      </c>
      <c r="N30">
        <f>IF(L30+M30-1&lt;=$J$2,1,0)</f>
        <v>0</v>
      </c>
      <c r="O30" t="str">
        <f>IF(N30=1,_xlfn.STDEV.S(INDEX($J$5:$J$34,L30):INDEX($J$5:$J$34,L30+M30-1))/AVERAGE(INDEX($J$5:$J$34,L30):INDEX($J$5:$J$34,L30+M30-1)),"")</f>
        <v/>
      </c>
      <c r="P30" t="str">
        <f>IF(N30=1,IF(O30&lt;=SIM_COMBINACIONES!$B$5,1,0),"")</f>
        <v/>
      </c>
      <c r="Q30" t="str">
        <f>IF(N30=1,IF(P30=1,-M30,100)+O30+ROW()*0.000000000001,"")</f>
        <v/>
      </c>
    </row>
    <row r="31" spans="1:17" x14ac:dyDescent="0.3">
      <c r="A31">
        <v>27</v>
      </c>
      <c r="B31">
        <f>8+A31</f>
        <v>35</v>
      </c>
      <c r="C31" t="str">
        <f>IF(B31&lt;=$C$3,IF(ISNUMBER(INDEX(SIM_MERCADO!$H:$H,B31)),IF(ISNUMBER(INDEX(SIM_MERCADO!$A:$A,B31)),INDEX(SIM_MERCADO!$A:$A,B31),B31-8),""),"")</f>
        <v/>
      </c>
      <c r="D31" s="1" t="str">
        <f>IF(C31="","",INDEX(SIM_MERCADO!$H:$H,B31))</f>
        <v/>
      </c>
      <c r="E31">
        <f>IF(C31="",0,IF(OR(SIM_COMBINACIONES!$B$6="NO",$J$3&lt;=SIM_COMBINACIONES!$B$5),1,IF(AND(D31&gt;=SIM_COMBINACIONES!$B$3,D31&lt;=SIM_COMBINACIONES!$B$4),1,0)))</f>
        <v>0</v>
      </c>
      <c r="F31" t="str">
        <f>IF(E31=1,SUM(E$5:E31),"")</f>
        <v/>
      </c>
      <c r="G31" t="str">
        <f>IF(E31=1,D31+A31*0.000000001,"")</f>
        <v/>
      </c>
      <c r="H31">
        <v>27</v>
      </c>
      <c r="I31" t="str">
        <f>IFERROR(INDEX($C$5:$C$34,MATCH(SMALL($G$5:$G$34,H31),$G$5:$G$34,0)),"")</f>
        <v/>
      </c>
      <c r="J31" s="1" t="str">
        <f>IFERROR(INDEX($D$5:$D$34,MATCH(SMALL($G$5:$G$34,H31),$G$5:$G$34,0)),"")</f>
        <v/>
      </c>
      <c r="L31">
        <v>1</v>
      </c>
      <c r="M31">
        <v>29</v>
      </c>
      <c r="N31">
        <f>IF(L31+M31-1&lt;=$J$2,1,0)</f>
        <v>0</v>
      </c>
      <c r="O31" t="str">
        <f>IF(N31=1,_xlfn.STDEV.S(INDEX($J$5:$J$34,L31):INDEX($J$5:$J$34,L31+M31-1))/AVERAGE(INDEX($J$5:$J$34,L31):INDEX($J$5:$J$34,L31+M31-1)),"")</f>
        <v/>
      </c>
      <c r="P31" t="str">
        <f>IF(N31=1,IF(O31&lt;=SIM_COMBINACIONES!$B$5,1,0),"")</f>
        <v/>
      </c>
      <c r="Q31" t="str">
        <f>IF(N31=1,IF(P31=1,-M31,100)+O31+ROW()*0.000000000001,"")</f>
        <v/>
      </c>
    </row>
    <row r="32" spans="1:17" x14ac:dyDescent="0.3">
      <c r="A32">
        <v>28</v>
      </c>
      <c r="B32">
        <f>8+A32</f>
        <v>36</v>
      </c>
      <c r="C32" t="str">
        <f>IF(B32&lt;=$C$3,IF(ISNUMBER(INDEX(SIM_MERCADO!$H:$H,B32)),IF(ISNUMBER(INDEX(SIM_MERCADO!$A:$A,B32)),INDEX(SIM_MERCADO!$A:$A,B32),B32-8),""),"")</f>
        <v/>
      </c>
      <c r="D32" s="1" t="str">
        <f>IF(C32="","",INDEX(SIM_MERCADO!$H:$H,B32))</f>
        <v/>
      </c>
      <c r="E32">
        <f>IF(C32="",0,IF(OR(SIM_COMBINACIONES!$B$6="NO",$J$3&lt;=SIM_COMBINACIONES!$B$5),1,IF(AND(D32&gt;=SIM_COMBINACIONES!$B$3,D32&lt;=SIM_COMBINACIONES!$B$4),1,0)))</f>
        <v>0</v>
      </c>
      <c r="F32" t="str">
        <f>IF(E32=1,SUM(E$5:E32),"")</f>
        <v/>
      </c>
      <c r="G32" t="str">
        <f>IF(E32=1,D32+A32*0.000000001,"")</f>
        <v/>
      </c>
      <c r="H32">
        <v>28</v>
      </c>
      <c r="I32" t="str">
        <f>IFERROR(INDEX($C$5:$C$34,MATCH(SMALL($G$5:$G$34,H32),$G$5:$G$34,0)),"")</f>
        <v/>
      </c>
      <c r="J32" s="1" t="str">
        <f>IFERROR(INDEX($D$5:$D$34,MATCH(SMALL($G$5:$G$34,H32),$G$5:$G$34,0)),"")</f>
        <v/>
      </c>
      <c r="L32">
        <v>1</v>
      </c>
      <c r="M32">
        <v>30</v>
      </c>
      <c r="N32">
        <f>IF(L32+M32-1&lt;=$J$2,1,0)</f>
        <v>0</v>
      </c>
      <c r="O32" t="str">
        <f>IF(N32=1,_xlfn.STDEV.S(INDEX($J$5:$J$34,L32):INDEX($J$5:$J$34,L32+M32-1))/AVERAGE(INDEX($J$5:$J$34,L32):INDEX($J$5:$J$34,L32+M32-1)),"")</f>
        <v/>
      </c>
      <c r="P32" t="str">
        <f>IF(N32=1,IF(O32&lt;=SIM_COMBINACIONES!$B$5,1,0),"")</f>
        <v/>
      </c>
      <c r="Q32" t="str">
        <f>IF(N32=1,IF(P32=1,-M32,100)+O32+ROW()*0.000000000001,"")</f>
        <v/>
      </c>
    </row>
    <row r="33" spans="1:17" x14ac:dyDescent="0.3">
      <c r="A33">
        <v>29</v>
      </c>
      <c r="B33">
        <f>8+A33</f>
        <v>37</v>
      </c>
      <c r="C33" t="str">
        <f>IF(B33&lt;=$C$3,IF(ISNUMBER(INDEX(SIM_MERCADO!$H:$H,B33)),IF(ISNUMBER(INDEX(SIM_MERCADO!$A:$A,B33)),INDEX(SIM_MERCADO!$A:$A,B33),B33-8),""),"")</f>
        <v/>
      </c>
      <c r="D33" s="1" t="str">
        <f>IF(C33="","",INDEX(SIM_MERCADO!$H:$H,B33))</f>
        <v/>
      </c>
      <c r="E33">
        <f>IF(C33="",0,IF(OR(SIM_COMBINACIONES!$B$6="NO",$J$3&lt;=SIM_COMBINACIONES!$B$5),1,IF(AND(D33&gt;=SIM_COMBINACIONES!$B$3,D33&lt;=SIM_COMBINACIONES!$B$4),1,0)))</f>
        <v>0</v>
      </c>
      <c r="F33" t="str">
        <f>IF(E33=1,SUM(E$5:E33),"")</f>
        <v/>
      </c>
      <c r="G33" t="str">
        <f>IF(E33=1,D33+A33*0.000000001,"")</f>
        <v/>
      </c>
      <c r="H33">
        <v>29</v>
      </c>
      <c r="I33" t="str">
        <f>IFERROR(INDEX($C$5:$C$34,MATCH(SMALL($G$5:$G$34,H33),$G$5:$G$34,0)),"")</f>
        <v/>
      </c>
      <c r="J33" s="1" t="str">
        <f>IFERROR(INDEX($D$5:$D$34,MATCH(SMALL($G$5:$G$34,H33),$G$5:$G$34,0)),"")</f>
        <v/>
      </c>
      <c r="L33">
        <v>2</v>
      </c>
      <c r="M33">
        <v>3</v>
      </c>
      <c r="N33">
        <f>IF(L33+M33-1&lt;=$J$2,1,0)</f>
        <v>1</v>
      </c>
      <c r="O33">
        <f>IF(N33=1,_xlfn.STDEV.S(INDEX($J$5:$J$34,L33):INDEX($J$5:$J$34,L33+M33-1))/AVERAGE(INDEX($J$5:$J$34,L33):INDEX($J$5:$J$34,L33+M33-1)),"")</f>
        <v>7.0553911735210653E-2</v>
      </c>
      <c r="P33">
        <f>IF(N33=1,IF(O33&lt;=SIM_COMBINACIONES!$B$5,1,0),"")</f>
        <v>1</v>
      </c>
      <c r="Q33">
        <f>IF(N33=1,IF(P33=1,-M33,100)+O33+ROW()*0.000000000001,"")</f>
        <v>-2.9294460882317894</v>
      </c>
    </row>
    <row r="34" spans="1:17" x14ac:dyDescent="0.3">
      <c r="A34">
        <v>30</v>
      </c>
      <c r="B34">
        <f>8+A34</f>
        <v>38</v>
      </c>
      <c r="C34" t="str">
        <f>IF(B34&lt;=$C$3,IF(ISNUMBER(INDEX(SIM_MERCADO!$H:$H,B34)),IF(ISNUMBER(INDEX(SIM_MERCADO!$A:$A,B34)),INDEX(SIM_MERCADO!$A:$A,B34),B34-8),""),"")</f>
        <v/>
      </c>
      <c r="D34" s="1" t="str">
        <f>IF(C34="","",INDEX(SIM_MERCADO!$H:$H,B34))</f>
        <v/>
      </c>
      <c r="E34">
        <f>IF(C34="",0,IF(OR(SIM_COMBINACIONES!$B$6="NO",$J$3&lt;=SIM_COMBINACIONES!$B$5),1,IF(AND(D34&gt;=SIM_COMBINACIONES!$B$3,D34&lt;=SIM_COMBINACIONES!$B$4),1,0)))</f>
        <v>0</v>
      </c>
      <c r="F34" t="str">
        <f>IF(E34=1,SUM(E$5:E34),"")</f>
        <v/>
      </c>
      <c r="G34" t="str">
        <f>IF(E34=1,D34+A34*0.000000001,"")</f>
        <v/>
      </c>
      <c r="H34">
        <v>30</v>
      </c>
      <c r="I34" t="str">
        <f>IFERROR(INDEX($C$5:$C$34,MATCH(SMALL($G$5:$G$34,H34),$G$5:$G$34,0)),"")</f>
        <v/>
      </c>
      <c r="J34" s="1" t="str">
        <f>IFERROR(INDEX($D$5:$D$34,MATCH(SMALL($G$5:$G$34,H34),$G$5:$G$34,0)),"")</f>
        <v/>
      </c>
      <c r="L34">
        <v>2</v>
      </c>
      <c r="M34">
        <v>4</v>
      </c>
      <c r="N34">
        <f>IF(L34+M34-1&lt;=$J$2,1,0)</f>
        <v>0</v>
      </c>
      <c r="O34" t="str">
        <f>IF(N34=1,_xlfn.STDEV.S(INDEX($J$5:$J$34,L34):INDEX($J$5:$J$34,L34+M34-1))/AVERAGE(INDEX($J$5:$J$34,L34):INDEX($J$5:$J$34,L34+M34-1)),"")</f>
        <v/>
      </c>
      <c r="P34" t="str">
        <f>IF(N34=1,IF(O34&lt;=SIM_COMBINACIONES!$B$5,1,0),"")</f>
        <v/>
      </c>
      <c r="Q34" t="str">
        <f>IF(N34=1,IF(P34=1,-M34,100)+O34+ROW()*0.000000000001,"")</f>
        <v/>
      </c>
    </row>
    <row r="35" spans="1:17" x14ac:dyDescent="0.3">
      <c r="L35">
        <v>2</v>
      </c>
      <c r="M35">
        <v>5</v>
      </c>
      <c r="N35">
        <f>IF(L35+M35-1&lt;=$J$2,1,0)</f>
        <v>0</v>
      </c>
      <c r="O35" t="str">
        <f>IF(N35=1,_xlfn.STDEV.S(INDEX($J$5:$J$34,L35):INDEX($J$5:$J$34,L35+M35-1))/AVERAGE(INDEX($J$5:$J$34,L35):INDEX($J$5:$J$34,L35+M35-1)),"")</f>
        <v/>
      </c>
      <c r="P35" t="str">
        <f>IF(N35=1,IF(O35&lt;=SIM_COMBINACIONES!$B$5,1,0),"")</f>
        <v/>
      </c>
      <c r="Q35" t="str">
        <f>IF(N35=1,IF(P35=1,-M35,100)+O35+ROW()*0.000000000001,"")</f>
        <v/>
      </c>
    </row>
    <row r="36" spans="1:17" x14ac:dyDescent="0.3">
      <c r="L36">
        <v>2</v>
      </c>
      <c r="M36">
        <v>6</v>
      </c>
      <c r="N36">
        <f>IF(L36+M36-1&lt;=$J$2,1,0)</f>
        <v>0</v>
      </c>
      <c r="O36" t="str">
        <f>IF(N36=1,_xlfn.STDEV.S(INDEX($J$5:$J$34,L36):INDEX($J$5:$J$34,L36+M36-1))/AVERAGE(INDEX($J$5:$J$34,L36):INDEX($J$5:$J$34,L36+M36-1)),"")</f>
        <v/>
      </c>
      <c r="P36" t="str">
        <f>IF(N36=1,IF(O36&lt;=SIM_COMBINACIONES!$B$5,1,0),"")</f>
        <v/>
      </c>
      <c r="Q36" t="str">
        <f>IF(N36=1,IF(P36=1,-M36,100)+O36+ROW()*0.000000000001,"")</f>
        <v/>
      </c>
    </row>
    <row r="37" spans="1:17" x14ac:dyDescent="0.3">
      <c r="L37">
        <v>2</v>
      </c>
      <c r="M37">
        <v>7</v>
      </c>
      <c r="N37">
        <f>IF(L37+M37-1&lt;=$J$2,1,0)</f>
        <v>0</v>
      </c>
      <c r="O37" t="str">
        <f>IF(N37=1,_xlfn.STDEV.S(INDEX($J$5:$J$34,L37):INDEX($J$5:$J$34,L37+M37-1))/AVERAGE(INDEX($J$5:$J$34,L37):INDEX($J$5:$J$34,L37+M37-1)),"")</f>
        <v/>
      </c>
      <c r="P37" t="str">
        <f>IF(N37=1,IF(O37&lt;=SIM_COMBINACIONES!$B$5,1,0),"")</f>
        <v/>
      </c>
      <c r="Q37" t="str">
        <f>IF(N37=1,IF(P37=1,-M37,100)+O37+ROW()*0.000000000001,"")</f>
        <v/>
      </c>
    </row>
    <row r="38" spans="1:17" x14ac:dyDescent="0.3">
      <c r="L38">
        <v>2</v>
      </c>
      <c r="M38">
        <v>8</v>
      </c>
      <c r="N38">
        <f>IF(L38+M38-1&lt;=$J$2,1,0)</f>
        <v>0</v>
      </c>
      <c r="O38" t="str">
        <f>IF(N38=1,_xlfn.STDEV.S(INDEX($J$5:$J$34,L38):INDEX($J$5:$J$34,L38+M38-1))/AVERAGE(INDEX($J$5:$J$34,L38):INDEX($J$5:$J$34,L38+M38-1)),"")</f>
        <v/>
      </c>
      <c r="P38" t="str">
        <f>IF(N38=1,IF(O38&lt;=SIM_COMBINACIONES!$B$5,1,0),"")</f>
        <v/>
      </c>
      <c r="Q38" t="str">
        <f>IF(N38=1,IF(P38=1,-M38,100)+O38+ROW()*0.000000000001,"")</f>
        <v/>
      </c>
    </row>
    <row r="39" spans="1:17" x14ac:dyDescent="0.3">
      <c r="L39">
        <v>2</v>
      </c>
      <c r="M39">
        <v>9</v>
      </c>
      <c r="N39">
        <f>IF(L39+M39-1&lt;=$J$2,1,0)</f>
        <v>0</v>
      </c>
      <c r="O39" t="str">
        <f>IF(N39=1,_xlfn.STDEV.S(INDEX($J$5:$J$34,L39):INDEX($J$5:$J$34,L39+M39-1))/AVERAGE(INDEX($J$5:$J$34,L39):INDEX($J$5:$J$34,L39+M39-1)),"")</f>
        <v/>
      </c>
      <c r="P39" t="str">
        <f>IF(N39=1,IF(O39&lt;=SIM_COMBINACIONES!$B$5,1,0),"")</f>
        <v/>
      </c>
      <c r="Q39" t="str">
        <f>IF(N39=1,IF(P39=1,-M39,100)+O39+ROW()*0.000000000001,"")</f>
        <v/>
      </c>
    </row>
    <row r="40" spans="1:17" x14ac:dyDescent="0.3">
      <c r="L40">
        <v>2</v>
      </c>
      <c r="M40">
        <v>10</v>
      </c>
      <c r="N40">
        <f>IF(L40+M40-1&lt;=$J$2,1,0)</f>
        <v>0</v>
      </c>
      <c r="O40" t="str">
        <f>IF(N40=1,_xlfn.STDEV.S(INDEX($J$5:$J$34,L40):INDEX($J$5:$J$34,L40+M40-1))/AVERAGE(INDEX($J$5:$J$34,L40):INDEX($J$5:$J$34,L40+M40-1)),"")</f>
        <v/>
      </c>
      <c r="P40" t="str">
        <f>IF(N40=1,IF(O40&lt;=SIM_COMBINACIONES!$B$5,1,0),"")</f>
        <v/>
      </c>
      <c r="Q40" t="str">
        <f>IF(N40=1,IF(P40=1,-M40,100)+O40+ROW()*0.000000000001,"")</f>
        <v/>
      </c>
    </row>
    <row r="41" spans="1:17" x14ac:dyDescent="0.3">
      <c r="L41">
        <v>2</v>
      </c>
      <c r="M41">
        <v>11</v>
      </c>
      <c r="N41">
        <f>IF(L41+M41-1&lt;=$J$2,1,0)</f>
        <v>0</v>
      </c>
      <c r="O41" t="str">
        <f>IF(N41=1,_xlfn.STDEV.S(INDEX($J$5:$J$34,L41):INDEX($J$5:$J$34,L41+M41-1))/AVERAGE(INDEX($J$5:$J$34,L41):INDEX($J$5:$J$34,L41+M41-1)),"")</f>
        <v/>
      </c>
      <c r="P41" t="str">
        <f>IF(N41=1,IF(O41&lt;=SIM_COMBINACIONES!$B$5,1,0),"")</f>
        <v/>
      </c>
      <c r="Q41" t="str">
        <f>IF(N41=1,IF(P41=1,-M41,100)+O41+ROW()*0.000000000001,"")</f>
        <v/>
      </c>
    </row>
    <row r="42" spans="1:17" x14ac:dyDescent="0.3">
      <c r="L42">
        <v>2</v>
      </c>
      <c r="M42">
        <v>12</v>
      </c>
      <c r="N42">
        <f>IF(L42+M42-1&lt;=$J$2,1,0)</f>
        <v>0</v>
      </c>
      <c r="O42" t="str">
        <f>IF(N42=1,_xlfn.STDEV.S(INDEX($J$5:$J$34,L42):INDEX($J$5:$J$34,L42+M42-1))/AVERAGE(INDEX($J$5:$J$34,L42):INDEX($J$5:$J$34,L42+M42-1)),"")</f>
        <v/>
      </c>
      <c r="P42" t="str">
        <f>IF(N42=1,IF(O42&lt;=SIM_COMBINACIONES!$B$5,1,0),"")</f>
        <v/>
      </c>
      <c r="Q42" t="str">
        <f>IF(N42=1,IF(P42=1,-M42,100)+O42+ROW()*0.000000000001,"")</f>
        <v/>
      </c>
    </row>
    <row r="43" spans="1:17" x14ac:dyDescent="0.3">
      <c r="L43">
        <v>2</v>
      </c>
      <c r="M43">
        <v>13</v>
      </c>
      <c r="N43">
        <f>IF(L43+M43-1&lt;=$J$2,1,0)</f>
        <v>0</v>
      </c>
      <c r="O43" t="str">
        <f>IF(N43=1,_xlfn.STDEV.S(INDEX($J$5:$J$34,L43):INDEX($J$5:$J$34,L43+M43-1))/AVERAGE(INDEX($J$5:$J$34,L43):INDEX($J$5:$J$34,L43+M43-1)),"")</f>
        <v/>
      </c>
      <c r="P43" t="str">
        <f>IF(N43=1,IF(O43&lt;=SIM_COMBINACIONES!$B$5,1,0),"")</f>
        <v/>
      </c>
      <c r="Q43" t="str">
        <f>IF(N43=1,IF(P43=1,-M43,100)+O43+ROW()*0.000000000001,"")</f>
        <v/>
      </c>
    </row>
    <row r="44" spans="1:17" x14ac:dyDescent="0.3">
      <c r="L44">
        <v>2</v>
      </c>
      <c r="M44">
        <v>14</v>
      </c>
      <c r="N44">
        <f>IF(L44+M44-1&lt;=$J$2,1,0)</f>
        <v>0</v>
      </c>
      <c r="O44" t="str">
        <f>IF(N44=1,_xlfn.STDEV.S(INDEX($J$5:$J$34,L44):INDEX($J$5:$J$34,L44+M44-1))/AVERAGE(INDEX($J$5:$J$34,L44):INDEX($J$5:$J$34,L44+M44-1)),"")</f>
        <v/>
      </c>
      <c r="P44" t="str">
        <f>IF(N44=1,IF(O44&lt;=SIM_COMBINACIONES!$B$5,1,0),"")</f>
        <v/>
      </c>
      <c r="Q44" t="str">
        <f>IF(N44=1,IF(P44=1,-M44,100)+O44+ROW()*0.000000000001,"")</f>
        <v/>
      </c>
    </row>
    <row r="45" spans="1:17" x14ac:dyDescent="0.3">
      <c r="L45">
        <v>2</v>
      </c>
      <c r="M45">
        <v>15</v>
      </c>
      <c r="N45">
        <f>IF(L45+M45-1&lt;=$J$2,1,0)</f>
        <v>0</v>
      </c>
      <c r="O45" t="str">
        <f>IF(N45=1,_xlfn.STDEV.S(INDEX($J$5:$J$34,L45):INDEX($J$5:$J$34,L45+M45-1))/AVERAGE(INDEX($J$5:$J$34,L45):INDEX($J$5:$J$34,L45+M45-1)),"")</f>
        <v/>
      </c>
      <c r="P45" t="str">
        <f>IF(N45=1,IF(O45&lt;=SIM_COMBINACIONES!$B$5,1,0),"")</f>
        <v/>
      </c>
      <c r="Q45" t="str">
        <f>IF(N45=1,IF(P45=1,-M45,100)+O45+ROW()*0.000000000001,"")</f>
        <v/>
      </c>
    </row>
    <row r="46" spans="1:17" x14ac:dyDescent="0.3">
      <c r="L46">
        <v>2</v>
      </c>
      <c r="M46">
        <v>16</v>
      </c>
      <c r="N46">
        <f>IF(L46+M46-1&lt;=$J$2,1,0)</f>
        <v>0</v>
      </c>
      <c r="O46" t="str">
        <f>IF(N46=1,_xlfn.STDEV.S(INDEX($J$5:$J$34,L46):INDEX($J$5:$J$34,L46+M46-1))/AVERAGE(INDEX($J$5:$J$34,L46):INDEX($J$5:$J$34,L46+M46-1)),"")</f>
        <v/>
      </c>
      <c r="P46" t="str">
        <f>IF(N46=1,IF(O46&lt;=SIM_COMBINACIONES!$B$5,1,0),"")</f>
        <v/>
      </c>
      <c r="Q46" t="str">
        <f>IF(N46=1,IF(P46=1,-M46,100)+O46+ROW()*0.000000000001,"")</f>
        <v/>
      </c>
    </row>
    <row r="47" spans="1:17" x14ac:dyDescent="0.3">
      <c r="L47">
        <v>2</v>
      </c>
      <c r="M47">
        <v>17</v>
      </c>
      <c r="N47">
        <f>IF(L47+M47-1&lt;=$J$2,1,0)</f>
        <v>0</v>
      </c>
      <c r="O47" t="str">
        <f>IF(N47=1,_xlfn.STDEV.S(INDEX($J$5:$J$34,L47):INDEX($J$5:$J$34,L47+M47-1))/AVERAGE(INDEX($J$5:$J$34,L47):INDEX($J$5:$J$34,L47+M47-1)),"")</f>
        <v/>
      </c>
      <c r="P47" t="str">
        <f>IF(N47=1,IF(O47&lt;=SIM_COMBINACIONES!$B$5,1,0),"")</f>
        <v/>
      </c>
      <c r="Q47" t="str">
        <f>IF(N47=1,IF(P47=1,-M47,100)+O47+ROW()*0.000000000001,"")</f>
        <v/>
      </c>
    </row>
    <row r="48" spans="1:17" x14ac:dyDescent="0.3">
      <c r="L48">
        <v>2</v>
      </c>
      <c r="M48">
        <v>18</v>
      </c>
      <c r="N48">
        <f>IF(L48+M48-1&lt;=$J$2,1,0)</f>
        <v>0</v>
      </c>
      <c r="O48" t="str">
        <f>IF(N48=1,_xlfn.STDEV.S(INDEX($J$5:$J$34,L48):INDEX($J$5:$J$34,L48+M48-1))/AVERAGE(INDEX($J$5:$J$34,L48):INDEX($J$5:$J$34,L48+M48-1)),"")</f>
        <v/>
      </c>
      <c r="P48" t="str">
        <f>IF(N48=1,IF(O48&lt;=SIM_COMBINACIONES!$B$5,1,0),"")</f>
        <v/>
      </c>
      <c r="Q48" t="str">
        <f>IF(N48=1,IF(P48=1,-M48,100)+O48+ROW()*0.000000000001,"")</f>
        <v/>
      </c>
    </row>
    <row r="49" spans="12:17" x14ac:dyDescent="0.3">
      <c r="L49">
        <v>2</v>
      </c>
      <c r="M49">
        <v>19</v>
      </c>
      <c r="N49">
        <f>IF(L49+M49-1&lt;=$J$2,1,0)</f>
        <v>0</v>
      </c>
      <c r="O49" t="str">
        <f>IF(N49=1,_xlfn.STDEV.S(INDEX($J$5:$J$34,L49):INDEX($J$5:$J$34,L49+M49-1))/AVERAGE(INDEX($J$5:$J$34,L49):INDEX($J$5:$J$34,L49+M49-1)),"")</f>
        <v/>
      </c>
      <c r="P49" t="str">
        <f>IF(N49=1,IF(O49&lt;=SIM_COMBINACIONES!$B$5,1,0),"")</f>
        <v/>
      </c>
      <c r="Q49" t="str">
        <f>IF(N49=1,IF(P49=1,-M49,100)+O49+ROW()*0.000000000001,"")</f>
        <v/>
      </c>
    </row>
    <row r="50" spans="12:17" x14ac:dyDescent="0.3">
      <c r="L50">
        <v>2</v>
      </c>
      <c r="M50">
        <v>20</v>
      </c>
      <c r="N50">
        <f>IF(L50+M50-1&lt;=$J$2,1,0)</f>
        <v>0</v>
      </c>
      <c r="O50" t="str">
        <f>IF(N50=1,_xlfn.STDEV.S(INDEX($J$5:$J$34,L50):INDEX($J$5:$J$34,L50+M50-1))/AVERAGE(INDEX($J$5:$J$34,L50):INDEX($J$5:$J$34,L50+M50-1)),"")</f>
        <v/>
      </c>
      <c r="P50" t="str">
        <f>IF(N50=1,IF(O50&lt;=SIM_COMBINACIONES!$B$5,1,0),"")</f>
        <v/>
      </c>
      <c r="Q50" t="str">
        <f>IF(N50=1,IF(P50=1,-M50,100)+O50+ROW()*0.000000000001,"")</f>
        <v/>
      </c>
    </row>
    <row r="51" spans="12:17" x14ac:dyDescent="0.3">
      <c r="L51">
        <v>2</v>
      </c>
      <c r="M51">
        <v>21</v>
      </c>
      <c r="N51">
        <f>IF(L51+M51-1&lt;=$J$2,1,0)</f>
        <v>0</v>
      </c>
      <c r="O51" t="str">
        <f>IF(N51=1,_xlfn.STDEV.S(INDEX($J$5:$J$34,L51):INDEX($J$5:$J$34,L51+M51-1))/AVERAGE(INDEX($J$5:$J$34,L51):INDEX($J$5:$J$34,L51+M51-1)),"")</f>
        <v/>
      </c>
      <c r="P51" t="str">
        <f>IF(N51=1,IF(O51&lt;=SIM_COMBINACIONES!$B$5,1,0),"")</f>
        <v/>
      </c>
      <c r="Q51" t="str">
        <f>IF(N51=1,IF(P51=1,-M51,100)+O51+ROW()*0.000000000001,"")</f>
        <v/>
      </c>
    </row>
    <row r="52" spans="12:17" x14ac:dyDescent="0.3">
      <c r="L52">
        <v>2</v>
      </c>
      <c r="M52">
        <v>22</v>
      </c>
      <c r="N52">
        <f>IF(L52+M52-1&lt;=$J$2,1,0)</f>
        <v>0</v>
      </c>
      <c r="O52" t="str">
        <f>IF(N52=1,_xlfn.STDEV.S(INDEX($J$5:$J$34,L52):INDEX($J$5:$J$34,L52+M52-1))/AVERAGE(INDEX($J$5:$J$34,L52):INDEX($J$5:$J$34,L52+M52-1)),"")</f>
        <v/>
      </c>
      <c r="P52" t="str">
        <f>IF(N52=1,IF(O52&lt;=SIM_COMBINACIONES!$B$5,1,0),"")</f>
        <v/>
      </c>
      <c r="Q52" t="str">
        <f>IF(N52=1,IF(P52=1,-M52,100)+O52+ROW()*0.000000000001,"")</f>
        <v/>
      </c>
    </row>
    <row r="53" spans="12:17" x14ac:dyDescent="0.3">
      <c r="L53">
        <v>2</v>
      </c>
      <c r="M53">
        <v>23</v>
      </c>
      <c r="N53">
        <f>IF(L53+M53-1&lt;=$J$2,1,0)</f>
        <v>0</v>
      </c>
      <c r="O53" t="str">
        <f>IF(N53=1,_xlfn.STDEV.S(INDEX($J$5:$J$34,L53):INDEX($J$5:$J$34,L53+M53-1))/AVERAGE(INDEX($J$5:$J$34,L53):INDEX($J$5:$J$34,L53+M53-1)),"")</f>
        <v/>
      </c>
      <c r="P53" t="str">
        <f>IF(N53=1,IF(O53&lt;=SIM_COMBINACIONES!$B$5,1,0),"")</f>
        <v/>
      </c>
      <c r="Q53" t="str">
        <f>IF(N53=1,IF(P53=1,-M53,100)+O53+ROW()*0.000000000001,"")</f>
        <v/>
      </c>
    </row>
    <row r="54" spans="12:17" x14ac:dyDescent="0.3">
      <c r="L54">
        <v>2</v>
      </c>
      <c r="M54">
        <v>24</v>
      </c>
      <c r="N54">
        <f>IF(L54+M54-1&lt;=$J$2,1,0)</f>
        <v>0</v>
      </c>
      <c r="O54" t="str">
        <f>IF(N54=1,_xlfn.STDEV.S(INDEX($J$5:$J$34,L54):INDEX($J$5:$J$34,L54+M54-1))/AVERAGE(INDEX($J$5:$J$34,L54):INDEX($J$5:$J$34,L54+M54-1)),"")</f>
        <v/>
      </c>
      <c r="P54" t="str">
        <f>IF(N54=1,IF(O54&lt;=SIM_COMBINACIONES!$B$5,1,0),"")</f>
        <v/>
      </c>
      <c r="Q54" t="str">
        <f>IF(N54=1,IF(P54=1,-M54,100)+O54+ROW()*0.000000000001,"")</f>
        <v/>
      </c>
    </row>
    <row r="55" spans="12:17" x14ac:dyDescent="0.3">
      <c r="L55">
        <v>2</v>
      </c>
      <c r="M55">
        <v>25</v>
      </c>
      <c r="N55">
        <f>IF(L55+M55-1&lt;=$J$2,1,0)</f>
        <v>0</v>
      </c>
      <c r="O55" t="str">
        <f>IF(N55=1,_xlfn.STDEV.S(INDEX($J$5:$J$34,L55):INDEX($J$5:$J$34,L55+M55-1))/AVERAGE(INDEX($J$5:$J$34,L55):INDEX($J$5:$J$34,L55+M55-1)),"")</f>
        <v/>
      </c>
      <c r="P55" t="str">
        <f>IF(N55=1,IF(O55&lt;=SIM_COMBINACIONES!$B$5,1,0),"")</f>
        <v/>
      </c>
      <c r="Q55" t="str">
        <f>IF(N55=1,IF(P55=1,-M55,100)+O55+ROW()*0.000000000001,"")</f>
        <v/>
      </c>
    </row>
    <row r="56" spans="12:17" x14ac:dyDescent="0.3">
      <c r="L56">
        <v>2</v>
      </c>
      <c r="M56">
        <v>26</v>
      </c>
      <c r="N56">
        <f>IF(L56+M56-1&lt;=$J$2,1,0)</f>
        <v>0</v>
      </c>
      <c r="O56" t="str">
        <f>IF(N56=1,_xlfn.STDEV.S(INDEX($J$5:$J$34,L56):INDEX($J$5:$J$34,L56+M56-1))/AVERAGE(INDEX($J$5:$J$34,L56):INDEX($J$5:$J$34,L56+M56-1)),"")</f>
        <v/>
      </c>
      <c r="P56" t="str">
        <f>IF(N56=1,IF(O56&lt;=SIM_COMBINACIONES!$B$5,1,0),"")</f>
        <v/>
      </c>
      <c r="Q56" t="str">
        <f>IF(N56=1,IF(P56=1,-M56,100)+O56+ROW()*0.000000000001,"")</f>
        <v/>
      </c>
    </row>
    <row r="57" spans="12:17" x14ac:dyDescent="0.3">
      <c r="L57">
        <v>2</v>
      </c>
      <c r="M57">
        <v>27</v>
      </c>
      <c r="N57">
        <f>IF(L57+M57-1&lt;=$J$2,1,0)</f>
        <v>0</v>
      </c>
      <c r="O57" t="str">
        <f>IF(N57=1,_xlfn.STDEV.S(INDEX($J$5:$J$34,L57):INDEX($J$5:$J$34,L57+M57-1))/AVERAGE(INDEX($J$5:$J$34,L57):INDEX($J$5:$J$34,L57+M57-1)),"")</f>
        <v/>
      </c>
      <c r="P57" t="str">
        <f>IF(N57=1,IF(O57&lt;=SIM_COMBINACIONES!$B$5,1,0),"")</f>
        <v/>
      </c>
      <c r="Q57" t="str">
        <f>IF(N57=1,IF(P57=1,-M57,100)+O57+ROW()*0.000000000001,"")</f>
        <v/>
      </c>
    </row>
    <row r="58" spans="12:17" x14ac:dyDescent="0.3">
      <c r="L58">
        <v>2</v>
      </c>
      <c r="M58">
        <v>28</v>
      </c>
      <c r="N58">
        <f>IF(L58+M58-1&lt;=$J$2,1,0)</f>
        <v>0</v>
      </c>
      <c r="O58" t="str">
        <f>IF(N58=1,_xlfn.STDEV.S(INDEX($J$5:$J$34,L58):INDEX($J$5:$J$34,L58+M58-1))/AVERAGE(INDEX($J$5:$J$34,L58):INDEX($J$5:$J$34,L58+M58-1)),"")</f>
        <v/>
      </c>
      <c r="P58" t="str">
        <f>IF(N58=1,IF(O58&lt;=SIM_COMBINACIONES!$B$5,1,0),"")</f>
        <v/>
      </c>
      <c r="Q58" t="str">
        <f>IF(N58=1,IF(P58=1,-M58,100)+O58+ROW()*0.000000000001,"")</f>
        <v/>
      </c>
    </row>
    <row r="59" spans="12:17" x14ac:dyDescent="0.3">
      <c r="L59">
        <v>2</v>
      </c>
      <c r="M59">
        <v>29</v>
      </c>
      <c r="N59">
        <f>IF(L59+M59-1&lt;=$J$2,1,0)</f>
        <v>0</v>
      </c>
      <c r="O59" t="str">
        <f>IF(N59=1,_xlfn.STDEV.S(INDEX($J$5:$J$34,L59):INDEX($J$5:$J$34,L59+M59-1))/AVERAGE(INDEX($J$5:$J$34,L59):INDEX($J$5:$J$34,L59+M59-1)),"")</f>
        <v/>
      </c>
      <c r="P59" t="str">
        <f>IF(N59=1,IF(O59&lt;=SIM_COMBINACIONES!$B$5,1,0),"")</f>
        <v/>
      </c>
      <c r="Q59" t="str">
        <f>IF(N59=1,IF(P59=1,-M59,100)+O59+ROW()*0.000000000001,"")</f>
        <v/>
      </c>
    </row>
    <row r="60" spans="12:17" x14ac:dyDescent="0.3">
      <c r="L60">
        <v>3</v>
      </c>
      <c r="M60">
        <v>3</v>
      </c>
      <c r="N60">
        <f>IF(L60+M60-1&lt;=$J$2,1,0)</f>
        <v>0</v>
      </c>
      <c r="O60" t="str">
        <f>IF(N60=1,_xlfn.STDEV.S(INDEX($J$5:$J$34,L60):INDEX($J$5:$J$34,L60+M60-1))/AVERAGE(INDEX($J$5:$J$34,L60):INDEX($J$5:$J$34,L60+M60-1)),"")</f>
        <v/>
      </c>
      <c r="P60" t="str">
        <f>IF(N60=1,IF(O60&lt;=SIM_COMBINACIONES!$B$5,1,0),"")</f>
        <v/>
      </c>
      <c r="Q60" t="str">
        <f>IF(N60=1,IF(P60=1,-M60,100)+O60+ROW()*0.000000000001,"")</f>
        <v/>
      </c>
    </row>
    <row r="61" spans="12:17" x14ac:dyDescent="0.3">
      <c r="L61">
        <v>3</v>
      </c>
      <c r="M61">
        <v>4</v>
      </c>
      <c r="N61">
        <f>IF(L61+M61-1&lt;=$J$2,1,0)</f>
        <v>0</v>
      </c>
      <c r="O61" t="str">
        <f>IF(N61=1,_xlfn.STDEV.S(INDEX($J$5:$J$34,L61):INDEX($J$5:$J$34,L61+M61-1))/AVERAGE(INDEX($J$5:$J$34,L61):INDEX($J$5:$J$34,L61+M61-1)),"")</f>
        <v/>
      </c>
      <c r="P61" t="str">
        <f>IF(N61=1,IF(O61&lt;=SIM_COMBINACIONES!$B$5,1,0),"")</f>
        <v/>
      </c>
      <c r="Q61" t="str">
        <f>IF(N61=1,IF(P61=1,-M61,100)+O61+ROW()*0.000000000001,"")</f>
        <v/>
      </c>
    </row>
    <row r="62" spans="12:17" x14ac:dyDescent="0.3">
      <c r="L62">
        <v>3</v>
      </c>
      <c r="M62">
        <v>5</v>
      </c>
      <c r="N62">
        <f>IF(L62+M62-1&lt;=$J$2,1,0)</f>
        <v>0</v>
      </c>
      <c r="O62" t="str">
        <f>IF(N62=1,_xlfn.STDEV.S(INDEX($J$5:$J$34,L62):INDEX($J$5:$J$34,L62+M62-1))/AVERAGE(INDEX($J$5:$J$34,L62):INDEX($J$5:$J$34,L62+M62-1)),"")</f>
        <v/>
      </c>
      <c r="P62" t="str">
        <f>IF(N62=1,IF(O62&lt;=SIM_COMBINACIONES!$B$5,1,0),"")</f>
        <v/>
      </c>
      <c r="Q62" t="str">
        <f>IF(N62=1,IF(P62=1,-M62,100)+O62+ROW()*0.000000000001,"")</f>
        <v/>
      </c>
    </row>
    <row r="63" spans="12:17" x14ac:dyDescent="0.3">
      <c r="L63">
        <v>3</v>
      </c>
      <c r="M63">
        <v>6</v>
      </c>
      <c r="N63">
        <f>IF(L63+M63-1&lt;=$J$2,1,0)</f>
        <v>0</v>
      </c>
      <c r="O63" t="str">
        <f>IF(N63=1,_xlfn.STDEV.S(INDEX($J$5:$J$34,L63):INDEX($J$5:$J$34,L63+M63-1))/AVERAGE(INDEX($J$5:$J$34,L63):INDEX($J$5:$J$34,L63+M63-1)),"")</f>
        <v/>
      </c>
      <c r="P63" t="str">
        <f>IF(N63=1,IF(O63&lt;=SIM_COMBINACIONES!$B$5,1,0),"")</f>
        <v/>
      </c>
      <c r="Q63" t="str">
        <f>IF(N63=1,IF(P63=1,-M63,100)+O63+ROW()*0.000000000001,"")</f>
        <v/>
      </c>
    </row>
    <row r="64" spans="12:17" x14ac:dyDescent="0.3">
      <c r="L64">
        <v>3</v>
      </c>
      <c r="M64">
        <v>7</v>
      </c>
      <c r="N64">
        <f>IF(L64+M64-1&lt;=$J$2,1,0)</f>
        <v>0</v>
      </c>
      <c r="O64" t="str">
        <f>IF(N64=1,_xlfn.STDEV.S(INDEX($J$5:$J$34,L64):INDEX($J$5:$J$34,L64+M64-1))/AVERAGE(INDEX($J$5:$J$34,L64):INDEX($J$5:$J$34,L64+M64-1)),"")</f>
        <v/>
      </c>
      <c r="P64" t="str">
        <f>IF(N64=1,IF(O64&lt;=SIM_COMBINACIONES!$B$5,1,0),"")</f>
        <v/>
      </c>
      <c r="Q64" t="str">
        <f>IF(N64=1,IF(P64=1,-M64,100)+O64+ROW()*0.000000000001,"")</f>
        <v/>
      </c>
    </row>
    <row r="65" spans="12:17" x14ac:dyDescent="0.3">
      <c r="L65">
        <v>3</v>
      </c>
      <c r="M65">
        <v>8</v>
      </c>
      <c r="N65">
        <f>IF(L65+M65-1&lt;=$J$2,1,0)</f>
        <v>0</v>
      </c>
      <c r="O65" t="str">
        <f>IF(N65=1,_xlfn.STDEV.S(INDEX($J$5:$J$34,L65):INDEX($J$5:$J$34,L65+M65-1))/AVERAGE(INDEX($J$5:$J$34,L65):INDEX($J$5:$J$34,L65+M65-1)),"")</f>
        <v/>
      </c>
      <c r="P65" t="str">
        <f>IF(N65=1,IF(O65&lt;=SIM_COMBINACIONES!$B$5,1,0),"")</f>
        <v/>
      </c>
      <c r="Q65" t="str">
        <f>IF(N65=1,IF(P65=1,-M65,100)+O65+ROW()*0.000000000001,"")</f>
        <v/>
      </c>
    </row>
    <row r="66" spans="12:17" x14ac:dyDescent="0.3">
      <c r="L66">
        <v>3</v>
      </c>
      <c r="M66">
        <v>9</v>
      </c>
      <c r="N66">
        <f>IF(L66+M66-1&lt;=$J$2,1,0)</f>
        <v>0</v>
      </c>
      <c r="O66" t="str">
        <f>IF(N66=1,_xlfn.STDEV.S(INDEX($J$5:$J$34,L66):INDEX($J$5:$J$34,L66+M66-1))/AVERAGE(INDEX($J$5:$J$34,L66):INDEX($J$5:$J$34,L66+M66-1)),"")</f>
        <v/>
      </c>
      <c r="P66" t="str">
        <f>IF(N66=1,IF(O66&lt;=SIM_COMBINACIONES!$B$5,1,0),"")</f>
        <v/>
      </c>
      <c r="Q66" t="str">
        <f>IF(N66=1,IF(P66=1,-M66,100)+O66+ROW()*0.000000000001,"")</f>
        <v/>
      </c>
    </row>
    <row r="67" spans="12:17" x14ac:dyDescent="0.3">
      <c r="L67">
        <v>3</v>
      </c>
      <c r="M67">
        <v>10</v>
      </c>
      <c r="N67">
        <f>IF(L67+M67-1&lt;=$J$2,1,0)</f>
        <v>0</v>
      </c>
      <c r="O67" t="str">
        <f>IF(N67=1,_xlfn.STDEV.S(INDEX($J$5:$J$34,L67):INDEX($J$5:$J$34,L67+M67-1))/AVERAGE(INDEX($J$5:$J$34,L67):INDEX($J$5:$J$34,L67+M67-1)),"")</f>
        <v/>
      </c>
      <c r="P67" t="str">
        <f>IF(N67=1,IF(O67&lt;=SIM_COMBINACIONES!$B$5,1,0),"")</f>
        <v/>
      </c>
      <c r="Q67" t="str">
        <f>IF(N67=1,IF(P67=1,-M67,100)+O67+ROW()*0.000000000001,"")</f>
        <v/>
      </c>
    </row>
    <row r="68" spans="12:17" x14ac:dyDescent="0.3">
      <c r="L68">
        <v>3</v>
      </c>
      <c r="M68">
        <v>11</v>
      </c>
      <c r="N68">
        <f>IF(L68+M68-1&lt;=$J$2,1,0)</f>
        <v>0</v>
      </c>
      <c r="O68" t="str">
        <f>IF(N68=1,_xlfn.STDEV.S(INDEX($J$5:$J$34,L68):INDEX($J$5:$J$34,L68+M68-1))/AVERAGE(INDEX($J$5:$J$34,L68):INDEX($J$5:$J$34,L68+M68-1)),"")</f>
        <v/>
      </c>
      <c r="P68" t="str">
        <f>IF(N68=1,IF(O68&lt;=SIM_COMBINACIONES!$B$5,1,0),"")</f>
        <v/>
      </c>
      <c r="Q68" t="str">
        <f>IF(N68=1,IF(P68=1,-M68,100)+O68+ROW()*0.000000000001,"")</f>
        <v/>
      </c>
    </row>
    <row r="69" spans="12:17" x14ac:dyDescent="0.3">
      <c r="L69">
        <v>3</v>
      </c>
      <c r="M69">
        <v>12</v>
      </c>
      <c r="N69">
        <f>IF(L69+M69-1&lt;=$J$2,1,0)</f>
        <v>0</v>
      </c>
      <c r="O69" t="str">
        <f>IF(N69=1,_xlfn.STDEV.S(INDEX($J$5:$J$34,L69):INDEX($J$5:$J$34,L69+M69-1))/AVERAGE(INDEX($J$5:$J$34,L69):INDEX($J$5:$J$34,L69+M69-1)),"")</f>
        <v/>
      </c>
      <c r="P69" t="str">
        <f>IF(N69=1,IF(O69&lt;=SIM_COMBINACIONES!$B$5,1,0),"")</f>
        <v/>
      </c>
      <c r="Q69" t="str">
        <f>IF(N69=1,IF(P69=1,-M69,100)+O69+ROW()*0.000000000001,"")</f>
        <v/>
      </c>
    </row>
    <row r="70" spans="12:17" x14ac:dyDescent="0.3">
      <c r="L70">
        <v>3</v>
      </c>
      <c r="M70">
        <v>13</v>
      </c>
      <c r="N70">
        <f>IF(L70+M70-1&lt;=$J$2,1,0)</f>
        <v>0</v>
      </c>
      <c r="O70" t="str">
        <f>IF(N70=1,_xlfn.STDEV.S(INDEX($J$5:$J$34,L70):INDEX($J$5:$J$34,L70+M70-1))/AVERAGE(INDEX($J$5:$J$34,L70):INDEX($J$5:$J$34,L70+M70-1)),"")</f>
        <v/>
      </c>
      <c r="P70" t="str">
        <f>IF(N70=1,IF(O70&lt;=SIM_COMBINACIONES!$B$5,1,0),"")</f>
        <v/>
      </c>
      <c r="Q70" t="str">
        <f>IF(N70=1,IF(P70=1,-M70,100)+O70+ROW()*0.000000000001,"")</f>
        <v/>
      </c>
    </row>
    <row r="71" spans="12:17" x14ac:dyDescent="0.3">
      <c r="L71">
        <v>3</v>
      </c>
      <c r="M71">
        <v>14</v>
      </c>
      <c r="N71">
        <f>IF(L71+M71-1&lt;=$J$2,1,0)</f>
        <v>0</v>
      </c>
      <c r="O71" t="str">
        <f>IF(N71=1,_xlfn.STDEV.S(INDEX($J$5:$J$34,L71):INDEX($J$5:$J$34,L71+M71-1))/AVERAGE(INDEX($J$5:$J$34,L71):INDEX($J$5:$J$34,L71+M71-1)),"")</f>
        <v/>
      </c>
      <c r="P71" t="str">
        <f>IF(N71=1,IF(O71&lt;=SIM_COMBINACIONES!$B$5,1,0),"")</f>
        <v/>
      </c>
      <c r="Q71" t="str">
        <f>IF(N71=1,IF(P71=1,-M71,100)+O71+ROW()*0.000000000001,"")</f>
        <v/>
      </c>
    </row>
    <row r="72" spans="12:17" x14ac:dyDescent="0.3">
      <c r="L72">
        <v>3</v>
      </c>
      <c r="M72">
        <v>15</v>
      </c>
      <c r="N72">
        <f>IF(L72+M72-1&lt;=$J$2,1,0)</f>
        <v>0</v>
      </c>
      <c r="O72" t="str">
        <f>IF(N72=1,_xlfn.STDEV.S(INDEX($J$5:$J$34,L72):INDEX($J$5:$J$34,L72+M72-1))/AVERAGE(INDEX($J$5:$J$34,L72):INDEX($J$5:$J$34,L72+M72-1)),"")</f>
        <v/>
      </c>
      <c r="P72" t="str">
        <f>IF(N72=1,IF(O72&lt;=SIM_COMBINACIONES!$B$5,1,0),"")</f>
        <v/>
      </c>
      <c r="Q72" t="str">
        <f>IF(N72=1,IF(P72=1,-M72,100)+O72+ROW()*0.000000000001,"")</f>
        <v/>
      </c>
    </row>
    <row r="73" spans="12:17" x14ac:dyDescent="0.3">
      <c r="L73">
        <v>3</v>
      </c>
      <c r="M73">
        <v>16</v>
      </c>
      <c r="N73">
        <f>IF(L73+M73-1&lt;=$J$2,1,0)</f>
        <v>0</v>
      </c>
      <c r="O73" t="str">
        <f>IF(N73=1,_xlfn.STDEV.S(INDEX($J$5:$J$34,L73):INDEX($J$5:$J$34,L73+M73-1))/AVERAGE(INDEX($J$5:$J$34,L73):INDEX($J$5:$J$34,L73+M73-1)),"")</f>
        <v/>
      </c>
      <c r="P73" t="str">
        <f>IF(N73=1,IF(O73&lt;=SIM_COMBINACIONES!$B$5,1,0),"")</f>
        <v/>
      </c>
      <c r="Q73" t="str">
        <f>IF(N73=1,IF(P73=1,-M73,100)+O73+ROW()*0.000000000001,"")</f>
        <v/>
      </c>
    </row>
    <row r="74" spans="12:17" x14ac:dyDescent="0.3">
      <c r="L74">
        <v>3</v>
      </c>
      <c r="M74">
        <v>17</v>
      </c>
      <c r="N74">
        <f>IF(L74+M74-1&lt;=$J$2,1,0)</f>
        <v>0</v>
      </c>
      <c r="O74" t="str">
        <f>IF(N74=1,_xlfn.STDEV.S(INDEX($J$5:$J$34,L74):INDEX($J$5:$J$34,L74+M74-1))/AVERAGE(INDEX($J$5:$J$34,L74):INDEX($J$5:$J$34,L74+M74-1)),"")</f>
        <v/>
      </c>
      <c r="P74" t="str">
        <f>IF(N74=1,IF(O74&lt;=SIM_COMBINACIONES!$B$5,1,0),"")</f>
        <v/>
      </c>
      <c r="Q74" t="str">
        <f>IF(N74=1,IF(P74=1,-M74,100)+O74+ROW()*0.000000000001,"")</f>
        <v/>
      </c>
    </row>
    <row r="75" spans="12:17" x14ac:dyDescent="0.3">
      <c r="L75">
        <v>3</v>
      </c>
      <c r="M75">
        <v>18</v>
      </c>
      <c r="N75">
        <f>IF(L75+M75-1&lt;=$J$2,1,0)</f>
        <v>0</v>
      </c>
      <c r="O75" t="str">
        <f>IF(N75=1,_xlfn.STDEV.S(INDEX($J$5:$J$34,L75):INDEX($J$5:$J$34,L75+M75-1))/AVERAGE(INDEX($J$5:$J$34,L75):INDEX($J$5:$J$34,L75+M75-1)),"")</f>
        <v/>
      </c>
      <c r="P75" t="str">
        <f>IF(N75=1,IF(O75&lt;=SIM_COMBINACIONES!$B$5,1,0),"")</f>
        <v/>
      </c>
      <c r="Q75" t="str">
        <f>IF(N75=1,IF(P75=1,-M75,100)+O75+ROW()*0.000000000001,"")</f>
        <v/>
      </c>
    </row>
    <row r="76" spans="12:17" x14ac:dyDescent="0.3">
      <c r="L76">
        <v>3</v>
      </c>
      <c r="M76">
        <v>19</v>
      </c>
      <c r="N76">
        <f>IF(L76+M76-1&lt;=$J$2,1,0)</f>
        <v>0</v>
      </c>
      <c r="O76" t="str">
        <f>IF(N76=1,_xlfn.STDEV.S(INDEX($J$5:$J$34,L76):INDEX($J$5:$J$34,L76+M76-1))/AVERAGE(INDEX($J$5:$J$34,L76):INDEX($J$5:$J$34,L76+M76-1)),"")</f>
        <v/>
      </c>
      <c r="P76" t="str">
        <f>IF(N76=1,IF(O76&lt;=SIM_COMBINACIONES!$B$5,1,0),"")</f>
        <v/>
      </c>
      <c r="Q76" t="str">
        <f>IF(N76=1,IF(P76=1,-M76,100)+O76+ROW()*0.000000000001,"")</f>
        <v/>
      </c>
    </row>
    <row r="77" spans="12:17" x14ac:dyDescent="0.3">
      <c r="L77">
        <v>3</v>
      </c>
      <c r="M77">
        <v>20</v>
      </c>
      <c r="N77">
        <f>IF(L77+M77-1&lt;=$J$2,1,0)</f>
        <v>0</v>
      </c>
      <c r="O77" t="str">
        <f>IF(N77=1,_xlfn.STDEV.S(INDEX($J$5:$J$34,L77):INDEX($J$5:$J$34,L77+M77-1))/AVERAGE(INDEX($J$5:$J$34,L77):INDEX($J$5:$J$34,L77+M77-1)),"")</f>
        <v/>
      </c>
      <c r="P77" t="str">
        <f>IF(N77=1,IF(O77&lt;=SIM_COMBINACIONES!$B$5,1,0),"")</f>
        <v/>
      </c>
      <c r="Q77" t="str">
        <f>IF(N77=1,IF(P77=1,-M77,100)+O77+ROW()*0.000000000001,"")</f>
        <v/>
      </c>
    </row>
    <row r="78" spans="12:17" x14ac:dyDescent="0.3">
      <c r="L78">
        <v>3</v>
      </c>
      <c r="M78">
        <v>21</v>
      </c>
      <c r="N78">
        <f>IF(L78+M78-1&lt;=$J$2,1,0)</f>
        <v>0</v>
      </c>
      <c r="O78" t="str">
        <f>IF(N78=1,_xlfn.STDEV.S(INDEX($J$5:$J$34,L78):INDEX($J$5:$J$34,L78+M78-1))/AVERAGE(INDEX($J$5:$J$34,L78):INDEX($J$5:$J$34,L78+M78-1)),"")</f>
        <v/>
      </c>
      <c r="P78" t="str">
        <f>IF(N78=1,IF(O78&lt;=SIM_COMBINACIONES!$B$5,1,0),"")</f>
        <v/>
      </c>
      <c r="Q78" t="str">
        <f>IF(N78=1,IF(P78=1,-M78,100)+O78+ROW()*0.000000000001,"")</f>
        <v/>
      </c>
    </row>
    <row r="79" spans="12:17" x14ac:dyDescent="0.3">
      <c r="L79">
        <v>3</v>
      </c>
      <c r="M79">
        <v>22</v>
      </c>
      <c r="N79">
        <f>IF(L79+M79-1&lt;=$J$2,1,0)</f>
        <v>0</v>
      </c>
      <c r="O79" t="str">
        <f>IF(N79=1,_xlfn.STDEV.S(INDEX($J$5:$J$34,L79):INDEX($J$5:$J$34,L79+M79-1))/AVERAGE(INDEX($J$5:$J$34,L79):INDEX($J$5:$J$34,L79+M79-1)),"")</f>
        <v/>
      </c>
      <c r="P79" t="str">
        <f>IF(N79=1,IF(O79&lt;=SIM_COMBINACIONES!$B$5,1,0),"")</f>
        <v/>
      </c>
      <c r="Q79" t="str">
        <f>IF(N79=1,IF(P79=1,-M79,100)+O79+ROW()*0.000000000001,"")</f>
        <v/>
      </c>
    </row>
    <row r="80" spans="12:17" x14ac:dyDescent="0.3">
      <c r="L80">
        <v>3</v>
      </c>
      <c r="M80">
        <v>23</v>
      </c>
      <c r="N80">
        <f>IF(L80+M80-1&lt;=$J$2,1,0)</f>
        <v>0</v>
      </c>
      <c r="O80" t="str">
        <f>IF(N80=1,_xlfn.STDEV.S(INDEX($J$5:$J$34,L80):INDEX($J$5:$J$34,L80+M80-1))/AVERAGE(INDEX($J$5:$J$34,L80):INDEX($J$5:$J$34,L80+M80-1)),"")</f>
        <v/>
      </c>
      <c r="P80" t="str">
        <f>IF(N80=1,IF(O80&lt;=SIM_COMBINACIONES!$B$5,1,0),"")</f>
        <v/>
      </c>
      <c r="Q80" t="str">
        <f>IF(N80=1,IF(P80=1,-M80,100)+O80+ROW()*0.000000000001,"")</f>
        <v/>
      </c>
    </row>
    <row r="81" spans="12:17" x14ac:dyDescent="0.3">
      <c r="L81">
        <v>3</v>
      </c>
      <c r="M81">
        <v>24</v>
      </c>
      <c r="N81">
        <f>IF(L81+M81-1&lt;=$J$2,1,0)</f>
        <v>0</v>
      </c>
      <c r="O81" t="str">
        <f>IF(N81=1,_xlfn.STDEV.S(INDEX($J$5:$J$34,L81):INDEX($J$5:$J$34,L81+M81-1))/AVERAGE(INDEX($J$5:$J$34,L81):INDEX($J$5:$J$34,L81+M81-1)),"")</f>
        <v/>
      </c>
      <c r="P81" t="str">
        <f>IF(N81=1,IF(O81&lt;=SIM_COMBINACIONES!$B$5,1,0),"")</f>
        <v/>
      </c>
      <c r="Q81" t="str">
        <f>IF(N81=1,IF(P81=1,-M81,100)+O81+ROW()*0.000000000001,"")</f>
        <v/>
      </c>
    </row>
    <row r="82" spans="12:17" x14ac:dyDescent="0.3">
      <c r="L82">
        <v>3</v>
      </c>
      <c r="M82">
        <v>25</v>
      </c>
      <c r="N82">
        <f>IF(L82+M82-1&lt;=$J$2,1,0)</f>
        <v>0</v>
      </c>
      <c r="O82" t="str">
        <f>IF(N82=1,_xlfn.STDEV.S(INDEX($J$5:$J$34,L82):INDEX($J$5:$J$34,L82+M82-1))/AVERAGE(INDEX($J$5:$J$34,L82):INDEX($J$5:$J$34,L82+M82-1)),"")</f>
        <v/>
      </c>
      <c r="P82" t="str">
        <f>IF(N82=1,IF(O82&lt;=SIM_COMBINACIONES!$B$5,1,0),"")</f>
        <v/>
      </c>
      <c r="Q82" t="str">
        <f>IF(N82=1,IF(P82=1,-M82,100)+O82+ROW()*0.000000000001,"")</f>
        <v/>
      </c>
    </row>
    <row r="83" spans="12:17" x14ac:dyDescent="0.3">
      <c r="L83">
        <v>3</v>
      </c>
      <c r="M83">
        <v>26</v>
      </c>
      <c r="N83">
        <f>IF(L83+M83-1&lt;=$J$2,1,0)</f>
        <v>0</v>
      </c>
      <c r="O83" t="str">
        <f>IF(N83=1,_xlfn.STDEV.S(INDEX($J$5:$J$34,L83):INDEX($J$5:$J$34,L83+M83-1))/AVERAGE(INDEX($J$5:$J$34,L83):INDEX($J$5:$J$34,L83+M83-1)),"")</f>
        <v/>
      </c>
      <c r="P83" t="str">
        <f>IF(N83=1,IF(O83&lt;=SIM_COMBINACIONES!$B$5,1,0),"")</f>
        <v/>
      </c>
      <c r="Q83" t="str">
        <f>IF(N83=1,IF(P83=1,-M83,100)+O83+ROW()*0.000000000001,"")</f>
        <v/>
      </c>
    </row>
    <row r="84" spans="12:17" x14ac:dyDescent="0.3">
      <c r="L84">
        <v>3</v>
      </c>
      <c r="M84">
        <v>27</v>
      </c>
      <c r="N84">
        <f>IF(L84+M84-1&lt;=$J$2,1,0)</f>
        <v>0</v>
      </c>
      <c r="O84" t="str">
        <f>IF(N84=1,_xlfn.STDEV.S(INDEX($J$5:$J$34,L84):INDEX($J$5:$J$34,L84+M84-1))/AVERAGE(INDEX($J$5:$J$34,L84):INDEX($J$5:$J$34,L84+M84-1)),"")</f>
        <v/>
      </c>
      <c r="P84" t="str">
        <f>IF(N84=1,IF(O84&lt;=SIM_COMBINACIONES!$B$5,1,0),"")</f>
        <v/>
      </c>
      <c r="Q84" t="str">
        <f>IF(N84=1,IF(P84=1,-M84,100)+O84+ROW()*0.000000000001,"")</f>
        <v/>
      </c>
    </row>
    <row r="85" spans="12:17" x14ac:dyDescent="0.3">
      <c r="L85">
        <v>3</v>
      </c>
      <c r="M85">
        <v>28</v>
      </c>
      <c r="N85">
        <f>IF(L85+M85-1&lt;=$J$2,1,0)</f>
        <v>0</v>
      </c>
      <c r="O85" t="str">
        <f>IF(N85=1,_xlfn.STDEV.S(INDEX($J$5:$J$34,L85):INDEX($J$5:$J$34,L85+M85-1))/AVERAGE(INDEX($J$5:$J$34,L85):INDEX($J$5:$J$34,L85+M85-1)),"")</f>
        <v/>
      </c>
      <c r="P85" t="str">
        <f>IF(N85=1,IF(O85&lt;=SIM_COMBINACIONES!$B$5,1,0),"")</f>
        <v/>
      </c>
      <c r="Q85" t="str">
        <f>IF(N85=1,IF(P85=1,-M85,100)+O85+ROW()*0.000000000001,"")</f>
        <v/>
      </c>
    </row>
    <row r="86" spans="12:17" x14ac:dyDescent="0.3">
      <c r="L86">
        <v>4</v>
      </c>
      <c r="M86">
        <v>3</v>
      </c>
      <c r="N86">
        <f>IF(L86+M86-1&lt;=$J$2,1,0)</f>
        <v>0</v>
      </c>
      <c r="O86" t="str">
        <f>IF(N86=1,_xlfn.STDEV.S(INDEX($J$5:$J$34,L86):INDEX($J$5:$J$34,L86+M86-1))/AVERAGE(INDEX($J$5:$J$34,L86):INDEX($J$5:$J$34,L86+M86-1)),"")</f>
        <v/>
      </c>
      <c r="P86" t="str">
        <f>IF(N86=1,IF(O86&lt;=SIM_COMBINACIONES!$B$5,1,0),"")</f>
        <v/>
      </c>
      <c r="Q86" t="str">
        <f>IF(N86=1,IF(P86=1,-M86,100)+O86+ROW()*0.000000000001,"")</f>
        <v/>
      </c>
    </row>
    <row r="87" spans="12:17" x14ac:dyDescent="0.3">
      <c r="L87">
        <v>4</v>
      </c>
      <c r="M87">
        <v>4</v>
      </c>
      <c r="N87">
        <f>IF(L87+M87-1&lt;=$J$2,1,0)</f>
        <v>0</v>
      </c>
      <c r="O87" t="str">
        <f>IF(N87=1,_xlfn.STDEV.S(INDEX($J$5:$J$34,L87):INDEX($J$5:$J$34,L87+M87-1))/AVERAGE(INDEX($J$5:$J$34,L87):INDEX($J$5:$J$34,L87+M87-1)),"")</f>
        <v/>
      </c>
      <c r="P87" t="str">
        <f>IF(N87=1,IF(O87&lt;=SIM_COMBINACIONES!$B$5,1,0),"")</f>
        <v/>
      </c>
      <c r="Q87" t="str">
        <f>IF(N87=1,IF(P87=1,-M87,100)+O87+ROW()*0.000000000001,"")</f>
        <v/>
      </c>
    </row>
    <row r="88" spans="12:17" x14ac:dyDescent="0.3">
      <c r="L88">
        <v>4</v>
      </c>
      <c r="M88">
        <v>5</v>
      </c>
      <c r="N88">
        <f>IF(L88+M88-1&lt;=$J$2,1,0)</f>
        <v>0</v>
      </c>
      <c r="O88" t="str">
        <f>IF(N88=1,_xlfn.STDEV.S(INDEX($J$5:$J$34,L88):INDEX($J$5:$J$34,L88+M88-1))/AVERAGE(INDEX($J$5:$J$34,L88):INDEX($J$5:$J$34,L88+M88-1)),"")</f>
        <v/>
      </c>
      <c r="P88" t="str">
        <f>IF(N88=1,IF(O88&lt;=SIM_COMBINACIONES!$B$5,1,0),"")</f>
        <v/>
      </c>
      <c r="Q88" t="str">
        <f>IF(N88=1,IF(P88=1,-M88,100)+O88+ROW()*0.000000000001,"")</f>
        <v/>
      </c>
    </row>
    <row r="89" spans="12:17" x14ac:dyDescent="0.3">
      <c r="L89">
        <v>4</v>
      </c>
      <c r="M89">
        <v>6</v>
      </c>
      <c r="N89">
        <f>IF(L89+M89-1&lt;=$J$2,1,0)</f>
        <v>0</v>
      </c>
      <c r="O89" t="str">
        <f>IF(N89=1,_xlfn.STDEV.S(INDEX($J$5:$J$34,L89):INDEX($J$5:$J$34,L89+M89-1))/AVERAGE(INDEX($J$5:$J$34,L89):INDEX($J$5:$J$34,L89+M89-1)),"")</f>
        <v/>
      </c>
      <c r="P89" t="str">
        <f>IF(N89=1,IF(O89&lt;=SIM_COMBINACIONES!$B$5,1,0),"")</f>
        <v/>
      </c>
      <c r="Q89" t="str">
        <f>IF(N89=1,IF(P89=1,-M89,100)+O89+ROW()*0.000000000001,"")</f>
        <v/>
      </c>
    </row>
    <row r="90" spans="12:17" x14ac:dyDescent="0.3">
      <c r="L90">
        <v>4</v>
      </c>
      <c r="M90">
        <v>7</v>
      </c>
      <c r="N90">
        <f>IF(L90+M90-1&lt;=$J$2,1,0)</f>
        <v>0</v>
      </c>
      <c r="O90" t="str">
        <f>IF(N90=1,_xlfn.STDEV.S(INDEX($J$5:$J$34,L90):INDEX($J$5:$J$34,L90+M90-1))/AVERAGE(INDEX($J$5:$J$34,L90):INDEX($J$5:$J$34,L90+M90-1)),"")</f>
        <v/>
      </c>
      <c r="P90" t="str">
        <f>IF(N90=1,IF(O90&lt;=SIM_COMBINACIONES!$B$5,1,0),"")</f>
        <v/>
      </c>
      <c r="Q90" t="str">
        <f>IF(N90=1,IF(P90=1,-M90,100)+O90+ROW()*0.000000000001,"")</f>
        <v/>
      </c>
    </row>
    <row r="91" spans="12:17" x14ac:dyDescent="0.3">
      <c r="L91">
        <v>4</v>
      </c>
      <c r="M91">
        <v>8</v>
      </c>
      <c r="N91">
        <f>IF(L91+M91-1&lt;=$J$2,1,0)</f>
        <v>0</v>
      </c>
      <c r="O91" t="str">
        <f>IF(N91=1,_xlfn.STDEV.S(INDEX($J$5:$J$34,L91):INDEX($J$5:$J$34,L91+M91-1))/AVERAGE(INDEX($J$5:$J$34,L91):INDEX($J$5:$J$34,L91+M91-1)),"")</f>
        <v/>
      </c>
      <c r="P91" t="str">
        <f>IF(N91=1,IF(O91&lt;=SIM_COMBINACIONES!$B$5,1,0),"")</f>
        <v/>
      </c>
      <c r="Q91" t="str">
        <f>IF(N91=1,IF(P91=1,-M91,100)+O91+ROW()*0.000000000001,"")</f>
        <v/>
      </c>
    </row>
    <row r="92" spans="12:17" x14ac:dyDescent="0.3">
      <c r="L92">
        <v>4</v>
      </c>
      <c r="M92">
        <v>9</v>
      </c>
      <c r="N92">
        <f>IF(L92+M92-1&lt;=$J$2,1,0)</f>
        <v>0</v>
      </c>
      <c r="O92" t="str">
        <f>IF(N92=1,_xlfn.STDEV.S(INDEX($J$5:$J$34,L92):INDEX($J$5:$J$34,L92+M92-1))/AVERAGE(INDEX($J$5:$J$34,L92):INDEX($J$5:$J$34,L92+M92-1)),"")</f>
        <v/>
      </c>
      <c r="P92" t="str">
        <f>IF(N92=1,IF(O92&lt;=SIM_COMBINACIONES!$B$5,1,0),"")</f>
        <v/>
      </c>
      <c r="Q92" t="str">
        <f>IF(N92=1,IF(P92=1,-M92,100)+O92+ROW()*0.000000000001,"")</f>
        <v/>
      </c>
    </row>
    <row r="93" spans="12:17" x14ac:dyDescent="0.3">
      <c r="L93">
        <v>4</v>
      </c>
      <c r="M93">
        <v>10</v>
      </c>
      <c r="N93">
        <f>IF(L93+M93-1&lt;=$J$2,1,0)</f>
        <v>0</v>
      </c>
      <c r="O93" t="str">
        <f>IF(N93=1,_xlfn.STDEV.S(INDEX($J$5:$J$34,L93):INDEX($J$5:$J$34,L93+M93-1))/AVERAGE(INDEX($J$5:$J$34,L93):INDEX($J$5:$J$34,L93+M93-1)),"")</f>
        <v/>
      </c>
      <c r="P93" t="str">
        <f>IF(N93=1,IF(O93&lt;=SIM_COMBINACIONES!$B$5,1,0),"")</f>
        <v/>
      </c>
      <c r="Q93" t="str">
        <f>IF(N93=1,IF(P93=1,-M93,100)+O93+ROW()*0.000000000001,"")</f>
        <v/>
      </c>
    </row>
    <row r="94" spans="12:17" x14ac:dyDescent="0.3">
      <c r="L94">
        <v>4</v>
      </c>
      <c r="M94">
        <v>11</v>
      </c>
      <c r="N94">
        <f>IF(L94+M94-1&lt;=$J$2,1,0)</f>
        <v>0</v>
      </c>
      <c r="O94" t="str">
        <f>IF(N94=1,_xlfn.STDEV.S(INDEX($J$5:$J$34,L94):INDEX($J$5:$J$34,L94+M94-1))/AVERAGE(INDEX($J$5:$J$34,L94):INDEX($J$5:$J$34,L94+M94-1)),"")</f>
        <v/>
      </c>
      <c r="P94" t="str">
        <f>IF(N94=1,IF(O94&lt;=SIM_COMBINACIONES!$B$5,1,0),"")</f>
        <v/>
      </c>
      <c r="Q94" t="str">
        <f>IF(N94=1,IF(P94=1,-M94,100)+O94+ROW()*0.000000000001,"")</f>
        <v/>
      </c>
    </row>
    <row r="95" spans="12:17" x14ac:dyDescent="0.3">
      <c r="L95">
        <v>4</v>
      </c>
      <c r="M95">
        <v>12</v>
      </c>
      <c r="N95">
        <f>IF(L95+M95-1&lt;=$J$2,1,0)</f>
        <v>0</v>
      </c>
      <c r="O95" t="str">
        <f>IF(N95=1,_xlfn.STDEV.S(INDEX($J$5:$J$34,L95):INDEX($J$5:$J$34,L95+M95-1))/AVERAGE(INDEX($J$5:$J$34,L95):INDEX($J$5:$J$34,L95+M95-1)),"")</f>
        <v/>
      </c>
      <c r="P95" t="str">
        <f>IF(N95=1,IF(O95&lt;=SIM_COMBINACIONES!$B$5,1,0),"")</f>
        <v/>
      </c>
      <c r="Q95" t="str">
        <f>IF(N95=1,IF(P95=1,-M95,100)+O95+ROW()*0.000000000001,"")</f>
        <v/>
      </c>
    </row>
    <row r="96" spans="12:17" x14ac:dyDescent="0.3">
      <c r="L96">
        <v>4</v>
      </c>
      <c r="M96">
        <v>13</v>
      </c>
      <c r="N96">
        <f>IF(L96+M96-1&lt;=$J$2,1,0)</f>
        <v>0</v>
      </c>
      <c r="O96" t="str">
        <f>IF(N96=1,_xlfn.STDEV.S(INDEX($J$5:$J$34,L96):INDEX($J$5:$J$34,L96+M96-1))/AVERAGE(INDEX($J$5:$J$34,L96):INDEX($J$5:$J$34,L96+M96-1)),"")</f>
        <v/>
      </c>
      <c r="P96" t="str">
        <f>IF(N96=1,IF(O96&lt;=SIM_COMBINACIONES!$B$5,1,0),"")</f>
        <v/>
      </c>
      <c r="Q96" t="str">
        <f>IF(N96=1,IF(P96=1,-M96,100)+O96+ROW()*0.000000000001,"")</f>
        <v/>
      </c>
    </row>
    <row r="97" spans="12:17" x14ac:dyDescent="0.3">
      <c r="L97">
        <v>4</v>
      </c>
      <c r="M97">
        <v>14</v>
      </c>
      <c r="N97">
        <f>IF(L97+M97-1&lt;=$J$2,1,0)</f>
        <v>0</v>
      </c>
      <c r="O97" t="str">
        <f>IF(N97=1,_xlfn.STDEV.S(INDEX($J$5:$J$34,L97):INDEX($J$5:$J$34,L97+M97-1))/AVERAGE(INDEX($J$5:$J$34,L97):INDEX($J$5:$J$34,L97+M97-1)),"")</f>
        <v/>
      </c>
      <c r="P97" t="str">
        <f>IF(N97=1,IF(O97&lt;=SIM_COMBINACIONES!$B$5,1,0),"")</f>
        <v/>
      </c>
      <c r="Q97" t="str">
        <f>IF(N97=1,IF(P97=1,-M97,100)+O97+ROW()*0.000000000001,"")</f>
        <v/>
      </c>
    </row>
    <row r="98" spans="12:17" x14ac:dyDescent="0.3">
      <c r="L98">
        <v>4</v>
      </c>
      <c r="M98">
        <v>15</v>
      </c>
      <c r="N98">
        <f>IF(L98+M98-1&lt;=$J$2,1,0)</f>
        <v>0</v>
      </c>
      <c r="O98" t="str">
        <f>IF(N98=1,_xlfn.STDEV.S(INDEX($J$5:$J$34,L98):INDEX($J$5:$J$34,L98+M98-1))/AVERAGE(INDEX($J$5:$J$34,L98):INDEX($J$5:$J$34,L98+M98-1)),"")</f>
        <v/>
      </c>
      <c r="P98" t="str">
        <f>IF(N98=1,IF(O98&lt;=SIM_COMBINACIONES!$B$5,1,0),"")</f>
        <v/>
      </c>
      <c r="Q98" t="str">
        <f>IF(N98=1,IF(P98=1,-M98,100)+O98+ROW()*0.000000000001,"")</f>
        <v/>
      </c>
    </row>
    <row r="99" spans="12:17" x14ac:dyDescent="0.3">
      <c r="L99">
        <v>4</v>
      </c>
      <c r="M99">
        <v>16</v>
      </c>
      <c r="N99">
        <f>IF(L99+M99-1&lt;=$J$2,1,0)</f>
        <v>0</v>
      </c>
      <c r="O99" t="str">
        <f>IF(N99=1,_xlfn.STDEV.S(INDEX($J$5:$J$34,L99):INDEX($J$5:$J$34,L99+M99-1))/AVERAGE(INDEX($J$5:$J$34,L99):INDEX($J$5:$J$34,L99+M99-1)),"")</f>
        <v/>
      </c>
      <c r="P99" t="str">
        <f>IF(N99=1,IF(O99&lt;=SIM_COMBINACIONES!$B$5,1,0),"")</f>
        <v/>
      </c>
      <c r="Q99" t="str">
        <f>IF(N99=1,IF(P99=1,-M99,100)+O99+ROW()*0.000000000001,"")</f>
        <v/>
      </c>
    </row>
    <row r="100" spans="12:17" x14ac:dyDescent="0.3">
      <c r="L100">
        <v>4</v>
      </c>
      <c r="M100">
        <v>17</v>
      </c>
      <c r="N100">
        <f>IF(L100+M100-1&lt;=$J$2,1,0)</f>
        <v>0</v>
      </c>
      <c r="O100" t="str">
        <f>IF(N100=1,_xlfn.STDEV.S(INDEX($J$5:$J$34,L100):INDEX($J$5:$J$34,L100+M100-1))/AVERAGE(INDEX($J$5:$J$34,L100):INDEX($J$5:$J$34,L100+M100-1)),"")</f>
        <v/>
      </c>
      <c r="P100" t="str">
        <f>IF(N100=1,IF(O100&lt;=SIM_COMBINACIONES!$B$5,1,0),"")</f>
        <v/>
      </c>
      <c r="Q100" t="str">
        <f>IF(N100=1,IF(P100=1,-M100,100)+O100+ROW()*0.000000000001,"")</f>
        <v/>
      </c>
    </row>
    <row r="101" spans="12:17" x14ac:dyDescent="0.3">
      <c r="L101">
        <v>4</v>
      </c>
      <c r="M101">
        <v>18</v>
      </c>
      <c r="N101">
        <f>IF(L101+M101-1&lt;=$J$2,1,0)</f>
        <v>0</v>
      </c>
      <c r="O101" t="str">
        <f>IF(N101=1,_xlfn.STDEV.S(INDEX($J$5:$J$34,L101):INDEX($J$5:$J$34,L101+M101-1))/AVERAGE(INDEX($J$5:$J$34,L101):INDEX($J$5:$J$34,L101+M101-1)),"")</f>
        <v/>
      </c>
      <c r="P101" t="str">
        <f>IF(N101=1,IF(O101&lt;=SIM_COMBINACIONES!$B$5,1,0),"")</f>
        <v/>
      </c>
      <c r="Q101" t="str">
        <f>IF(N101=1,IF(P101=1,-M101,100)+O101+ROW()*0.000000000001,"")</f>
        <v/>
      </c>
    </row>
    <row r="102" spans="12:17" x14ac:dyDescent="0.3">
      <c r="L102">
        <v>4</v>
      </c>
      <c r="M102">
        <v>19</v>
      </c>
      <c r="N102">
        <f>IF(L102+M102-1&lt;=$J$2,1,0)</f>
        <v>0</v>
      </c>
      <c r="O102" t="str">
        <f>IF(N102=1,_xlfn.STDEV.S(INDEX($J$5:$J$34,L102):INDEX($J$5:$J$34,L102+M102-1))/AVERAGE(INDEX($J$5:$J$34,L102):INDEX($J$5:$J$34,L102+M102-1)),"")</f>
        <v/>
      </c>
      <c r="P102" t="str">
        <f>IF(N102=1,IF(O102&lt;=SIM_COMBINACIONES!$B$5,1,0),"")</f>
        <v/>
      </c>
      <c r="Q102" t="str">
        <f>IF(N102=1,IF(P102=1,-M102,100)+O102+ROW()*0.000000000001,"")</f>
        <v/>
      </c>
    </row>
    <row r="103" spans="12:17" x14ac:dyDescent="0.3">
      <c r="L103">
        <v>4</v>
      </c>
      <c r="M103">
        <v>20</v>
      </c>
      <c r="N103">
        <f>IF(L103+M103-1&lt;=$J$2,1,0)</f>
        <v>0</v>
      </c>
      <c r="O103" t="str">
        <f>IF(N103=1,_xlfn.STDEV.S(INDEX($J$5:$J$34,L103):INDEX($J$5:$J$34,L103+M103-1))/AVERAGE(INDEX($J$5:$J$34,L103):INDEX($J$5:$J$34,L103+M103-1)),"")</f>
        <v/>
      </c>
      <c r="P103" t="str">
        <f>IF(N103=1,IF(O103&lt;=SIM_COMBINACIONES!$B$5,1,0),"")</f>
        <v/>
      </c>
      <c r="Q103" t="str">
        <f>IF(N103=1,IF(P103=1,-M103,100)+O103+ROW()*0.000000000001,"")</f>
        <v/>
      </c>
    </row>
    <row r="104" spans="12:17" x14ac:dyDescent="0.3">
      <c r="L104">
        <v>4</v>
      </c>
      <c r="M104">
        <v>21</v>
      </c>
      <c r="N104">
        <f>IF(L104+M104-1&lt;=$J$2,1,0)</f>
        <v>0</v>
      </c>
      <c r="O104" t="str">
        <f>IF(N104=1,_xlfn.STDEV.S(INDEX($J$5:$J$34,L104):INDEX($J$5:$J$34,L104+M104-1))/AVERAGE(INDEX($J$5:$J$34,L104):INDEX($J$5:$J$34,L104+M104-1)),"")</f>
        <v/>
      </c>
      <c r="P104" t="str">
        <f>IF(N104=1,IF(O104&lt;=SIM_COMBINACIONES!$B$5,1,0),"")</f>
        <v/>
      </c>
      <c r="Q104" t="str">
        <f>IF(N104=1,IF(P104=1,-M104,100)+O104+ROW()*0.000000000001,"")</f>
        <v/>
      </c>
    </row>
    <row r="105" spans="12:17" x14ac:dyDescent="0.3">
      <c r="L105">
        <v>4</v>
      </c>
      <c r="M105">
        <v>22</v>
      </c>
      <c r="N105">
        <f>IF(L105+M105-1&lt;=$J$2,1,0)</f>
        <v>0</v>
      </c>
      <c r="O105" t="str">
        <f>IF(N105=1,_xlfn.STDEV.S(INDEX($J$5:$J$34,L105):INDEX($J$5:$J$34,L105+M105-1))/AVERAGE(INDEX($J$5:$J$34,L105):INDEX($J$5:$J$34,L105+M105-1)),"")</f>
        <v/>
      </c>
      <c r="P105" t="str">
        <f>IF(N105=1,IF(O105&lt;=SIM_COMBINACIONES!$B$5,1,0),"")</f>
        <v/>
      </c>
      <c r="Q105" t="str">
        <f>IF(N105=1,IF(P105=1,-M105,100)+O105+ROW()*0.000000000001,"")</f>
        <v/>
      </c>
    </row>
    <row r="106" spans="12:17" x14ac:dyDescent="0.3">
      <c r="L106">
        <v>4</v>
      </c>
      <c r="M106">
        <v>23</v>
      </c>
      <c r="N106">
        <f>IF(L106+M106-1&lt;=$J$2,1,0)</f>
        <v>0</v>
      </c>
      <c r="O106" t="str">
        <f>IF(N106=1,_xlfn.STDEV.S(INDEX($J$5:$J$34,L106):INDEX($J$5:$J$34,L106+M106-1))/AVERAGE(INDEX($J$5:$J$34,L106):INDEX($J$5:$J$34,L106+M106-1)),"")</f>
        <v/>
      </c>
      <c r="P106" t="str">
        <f>IF(N106=1,IF(O106&lt;=SIM_COMBINACIONES!$B$5,1,0),"")</f>
        <v/>
      </c>
      <c r="Q106" t="str">
        <f>IF(N106=1,IF(P106=1,-M106,100)+O106+ROW()*0.000000000001,"")</f>
        <v/>
      </c>
    </row>
    <row r="107" spans="12:17" x14ac:dyDescent="0.3">
      <c r="L107">
        <v>4</v>
      </c>
      <c r="M107">
        <v>24</v>
      </c>
      <c r="N107">
        <f>IF(L107+M107-1&lt;=$J$2,1,0)</f>
        <v>0</v>
      </c>
      <c r="O107" t="str">
        <f>IF(N107=1,_xlfn.STDEV.S(INDEX($J$5:$J$34,L107):INDEX($J$5:$J$34,L107+M107-1))/AVERAGE(INDEX($J$5:$J$34,L107):INDEX($J$5:$J$34,L107+M107-1)),"")</f>
        <v/>
      </c>
      <c r="P107" t="str">
        <f>IF(N107=1,IF(O107&lt;=SIM_COMBINACIONES!$B$5,1,0),"")</f>
        <v/>
      </c>
      <c r="Q107" t="str">
        <f>IF(N107=1,IF(P107=1,-M107,100)+O107+ROW()*0.000000000001,"")</f>
        <v/>
      </c>
    </row>
    <row r="108" spans="12:17" x14ac:dyDescent="0.3">
      <c r="L108">
        <v>4</v>
      </c>
      <c r="M108">
        <v>25</v>
      </c>
      <c r="N108">
        <f>IF(L108+M108-1&lt;=$J$2,1,0)</f>
        <v>0</v>
      </c>
      <c r="O108" t="str">
        <f>IF(N108=1,_xlfn.STDEV.S(INDEX($J$5:$J$34,L108):INDEX($J$5:$J$34,L108+M108-1))/AVERAGE(INDEX($J$5:$J$34,L108):INDEX($J$5:$J$34,L108+M108-1)),"")</f>
        <v/>
      </c>
      <c r="P108" t="str">
        <f>IF(N108=1,IF(O108&lt;=SIM_COMBINACIONES!$B$5,1,0),"")</f>
        <v/>
      </c>
      <c r="Q108" t="str">
        <f>IF(N108=1,IF(P108=1,-M108,100)+O108+ROW()*0.000000000001,"")</f>
        <v/>
      </c>
    </row>
    <row r="109" spans="12:17" x14ac:dyDescent="0.3">
      <c r="L109">
        <v>4</v>
      </c>
      <c r="M109">
        <v>26</v>
      </c>
      <c r="N109">
        <f>IF(L109+M109-1&lt;=$J$2,1,0)</f>
        <v>0</v>
      </c>
      <c r="O109" t="str">
        <f>IF(N109=1,_xlfn.STDEV.S(INDEX($J$5:$J$34,L109):INDEX($J$5:$J$34,L109+M109-1))/AVERAGE(INDEX($J$5:$J$34,L109):INDEX($J$5:$J$34,L109+M109-1)),"")</f>
        <v/>
      </c>
      <c r="P109" t="str">
        <f>IF(N109=1,IF(O109&lt;=SIM_COMBINACIONES!$B$5,1,0),"")</f>
        <v/>
      </c>
      <c r="Q109" t="str">
        <f>IF(N109=1,IF(P109=1,-M109,100)+O109+ROW()*0.000000000001,"")</f>
        <v/>
      </c>
    </row>
    <row r="110" spans="12:17" x14ac:dyDescent="0.3">
      <c r="L110">
        <v>4</v>
      </c>
      <c r="M110">
        <v>27</v>
      </c>
      <c r="N110">
        <f>IF(L110+M110-1&lt;=$J$2,1,0)</f>
        <v>0</v>
      </c>
      <c r="O110" t="str">
        <f>IF(N110=1,_xlfn.STDEV.S(INDEX($J$5:$J$34,L110):INDEX($J$5:$J$34,L110+M110-1))/AVERAGE(INDEX($J$5:$J$34,L110):INDEX($J$5:$J$34,L110+M110-1)),"")</f>
        <v/>
      </c>
      <c r="P110" t="str">
        <f>IF(N110=1,IF(O110&lt;=SIM_COMBINACIONES!$B$5,1,0),"")</f>
        <v/>
      </c>
      <c r="Q110" t="str">
        <f>IF(N110=1,IF(P110=1,-M110,100)+O110+ROW()*0.000000000001,"")</f>
        <v/>
      </c>
    </row>
    <row r="111" spans="12:17" x14ac:dyDescent="0.3">
      <c r="L111">
        <v>5</v>
      </c>
      <c r="M111">
        <v>3</v>
      </c>
      <c r="N111">
        <f>IF(L111+M111-1&lt;=$J$2,1,0)</f>
        <v>0</v>
      </c>
      <c r="O111" t="str">
        <f>IF(N111=1,_xlfn.STDEV.S(INDEX($J$5:$J$34,L111):INDEX($J$5:$J$34,L111+M111-1))/AVERAGE(INDEX($J$5:$J$34,L111):INDEX($J$5:$J$34,L111+M111-1)),"")</f>
        <v/>
      </c>
      <c r="P111" t="str">
        <f>IF(N111=1,IF(O111&lt;=SIM_COMBINACIONES!$B$5,1,0),"")</f>
        <v/>
      </c>
      <c r="Q111" t="str">
        <f>IF(N111=1,IF(P111=1,-M111,100)+O111+ROW()*0.000000000001,"")</f>
        <v/>
      </c>
    </row>
    <row r="112" spans="12:17" x14ac:dyDescent="0.3">
      <c r="L112">
        <v>5</v>
      </c>
      <c r="M112">
        <v>4</v>
      </c>
      <c r="N112">
        <f>IF(L112+M112-1&lt;=$J$2,1,0)</f>
        <v>0</v>
      </c>
      <c r="O112" t="str">
        <f>IF(N112=1,_xlfn.STDEV.S(INDEX($J$5:$J$34,L112):INDEX($J$5:$J$34,L112+M112-1))/AVERAGE(INDEX($J$5:$J$34,L112):INDEX($J$5:$J$34,L112+M112-1)),"")</f>
        <v/>
      </c>
      <c r="P112" t="str">
        <f>IF(N112=1,IF(O112&lt;=SIM_COMBINACIONES!$B$5,1,0),"")</f>
        <v/>
      </c>
      <c r="Q112" t="str">
        <f>IF(N112=1,IF(P112=1,-M112,100)+O112+ROW()*0.000000000001,"")</f>
        <v/>
      </c>
    </row>
    <row r="113" spans="12:17" x14ac:dyDescent="0.3">
      <c r="L113">
        <v>5</v>
      </c>
      <c r="M113">
        <v>5</v>
      </c>
      <c r="N113">
        <f>IF(L113+M113-1&lt;=$J$2,1,0)</f>
        <v>0</v>
      </c>
      <c r="O113" t="str">
        <f>IF(N113=1,_xlfn.STDEV.S(INDEX($J$5:$J$34,L113):INDEX($J$5:$J$34,L113+M113-1))/AVERAGE(INDEX($J$5:$J$34,L113):INDEX($J$5:$J$34,L113+M113-1)),"")</f>
        <v/>
      </c>
      <c r="P113" t="str">
        <f>IF(N113=1,IF(O113&lt;=SIM_COMBINACIONES!$B$5,1,0),"")</f>
        <v/>
      </c>
      <c r="Q113" t="str">
        <f>IF(N113=1,IF(P113=1,-M113,100)+O113+ROW()*0.000000000001,"")</f>
        <v/>
      </c>
    </row>
    <row r="114" spans="12:17" x14ac:dyDescent="0.3">
      <c r="L114">
        <v>5</v>
      </c>
      <c r="M114">
        <v>6</v>
      </c>
      <c r="N114">
        <f>IF(L114+M114-1&lt;=$J$2,1,0)</f>
        <v>0</v>
      </c>
      <c r="O114" t="str">
        <f>IF(N114=1,_xlfn.STDEV.S(INDEX($J$5:$J$34,L114):INDEX($J$5:$J$34,L114+M114-1))/AVERAGE(INDEX($J$5:$J$34,L114):INDEX($J$5:$J$34,L114+M114-1)),"")</f>
        <v/>
      </c>
      <c r="P114" t="str">
        <f>IF(N114=1,IF(O114&lt;=SIM_COMBINACIONES!$B$5,1,0),"")</f>
        <v/>
      </c>
      <c r="Q114" t="str">
        <f>IF(N114=1,IF(P114=1,-M114,100)+O114+ROW()*0.000000000001,"")</f>
        <v/>
      </c>
    </row>
    <row r="115" spans="12:17" x14ac:dyDescent="0.3">
      <c r="L115">
        <v>5</v>
      </c>
      <c r="M115">
        <v>7</v>
      </c>
      <c r="N115">
        <f>IF(L115+M115-1&lt;=$J$2,1,0)</f>
        <v>0</v>
      </c>
      <c r="O115" t="str">
        <f>IF(N115=1,_xlfn.STDEV.S(INDEX($J$5:$J$34,L115):INDEX($J$5:$J$34,L115+M115-1))/AVERAGE(INDEX($J$5:$J$34,L115):INDEX($J$5:$J$34,L115+M115-1)),"")</f>
        <v/>
      </c>
      <c r="P115" t="str">
        <f>IF(N115=1,IF(O115&lt;=SIM_COMBINACIONES!$B$5,1,0),"")</f>
        <v/>
      </c>
      <c r="Q115" t="str">
        <f>IF(N115=1,IF(P115=1,-M115,100)+O115+ROW()*0.000000000001,"")</f>
        <v/>
      </c>
    </row>
    <row r="116" spans="12:17" x14ac:dyDescent="0.3">
      <c r="L116">
        <v>5</v>
      </c>
      <c r="M116">
        <v>8</v>
      </c>
      <c r="N116">
        <f>IF(L116+M116-1&lt;=$J$2,1,0)</f>
        <v>0</v>
      </c>
      <c r="O116" t="str">
        <f>IF(N116=1,_xlfn.STDEV.S(INDEX($J$5:$J$34,L116):INDEX($J$5:$J$34,L116+M116-1))/AVERAGE(INDEX($J$5:$J$34,L116):INDEX($J$5:$J$34,L116+M116-1)),"")</f>
        <v/>
      </c>
      <c r="P116" t="str">
        <f>IF(N116=1,IF(O116&lt;=SIM_COMBINACIONES!$B$5,1,0),"")</f>
        <v/>
      </c>
      <c r="Q116" t="str">
        <f>IF(N116=1,IF(P116=1,-M116,100)+O116+ROW()*0.000000000001,"")</f>
        <v/>
      </c>
    </row>
    <row r="117" spans="12:17" x14ac:dyDescent="0.3">
      <c r="L117">
        <v>5</v>
      </c>
      <c r="M117">
        <v>9</v>
      </c>
      <c r="N117">
        <f>IF(L117+M117-1&lt;=$J$2,1,0)</f>
        <v>0</v>
      </c>
      <c r="O117" t="str">
        <f>IF(N117=1,_xlfn.STDEV.S(INDEX($J$5:$J$34,L117):INDEX($J$5:$J$34,L117+M117-1))/AVERAGE(INDEX($J$5:$J$34,L117):INDEX($J$5:$J$34,L117+M117-1)),"")</f>
        <v/>
      </c>
      <c r="P117" t="str">
        <f>IF(N117=1,IF(O117&lt;=SIM_COMBINACIONES!$B$5,1,0),"")</f>
        <v/>
      </c>
      <c r="Q117" t="str">
        <f>IF(N117=1,IF(P117=1,-M117,100)+O117+ROW()*0.000000000001,"")</f>
        <v/>
      </c>
    </row>
    <row r="118" spans="12:17" x14ac:dyDescent="0.3">
      <c r="L118">
        <v>5</v>
      </c>
      <c r="M118">
        <v>10</v>
      </c>
      <c r="N118">
        <f>IF(L118+M118-1&lt;=$J$2,1,0)</f>
        <v>0</v>
      </c>
      <c r="O118" t="str">
        <f>IF(N118=1,_xlfn.STDEV.S(INDEX($J$5:$J$34,L118):INDEX($J$5:$J$34,L118+M118-1))/AVERAGE(INDEX($J$5:$J$34,L118):INDEX($J$5:$J$34,L118+M118-1)),"")</f>
        <v/>
      </c>
      <c r="P118" t="str">
        <f>IF(N118=1,IF(O118&lt;=SIM_COMBINACIONES!$B$5,1,0),"")</f>
        <v/>
      </c>
      <c r="Q118" t="str">
        <f>IF(N118=1,IF(P118=1,-M118,100)+O118+ROW()*0.000000000001,"")</f>
        <v/>
      </c>
    </row>
    <row r="119" spans="12:17" x14ac:dyDescent="0.3">
      <c r="L119">
        <v>5</v>
      </c>
      <c r="M119">
        <v>11</v>
      </c>
      <c r="N119">
        <f>IF(L119+M119-1&lt;=$J$2,1,0)</f>
        <v>0</v>
      </c>
      <c r="O119" t="str">
        <f>IF(N119=1,_xlfn.STDEV.S(INDEX($J$5:$J$34,L119):INDEX($J$5:$J$34,L119+M119-1))/AVERAGE(INDEX($J$5:$J$34,L119):INDEX($J$5:$J$34,L119+M119-1)),"")</f>
        <v/>
      </c>
      <c r="P119" t="str">
        <f>IF(N119=1,IF(O119&lt;=SIM_COMBINACIONES!$B$5,1,0),"")</f>
        <v/>
      </c>
      <c r="Q119" t="str">
        <f>IF(N119=1,IF(P119=1,-M119,100)+O119+ROW()*0.000000000001,"")</f>
        <v/>
      </c>
    </row>
    <row r="120" spans="12:17" x14ac:dyDescent="0.3">
      <c r="L120">
        <v>5</v>
      </c>
      <c r="M120">
        <v>12</v>
      </c>
      <c r="N120">
        <f>IF(L120+M120-1&lt;=$J$2,1,0)</f>
        <v>0</v>
      </c>
      <c r="O120" t="str">
        <f>IF(N120=1,_xlfn.STDEV.S(INDEX($J$5:$J$34,L120):INDEX($J$5:$J$34,L120+M120-1))/AVERAGE(INDEX($J$5:$J$34,L120):INDEX($J$5:$J$34,L120+M120-1)),"")</f>
        <v/>
      </c>
      <c r="P120" t="str">
        <f>IF(N120=1,IF(O120&lt;=SIM_COMBINACIONES!$B$5,1,0),"")</f>
        <v/>
      </c>
      <c r="Q120" t="str">
        <f>IF(N120=1,IF(P120=1,-M120,100)+O120+ROW()*0.000000000001,"")</f>
        <v/>
      </c>
    </row>
    <row r="121" spans="12:17" x14ac:dyDescent="0.3">
      <c r="L121">
        <v>5</v>
      </c>
      <c r="M121">
        <v>13</v>
      </c>
      <c r="N121">
        <f>IF(L121+M121-1&lt;=$J$2,1,0)</f>
        <v>0</v>
      </c>
      <c r="O121" t="str">
        <f>IF(N121=1,_xlfn.STDEV.S(INDEX($J$5:$J$34,L121):INDEX($J$5:$J$34,L121+M121-1))/AVERAGE(INDEX($J$5:$J$34,L121):INDEX($J$5:$J$34,L121+M121-1)),"")</f>
        <v/>
      </c>
      <c r="P121" t="str">
        <f>IF(N121=1,IF(O121&lt;=SIM_COMBINACIONES!$B$5,1,0),"")</f>
        <v/>
      </c>
      <c r="Q121" t="str">
        <f>IF(N121=1,IF(P121=1,-M121,100)+O121+ROW()*0.000000000001,"")</f>
        <v/>
      </c>
    </row>
    <row r="122" spans="12:17" x14ac:dyDescent="0.3">
      <c r="L122">
        <v>5</v>
      </c>
      <c r="M122">
        <v>14</v>
      </c>
      <c r="N122">
        <f>IF(L122+M122-1&lt;=$J$2,1,0)</f>
        <v>0</v>
      </c>
      <c r="O122" t="str">
        <f>IF(N122=1,_xlfn.STDEV.S(INDEX($J$5:$J$34,L122):INDEX($J$5:$J$34,L122+M122-1))/AVERAGE(INDEX($J$5:$J$34,L122):INDEX($J$5:$J$34,L122+M122-1)),"")</f>
        <v/>
      </c>
      <c r="P122" t="str">
        <f>IF(N122=1,IF(O122&lt;=SIM_COMBINACIONES!$B$5,1,0),"")</f>
        <v/>
      </c>
      <c r="Q122" t="str">
        <f>IF(N122=1,IF(P122=1,-M122,100)+O122+ROW()*0.000000000001,"")</f>
        <v/>
      </c>
    </row>
    <row r="123" spans="12:17" x14ac:dyDescent="0.3">
      <c r="L123">
        <v>5</v>
      </c>
      <c r="M123">
        <v>15</v>
      </c>
      <c r="N123">
        <f>IF(L123+M123-1&lt;=$J$2,1,0)</f>
        <v>0</v>
      </c>
      <c r="O123" t="str">
        <f>IF(N123=1,_xlfn.STDEV.S(INDEX($J$5:$J$34,L123):INDEX($J$5:$J$34,L123+M123-1))/AVERAGE(INDEX($J$5:$J$34,L123):INDEX($J$5:$J$34,L123+M123-1)),"")</f>
        <v/>
      </c>
      <c r="P123" t="str">
        <f>IF(N123=1,IF(O123&lt;=SIM_COMBINACIONES!$B$5,1,0),"")</f>
        <v/>
      </c>
      <c r="Q123" t="str">
        <f>IF(N123=1,IF(P123=1,-M123,100)+O123+ROW()*0.000000000001,"")</f>
        <v/>
      </c>
    </row>
    <row r="124" spans="12:17" x14ac:dyDescent="0.3">
      <c r="L124">
        <v>5</v>
      </c>
      <c r="M124">
        <v>16</v>
      </c>
      <c r="N124">
        <f>IF(L124+M124-1&lt;=$J$2,1,0)</f>
        <v>0</v>
      </c>
      <c r="O124" t="str">
        <f>IF(N124=1,_xlfn.STDEV.S(INDEX($J$5:$J$34,L124):INDEX($J$5:$J$34,L124+M124-1))/AVERAGE(INDEX($J$5:$J$34,L124):INDEX($J$5:$J$34,L124+M124-1)),"")</f>
        <v/>
      </c>
      <c r="P124" t="str">
        <f>IF(N124=1,IF(O124&lt;=SIM_COMBINACIONES!$B$5,1,0),"")</f>
        <v/>
      </c>
      <c r="Q124" t="str">
        <f>IF(N124=1,IF(P124=1,-M124,100)+O124+ROW()*0.000000000001,"")</f>
        <v/>
      </c>
    </row>
    <row r="125" spans="12:17" x14ac:dyDescent="0.3">
      <c r="L125">
        <v>5</v>
      </c>
      <c r="M125">
        <v>17</v>
      </c>
      <c r="N125">
        <f>IF(L125+M125-1&lt;=$J$2,1,0)</f>
        <v>0</v>
      </c>
      <c r="O125" t="str">
        <f>IF(N125=1,_xlfn.STDEV.S(INDEX($J$5:$J$34,L125):INDEX($J$5:$J$34,L125+M125-1))/AVERAGE(INDEX($J$5:$J$34,L125):INDEX($J$5:$J$34,L125+M125-1)),"")</f>
        <v/>
      </c>
      <c r="P125" t="str">
        <f>IF(N125=1,IF(O125&lt;=SIM_COMBINACIONES!$B$5,1,0),"")</f>
        <v/>
      </c>
      <c r="Q125" t="str">
        <f>IF(N125=1,IF(P125=1,-M125,100)+O125+ROW()*0.000000000001,"")</f>
        <v/>
      </c>
    </row>
    <row r="126" spans="12:17" x14ac:dyDescent="0.3">
      <c r="L126">
        <v>5</v>
      </c>
      <c r="M126">
        <v>18</v>
      </c>
      <c r="N126">
        <f>IF(L126+M126-1&lt;=$J$2,1,0)</f>
        <v>0</v>
      </c>
      <c r="O126" t="str">
        <f>IF(N126=1,_xlfn.STDEV.S(INDEX($J$5:$J$34,L126):INDEX($J$5:$J$34,L126+M126-1))/AVERAGE(INDEX($J$5:$J$34,L126):INDEX($J$5:$J$34,L126+M126-1)),"")</f>
        <v/>
      </c>
      <c r="P126" t="str">
        <f>IF(N126=1,IF(O126&lt;=SIM_COMBINACIONES!$B$5,1,0),"")</f>
        <v/>
      </c>
      <c r="Q126" t="str">
        <f>IF(N126=1,IF(P126=1,-M126,100)+O126+ROW()*0.000000000001,"")</f>
        <v/>
      </c>
    </row>
    <row r="127" spans="12:17" x14ac:dyDescent="0.3">
      <c r="L127">
        <v>5</v>
      </c>
      <c r="M127">
        <v>19</v>
      </c>
      <c r="N127">
        <f>IF(L127+M127-1&lt;=$J$2,1,0)</f>
        <v>0</v>
      </c>
      <c r="O127" t="str">
        <f>IF(N127=1,_xlfn.STDEV.S(INDEX($J$5:$J$34,L127):INDEX($J$5:$J$34,L127+M127-1))/AVERAGE(INDEX($J$5:$J$34,L127):INDEX($J$5:$J$34,L127+M127-1)),"")</f>
        <v/>
      </c>
      <c r="P127" t="str">
        <f>IF(N127=1,IF(O127&lt;=SIM_COMBINACIONES!$B$5,1,0),"")</f>
        <v/>
      </c>
      <c r="Q127" t="str">
        <f>IF(N127=1,IF(P127=1,-M127,100)+O127+ROW()*0.000000000001,"")</f>
        <v/>
      </c>
    </row>
    <row r="128" spans="12:17" x14ac:dyDescent="0.3">
      <c r="L128">
        <v>5</v>
      </c>
      <c r="M128">
        <v>20</v>
      </c>
      <c r="N128">
        <f>IF(L128+M128-1&lt;=$J$2,1,0)</f>
        <v>0</v>
      </c>
      <c r="O128" t="str">
        <f>IF(N128=1,_xlfn.STDEV.S(INDEX($J$5:$J$34,L128):INDEX($J$5:$J$34,L128+M128-1))/AVERAGE(INDEX($J$5:$J$34,L128):INDEX($J$5:$J$34,L128+M128-1)),"")</f>
        <v/>
      </c>
      <c r="P128" t="str">
        <f>IF(N128=1,IF(O128&lt;=SIM_COMBINACIONES!$B$5,1,0),"")</f>
        <v/>
      </c>
      <c r="Q128" t="str">
        <f>IF(N128=1,IF(P128=1,-M128,100)+O128+ROW()*0.000000000001,"")</f>
        <v/>
      </c>
    </row>
    <row r="129" spans="12:17" x14ac:dyDescent="0.3">
      <c r="L129">
        <v>5</v>
      </c>
      <c r="M129">
        <v>21</v>
      </c>
      <c r="N129">
        <f>IF(L129+M129-1&lt;=$J$2,1,0)</f>
        <v>0</v>
      </c>
      <c r="O129" t="str">
        <f>IF(N129=1,_xlfn.STDEV.S(INDEX($J$5:$J$34,L129):INDEX($J$5:$J$34,L129+M129-1))/AVERAGE(INDEX($J$5:$J$34,L129):INDEX($J$5:$J$34,L129+M129-1)),"")</f>
        <v/>
      </c>
      <c r="P129" t="str">
        <f>IF(N129=1,IF(O129&lt;=SIM_COMBINACIONES!$B$5,1,0),"")</f>
        <v/>
      </c>
      <c r="Q129" t="str">
        <f>IF(N129=1,IF(P129=1,-M129,100)+O129+ROW()*0.000000000001,"")</f>
        <v/>
      </c>
    </row>
    <row r="130" spans="12:17" x14ac:dyDescent="0.3">
      <c r="L130">
        <v>5</v>
      </c>
      <c r="M130">
        <v>22</v>
      </c>
      <c r="N130">
        <f>IF(L130+M130-1&lt;=$J$2,1,0)</f>
        <v>0</v>
      </c>
      <c r="O130" t="str">
        <f>IF(N130=1,_xlfn.STDEV.S(INDEX($J$5:$J$34,L130):INDEX($J$5:$J$34,L130+M130-1))/AVERAGE(INDEX($J$5:$J$34,L130):INDEX($J$5:$J$34,L130+M130-1)),"")</f>
        <v/>
      </c>
      <c r="P130" t="str">
        <f>IF(N130=1,IF(O130&lt;=SIM_COMBINACIONES!$B$5,1,0),"")</f>
        <v/>
      </c>
      <c r="Q130" t="str">
        <f>IF(N130=1,IF(P130=1,-M130,100)+O130+ROW()*0.000000000001,"")</f>
        <v/>
      </c>
    </row>
    <row r="131" spans="12:17" x14ac:dyDescent="0.3">
      <c r="L131">
        <v>5</v>
      </c>
      <c r="M131">
        <v>23</v>
      </c>
      <c r="N131">
        <f>IF(L131+M131-1&lt;=$J$2,1,0)</f>
        <v>0</v>
      </c>
      <c r="O131" t="str">
        <f>IF(N131=1,_xlfn.STDEV.S(INDEX($J$5:$J$34,L131):INDEX($J$5:$J$34,L131+M131-1))/AVERAGE(INDEX($J$5:$J$34,L131):INDEX($J$5:$J$34,L131+M131-1)),"")</f>
        <v/>
      </c>
      <c r="P131" t="str">
        <f>IF(N131=1,IF(O131&lt;=SIM_COMBINACIONES!$B$5,1,0),"")</f>
        <v/>
      </c>
      <c r="Q131" t="str">
        <f>IF(N131=1,IF(P131=1,-M131,100)+O131+ROW()*0.000000000001,"")</f>
        <v/>
      </c>
    </row>
    <row r="132" spans="12:17" x14ac:dyDescent="0.3">
      <c r="L132">
        <v>5</v>
      </c>
      <c r="M132">
        <v>24</v>
      </c>
      <c r="N132">
        <f>IF(L132+M132-1&lt;=$J$2,1,0)</f>
        <v>0</v>
      </c>
      <c r="O132" t="str">
        <f>IF(N132=1,_xlfn.STDEV.S(INDEX($J$5:$J$34,L132):INDEX($J$5:$J$34,L132+M132-1))/AVERAGE(INDEX($J$5:$J$34,L132):INDEX($J$5:$J$34,L132+M132-1)),"")</f>
        <v/>
      </c>
      <c r="P132" t="str">
        <f>IF(N132=1,IF(O132&lt;=SIM_COMBINACIONES!$B$5,1,0),"")</f>
        <v/>
      </c>
      <c r="Q132" t="str">
        <f>IF(N132=1,IF(P132=1,-M132,100)+O132+ROW()*0.000000000001,"")</f>
        <v/>
      </c>
    </row>
    <row r="133" spans="12:17" x14ac:dyDescent="0.3">
      <c r="L133">
        <v>5</v>
      </c>
      <c r="M133">
        <v>25</v>
      </c>
      <c r="N133">
        <f>IF(L133+M133-1&lt;=$J$2,1,0)</f>
        <v>0</v>
      </c>
      <c r="O133" t="str">
        <f>IF(N133=1,_xlfn.STDEV.S(INDEX($J$5:$J$34,L133):INDEX($J$5:$J$34,L133+M133-1))/AVERAGE(INDEX($J$5:$J$34,L133):INDEX($J$5:$J$34,L133+M133-1)),"")</f>
        <v/>
      </c>
      <c r="P133" t="str">
        <f>IF(N133=1,IF(O133&lt;=SIM_COMBINACIONES!$B$5,1,0),"")</f>
        <v/>
      </c>
      <c r="Q133" t="str">
        <f>IF(N133=1,IF(P133=1,-M133,100)+O133+ROW()*0.000000000001,"")</f>
        <v/>
      </c>
    </row>
    <row r="134" spans="12:17" x14ac:dyDescent="0.3">
      <c r="L134">
        <v>5</v>
      </c>
      <c r="M134">
        <v>26</v>
      </c>
      <c r="N134">
        <f>IF(L134+M134-1&lt;=$J$2,1,0)</f>
        <v>0</v>
      </c>
      <c r="O134" t="str">
        <f>IF(N134=1,_xlfn.STDEV.S(INDEX($J$5:$J$34,L134):INDEX($J$5:$J$34,L134+M134-1))/AVERAGE(INDEX($J$5:$J$34,L134):INDEX($J$5:$J$34,L134+M134-1)),"")</f>
        <v/>
      </c>
      <c r="P134" t="str">
        <f>IF(N134=1,IF(O134&lt;=SIM_COMBINACIONES!$B$5,1,0),"")</f>
        <v/>
      </c>
      <c r="Q134" t="str">
        <f>IF(N134=1,IF(P134=1,-M134,100)+O134+ROW()*0.000000000001,"")</f>
        <v/>
      </c>
    </row>
    <row r="135" spans="12:17" x14ac:dyDescent="0.3">
      <c r="L135">
        <v>6</v>
      </c>
      <c r="M135">
        <v>3</v>
      </c>
      <c r="N135">
        <f>IF(L135+M135-1&lt;=$J$2,1,0)</f>
        <v>0</v>
      </c>
      <c r="O135" t="str">
        <f>IF(N135=1,_xlfn.STDEV.S(INDEX($J$5:$J$34,L135):INDEX($J$5:$J$34,L135+M135-1))/AVERAGE(INDEX($J$5:$J$34,L135):INDEX($J$5:$J$34,L135+M135-1)),"")</f>
        <v/>
      </c>
      <c r="P135" t="str">
        <f>IF(N135=1,IF(O135&lt;=SIM_COMBINACIONES!$B$5,1,0),"")</f>
        <v/>
      </c>
      <c r="Q135" t="str">
        <f>IF(N135=1,IF(P135=1,-M135,100)+O135+ROW()*0.000000000001,"")</f>
        <v/>
      </c>
    </row>
    <row r="136" spans="12:17" x14ac:dyDescent="0.3">
      <c r="L136">
        <v>6</v>
      </c>
      <c r="M136">
        <v>4</v>
      </c>
      <c r="N136">
        <f>IF(L136+M136-1&lt;=$J$2,1,0)</f>
        <v>0</v>
      </c>
      <c r="O136" t="str">
        <f>IF(N136=1,_xlfn.STDEV.S(INDEX($J$5:$J$34,L136):INDEX($J$5:$J$34,L136+M136-1))/AVERAGE(INDEX($J$5:$J$34,L136):INDEX($J$5:$J$34,L136+M136-1)),"")</f>
        <v/>
      </c>
      <c r="P136" t="str">
        <f>IF(N136=1,IF(O136&lt;=SIM_COMBINACIONES!$B$5,1,0),"")</f>
        <v/>
      </c>
      <c r="Q136" t="str">
        <f>IF(N136=1,IF(P136=1,-M136,100)+O136+ROW()*0.000000000001,"")</f>
        <v/>
      </c>
    </row>
    <row r="137" spans="12:17" x14ac:dyDescent="0.3">
      <c r="L137">
        <v>6</v>
      </c>
      <c r="M137">
        <v>5</v>
      </c>
      <c r="N137">
        <f>IF(L137+M137-1&lt;=$J$2,1,0)</f>
        <v>0</v>
      </c>
      <c r="O137" t="str">
        <f>IF(N137=1,_xlfn.STDEV.S(INDEX($J$5:$J$34,L137):INDEX($J$5:$J$34,L137+M137-1))/AVERAGE(INDEX($J$5:$J$34,L137):INDEX($J$5:$J$34,L137+M137-1)),"")</f>
        <v/>
      </c>
      <c r="P137" t="str">
        <f>IF(N137=1,IF(O137&lt;=SIM_COMBINACIONES!$B$5,1,0),"")</f>
        <v/>
      </c>
      <c r="Q137" t="str">
        <f>IF(N137=1,IF(P137=1,-M137,100)+O137+ROW()*0.000000000001,"")</f>
        <v/>
      </c>
    </row>
    <row r="138" spans="12:17" x14ac:dyDescent="0.3">
      <c r="L138">
        <v>6</v>
      </c>
      <c r="M138">
        <v>6</v>
      </c>
      <c r="N138">
        <f>IF(L138+M138-1&lt;=$J$2,1,0)</f>
        <v>0</v>
      </c>
      <c r="O138" t="str">
        <f>IF(N138=1,_xlfn.STDEV.S(INDEX($J$5:$J$34,L138):INDEX($J$5:$J$34,L138+M138-1))/AVERAGE(INDEX($J$5:$J$34,L138):INDEX($J$5:$J$34,L138+M138-1)),"")</f>
        <v/>
      </c>
      <c r="P138" t="str">
        <f>IF(N138=1,IF(O138&lt;=SIM_COMBINACIONES!$B$5,1,0),"")</f>
        <v/>
      </c>
      <c r="Q138" t="str">
        <f>IF(N138=1,IF(P138=1,-M138,100)+O138+ROW()*0.000000000001,"")</f>
        <v/>
      </c>
    </row>
    <row r="139" spans="12:17" x14ac:dyDescent="0.3">
      <c r="L139">
        <v>6</v>
      </c>
      <c r="M139">
        <v>7</v>
      </c>
      <c r="N139">
        <f>IF(L139+M139-1&lt;=$J$2,1,0)</f>
        <v>0</v>
      </c>
      <c r="O139" t="str">
        <f>IF(N139=1,_xlfn.STDEV.S(INDEX($J$5:$J$34,L139):INDEX($J$5:$J$34,L139+M139-1))/AVERAGE(INDEX($J$5:$J$34,L139):INDEX($J$5:$J$34,L139+M139-1)),"")</f>
        <v/>
      </c>
      <c r="P139" t="str">
        <f>IF(N139=1,IF(O139&lt;=SIM_COMBINACIONES!$B$5,1,0),"")</f>
        <v/>
      </c>
      <c r="Q139" t="str">
        <f>IF(N139=1,IF(P139=1,-M139,100)+O139+ROW()*0.000000000001,"")</f>
        <v/>
      </c>
    </row>
    <row r="140" spans="12:17" x14ac:dyDescent="0.3">
      <c r="L140">
        <v>6</v>
      </c>
      <c r="M140">
        <v>8</v>
      </c>
      <c r="N140">
        <f>IF(L140+M140-1&lt;=$J$2,1,0)</f>
        <v>0</v>
      </c>
      <c r="O140" t="str">
        <f>IF(N140=1,_xlfn.STDEV.S(INDEX($J$5:$J$34,L140):INDEX($J$5:$J$34,L140+M140-1))/AVERAGE(INDEX($J$5:$J$34,L140):INDEX($J$5:$J$34,L140+M140-1)),"")</f>
        <v/>
      </c>
      <c r="P140" t="str">
        <f>IF(N140=1,IF(O140&lt;=SIM_COMBINACIONES!$B$5,1,0),"")</f>
        <v/>
      </c>
      <c r="Q140" t="str">
        <f>IF(N140=1,IF(P140=1,-M140,100)+O140+ROW()*0.000000000001,"")</f>
        <v/>
      </c>
    </row>
    <row r="141" spans="12:17" x14ac:dyDescent="0.3">
      <c r="L141">
        <v>6</v>
      </c>
      <c r="M141">
        <v>9</v>
      </c>
      <c r="N141">
        <f>IF(L141+M141-1&lt;=$J$2,1,0)</f>
        <v>0</v>
      </c>
      <c r="O141" t="str">
        <f>IF(N141=1,_xlfn.STDEV.S(INDEX($J$5:$J$34,L141):INDEX($J$5:$J$34,L141+M141-1))/AVERAGE(INDEX($J$5:$J$34,L141):INDEX($J$5:$J$34,L141+M141-1)),"")</f>
        <v/>
      </c>
      <c r="P141" t="str">
        <f>IF(N141=1,IF(O141&lt;=SIM_COMBINACIONES!$B$5,1,0),"")</f>
        <v/>
      </c>
      <c r="Q141" t="str">
        <f>IF(N141=1,IF(P141=1,-M141,100)+O141+ROW()*0.000000000001,"")</f>
        <v/>
      </c>
    </row>
    <row r="142" spans="12:17" x14ac:dyDescent="0.3">
      <c r="L142">
        <v>6</v>
      </c>
      <c r="M142">
        <v>10</v>
      </c>
      <c r="N142">
        <f>IF(L142+M142-1&lt;=$J$2,1,0)</f>
        <v>0</v>
      </c>
      <c r="O142" t="str">
        <f>IF(N142=1,_xlfn.STDEV.S(INDEX($J$5:$J$34,L142):INDEX($J$5:$J$34,L142+M142-1))/AVERAGE(INDEX($J$5:$J$34,L142):INDEX($J$5:$J$34,L142+M142-1)),"")</f>
        <v/>
      </c>
      <c r="P142" t="str">
        <f>IF(N142=1,IF(O142&lt;=SIM_COMBINACIONES!$B$5,1,0),"")</f>
        <v/>
      </c>
      <c r="Q142" t="str">
        <f>IF(N142=1,IF(P142=1,-M142,100)+O142+ROW()*0.000000000001,"")</f>
        <v/>
      </c>
    </row>
    <row r="143" spans="12:17" x14ac:dyDescent="0.3">
      <c r="L143">
        <v>6</v>
      </c>
      <c r="M143">
        <v>11</v>
      </c>
      <c r="N143">
        <f>IF(L143+M143-1&lt;=$J$2,1,0)</f>
        <v>0</v>
      </c>
      <c r="O143" t="str">
        <f>IF(N143=1,_xlfn.STDEV.S(INDEX($J$5:$J$34,L143):INDEX($J$5:$J$34,L143+M143-1))/AVERAGE(INDEX($J$5:$J$34,L143):INDEX($J$5:$J$34,L143+M143-1)),"")</f>
        <v/>
      </c>
      <c r="P143" t="str">
        <f>IF(N143=1,IF(O143&lt;=SIM_COMBINACIONES!$B$5,1,0),"")</f>
        <v/>
      </c>
      <c r="Q143" t="str">
        <f>IF(N143=1,IF(P143=1,-M143,100)+O143+ROW()*0.000000000001,"")</f>
        <v/>
      </c>
    </row>
    <row r="144" spans="12:17" x14ac:dyDescent="0.3">
      <c r="L144">
        <v>6</v>
      </c>
      <c r="M144">
        <v>12</v>
      </c>
      <c r="N144">
        <f>IF(L144+M144-1&lt;=$J$2,1,0)</f>
        <v>0</v>
      </c>
      <c r="O144" t="str">
        <f>IF(N144=1,_xlfn.STDEV.S(INDEX($J$5:$J$34,L144):INDEX($J$5:$J$34,L144+M144-1))/AVERAGE(INDEX($J$5:$J$34,L144):INDEX($J$5:$J$34,L144+M144-1)),"")</f>
        <v/>
      </c>
      <c r="P144" t="str">
        <f>IF(N144=1,IF(O144&lt;=SIM_COMBINACIONES!$B$5,1,0),"")</f>
        <v/>
      </c>
      <c r="Q144" t="str">
        <f>IF(N144=1,IF(P144=1,-M144,100)+O144+ROW()*0.000000000001,"")</f>
        <v/>
      </c>
    </row>
    <row r="145" spans="12:17" x14ac:dyDescent="0.3">
      <c r="L145">
        <v>6</v>
      </c>
      <c r="M145">
        <v>13</v>
      </c>
      <c r="N145">
        <f>IF(L145+M145-1&lt;=$J$2,1,0)</f>
        <v>0</v>
      </c>
      <c r="O145" t="str">
        <f>IF(N145=1,_xlfn.STDEV.S(INDEX($J$5:$J$34,L145):INDEX($J$5:$J$34,L145+M145-1))/AVERAGE(INDEX($J$5:$J$34,L145):INDEX($J$5:$J$34,L145+M145-1)),"")</f>
        <v/>
      </c>
      <c r="P145" t="str">
        <f>IF(N145=1,IF(O145&lt;=SIM_COMBINACIONES!$B$5,1,0),"")</f>
        <v/>
      </c>
      <c r="Q145" t="str">
        <f>IF(N145=1,IF(P145=1,-M145,100)+O145+ROW()*0.000000000001,"")</f>
        <v/>
      </c>
    </row>
    <row r="146" spans="12:17" x14ac:dyDescent="0.3">
      <c r="L146">
        <v>6</v>
      </c>
      <c r="M146">
        <v>14</v>
      </c>
      <c r="N146">
        <f>IF(L146+M146-1&lt;=$J$2,1,0)</f>
        <v>0</v>
      </c>
      <c r="O146" t="str">
        <f>IF(N146=1,_xlfn.STDEV.S(INDEX($J$5:$J$34,L146):INDEX($J$5:$J$34,L146+M146-1))/AVERAGE(INDEX($J$5:$J$34,L146):INDEX($J$5:$J$34,L146+M146-1)),"")</f>
        <v/>
      </c>
      <c r="P146" t="str">
        <f>IF(N146=1,IF(O146&lt;=SIM_COMBINACIONES!$B$5,1,0),"")</f>
        <v/>
      </c>
      <c r="Q146" t="str">
        <f>IF(N146=1,IF(P146=1,-M146,100)+O146+ROW()*0.000000000001,"")</f>
        <v/>
      </c>
    </row>
    <row r="147" spans="12:17" x14ac:dyDescent="0.3">
      <c r="L147">
        <v>6</v>
      </c>
      <c r="M147">
        <v>15</v>
      </c>
      <c r="N147">
        <f>IF(L147+M147-1&lt;=$J$2,1,0)</f>
        <v>0</v>
      </c>
      <c r="O147" t="str">
        <f>IF(N147=1,_xlfn.STDEV.S(INDEX($J$5:$J$34,L147):INDEX($J$5:$J$34,L147+M147-1))/AVERAGE(INDEX($J$5:$J$34,L147):INDEX($J$5:$J$34,L147+M147-1)),"")</f>
        <v/>
      </c>
      <c r="P147" t="str">
        <f>IF(N147=1,IF(O147&lt;=SIM_COMBINACIONES!$B$5,1,0),"")</f>
        <v/>
      </c>
      <c r="Q147" t="str">
        <f>IF(N147=1,IF(P147=1,-M147,100)+O147+ROW()*0.000000000001,"")</f>
        <v/>
      </c>
    </row>
    <row r="148" spans="12:17" x14ac:dyDescent="0.3">
      <c r="L148">
        <v>6</v>
      </c>
      <c r="M148">
        <v>16</v>
      </c>
      <c r="N148">
        <f>IF(L148+M148-1&lt;=$J$2,1,0)</f>
        <v>0</v>
      </c>
      <c r="O148" t="str">
        <f>IF(N148=1,_xlfn.STDEV.S(INDEX($J$5:$J$34,L148):INDEX($J$5:$J$34,L148+M148-1))/AVERAGE(INDEX($J$5:$J$34,L148):INDEX($J$5:$J$34,L148+M148-1)),"")</f>
        <v/>
      </c>
      <c r="P148" t="str">
        <f>IF(N148=1,IF(O148&lt;=SIM_COMBINACIONES!$B$5,1,0),"")</f>
        <v/>
      </c>
      <c r="Q148" t="str">
        <f>IF(N148=1,IF(P148=1,-M148,100)+O148+ROW()*0.000000000001,"")</f>
        <v/>
      </c>
    </row>
    <row r="149" spans="12:17" x14ac:dyDescent="0.3">
      <c r="L149">
        <v>6</v>
      </c>
      <c r="M149">
        <v>17</v>
      </c>
      <c r="N149">
        <f>IF(L149+M149-1&lt;=$J$2,1,0)</f>
        <v>0</v>
      </c>
      <c r="O149" t="str">
        <f>IF(N149=1,_xlfn.STDEV.S(INDEX($J$5:$J$34,L149):INDEX($J$5:$J$34,L149+M149-1))/AVERAGE(INDEX($J$5:$J$34,L149):INDEX($J$5:$J$34,L149+M149-1)),"")</f>
        <v/>
      </c>
      <c r="P149" t="str">
        <f>IF(N149=1,IF(O149&lt;=SIM_COMBINACIONES!$B$5,1,0),"")</f>
        <v/>
      </c>
      <c r="Q149" t="str">
        <f>IF(N149=1,IF(P149=1,-M149,100)+O149+ROW()*0.000000000001,"")</f>
        <v/>
      </c>
    </row>
    <row r="150" spans="12:17" x14ac:dyDescent="0.3">
      <c r="L150">
        <v>6</v>
      </c>
      <c r="M150">
        <v>18</v>
      </c>
      <c r="N150">
        <f>IF(L150+M150-1&lt;=$J$2,1,0)</f>
        <v>0</v>
      </c>
      <c r="O150" t="str">
        <f>IF(N150=1,_xlfn.STDEV.S(INDEX($J$5:$J$34,L150):INDEX($J$5:$J$34,L150+M150-1))/AVERAGE(INDEX($J$5:$J$34,L150):INDEX($J$5:$J$34,L150+M150-1)),"")</f>
        <v/>
      </c>
      <c r="P150" t="str">
        <f>IF(N150=1,IF(O150&lt;=SIM_COMBINACIONES!$B$5,1,0),"")</f>
        <v/>
      </c>
      <c r="Q150" t="str">
        <f>IF(N150=1,IF(P150=1,-M150,100)+O150+ROW()*0.000000000001,"")</f>
        <v/>
      </c>
    </row>
    <row r="151" spans="12:17" x14ac:dyDescent="0.3">
      <c r="L151">
        <v>6</v>
      </c>
      <c r="M151">
        <v>19</v>
      </c>
      <c r="N151">
        <f>IF(L151+M151-1&lt;=$J$2,1,0)</f>
        <v>0</v>
      </c>
      <c r="O151" t="str">
        <f>IF(N151=1,_xlfn.STDEV.S(INDEX($J$5:$J$34,L151):INDEX($J$5:$J$34,L151+M151-1))/AVERAGE(INDEX($J$5:$J$34,L151):INDEX($J$5:$J$34,L151+M151-1)),"")</f>
        <v/>
      </c>
      <c r="P151" t="str">
        <f>IF(N151=1,IF(O151&lt;=SIM_COMBINACIONES!$B$5,1,0),"")</f>
        <v/>
      </c>
      <c r="Q151" t="str">
        <f>IF(N151=1,IF(P151=1,-M151,100)+O151+ROW()*0.000000000001,"")</f>
        <v/>
      </c>
    </row>
    <row r="152" spans="12:17" x14ac:dyDescent="0.3">
      <c r="L152">
        <v>6</v>
      </c>
      <c r="M152">
        <v>20</v>
      </c>
      <c r="N152">
        <f>IF(L152+M152-1&lt;=$J$2,1,0)</f>
        <v>0</v>
      </c>
      <c r="O152" t="str">
        <f>IF(N152=1,_xlfn.STDEV.S(INDEX($J$5:$J$34,L152):INDEX($J$5:$J$34,L152+M152-1))/AVERAGE(INDEX($J$5:$J$34,L152):INDEX($J$5:$J$34,L152+M152-1)),"")</f>
        <v/>
      </c>
      <c r="P152" t="str">
        <f>IF(N152=1,IF(O152&lt;=SIM_COMBINACIONES!$B$5,1,0),"")</f>
        <v/>
      </c>
      <c r="Q152" t="str">
        <f>IF(N152=1,IF(P152=1,-M152,100)+O152+ROW()*0.000000000001,"")</f>
        <v/>
      </c>
    </row>
    <row r="153" spans="12:17" x14ac:dyDescent="0.3">
      <c r="L153">
        <v>6</v>
      </c>
      <c r="M153">
        <v>21</v>
      </c>
      <c r="N153">
        <f>IF(L153+M153-1&lt;=$J$2,1,0)</f>
        <v>0</v>
      </c>
      <c r="O153" t="str">
        <f>IF(N153=1,_xlfn.STDEV.S(INDEX($J$5:$J$34,L153):INDEX($J$5:$J$34,L153+M153-1))/AVERAGE(INDEX($J$5:$J$34,L153):INDEX($J$5:$J$34,L153+M153-1)),"")</f>
        <v/>
      </c>
      <c r="P153" t="str">
        <f>IF(N153=1,IF(O153&lt;=SIM_COMBINACIONES!$B$5,1,0),"")</f>
        <v/>
      </c>
      <c r="Q153" t="str">
        <f>IF(N153=1,IF(P153=1,-M153,100)+O153+ROW()*0.000000000001,"")</f>
        <v/>
      </c>
    </row>
    <row r="154" spans="12:17" x14ac:dyDescent="0.3">
      <c r="L154">
        <v>6</v>
      </c>
      <c r="M154">
        <v>22</v>
      </c>
      <c r="N154">
        <f>IF(L154+M154-1&lt;=$J$2,1,0)</f>
        <v>0</v>
      </c>
      <c r="O154" t="str">
        <f>IF(N154=1,_xlfn.STDEV.S(INDEX($J$5:$J$34,L154):INDEX($J$5:$J$34,L154+M154-1))/AVERAGE(INDEX($J$5:$J$34,L154):INDEX($J$5:$J$34,L154+M154-1)),"")</f>
        <v/>
      </c>
      <c r="P154" t="str">
        <f>IF(N154=1,IF(O154&lt;=SIM_COMBINACIONES!$B$5,1,0),"")</f>
        <v/>
      </c>
      <c r="Q154" t="str">
        <f>IF(N154=1,IF(P154=1,-M154,100)+O154+ROW()*0.000000000001,"")</f>
        <v/>
      </c>
    </row>
    <row r="155" spans="12:17" x14ac:dyDescent="0.3">
      <c r="L155">
        <v>6</v>
      </c>
      <c r="M155">
        <v>23</v>
      </c>
      <c r="N155">
        <f>IF(L155+M155-1&lt;=$J$2,1,0)</f>
        <v>0</v>
      </c>
      <c r="O155" t="str">
        <f>IF(N155=1,_xlfn.STDEV.S(INDEX($J$5:$J$34,L155):INDEX($J$5:$J$34,L155+M155-1))/AVERAGE(INDEX($J$5:$J$34,L155):INDEX($J$5:$J$34,L155+M155-1)),"")</f>
        <v/>
      </c>
      <c r="P155" t="str">
        <f>IF(N155=1,IF(O155&lt;=SIM_COMBINACIONES!$B$5,1,0),"")</f>
        <v/>
      </c>
      <c r="Q155" t="str">
        <f>IF(N155=1,IF(P155=1,-M155,100)+O155+ROW()*0.000000000001,"")</f>
        <v/>
      </c>
    </row>
    <row r="156" spans="12:17" x14ac:dyDescent="0.3">
      <c r="L156">
        <v>6</v>
      </c>
      <c r="M156">
        <v>24</v>
      </c>
      <c r="N156">
        <f>IF(L156+M156-1&lt;=$J$2,1,0)</f>
        <v>0</v>
      </c>
      <c r="O156" t="str">
        <f>IF(N156=1,_xlfn.STDEV.S(INDEX($J$5:$J$34,L156):INDEX($J$5:$J$34,L156+M156-1))/AVERAGE(INDEX($J$5:$J$34,L156):INDEX($J$5:$J$34,L156+M156-1)),"")</f>
        <v/>
      </c>
      <c r="P156" t="str">
        <f>IF(N156=1,IF(O156&lt;=SIM_COMBINACIONES!$B$5,1,0),"")</f>
        <v/>
      </c>
      <c r="Q156" t="str">
        <f>IF(N156=1,IF(P156=1,-M156,100)+O156+ROW()*0.000000000001,"")</f>
        <v/>
      </c>
    </row>
    <row r="157" spans="12:17" x14ac:dyDescent="0.3">
      <c r="L157">
        <v>6</v>
      </c>
      <c r="M157">
        <v>25</v>
      </c>
      <c r="N157">
        <f>IF(L157+M157-1&lt;=$J$2,1,0)</f>
        <v>0</v>
      </c>
      <c r="O157" t="str">
        <f>IF(N157=1,_xlfn.STDEV.S(INDEX($J$5:$J$34,L157):INDEX($J$5:$J$34,L157+M157-1))/AVERAGE(INDEX($J$5:$J$34,L157):INDEX($J$5:$J$34,L157+M157-1)),"")</f>
        <v/>
      </c>
      <c r="P157" t="str">
        <f>IF(N157=1,IF(O157&lt;=SIM_COMBINACIONES!$B$5,1,0),"")</f>
        <v/>
      </c>
      <c r="Q157" t="str">
        <f>IF(N157=1,IF(P157=1,-M157,100)+O157+ROW()*0.000000000001,"")</f>
        <v/>
      </c>
    </row>
    <row r="158" spans="12:17" x14ac:dyDescent="0.3">
      <c r="L158">
        <v>7</v>
      </c>
      <c r="M158">
        <v>3</v>
      </c>
      <c r="N158">
        <f>IF(L158+M158-1&lt;=$J$2,1,0)</f>
        <v>0</v>
      </c>
      <c r="O158" t="str">
        <f>IF(N158=1,_xlfn.STDEV.S(INDEX($J$5:$J$34,L158):INDEX($J$5:$J$34,L158+M158-1))/AVERAGE(INDEX($J$5:$J$34,L158):INDEX($J$5:$J$34,L158+M158-1)),"")</f>
        <v/>
      </c>
      <c r="P158" t="str">
        <f>IF(N158=1,IF(O158&lt;=SIM_COMBINACIONES!$B$5,1,0),"")</f>
        <v/>
      </c>
      <c r="Q158" t="str">
        <f>IF(N158=1,IF(P158=1,-M158,100)+O158+ROW()*0.000000000001,"")</f>
        <v/>
      </c>
    </row>
    <row r="159" spans="12:17" x14ac:dyDescent="0.3">
      <c r="L159">
        <v>7</v>
      </c>
      <c r="M159">
        <v>4</v>
      </c>
      <c r="N159">
        <f>IF(L159+M159-1&lt;=$J$2,1,0)</f>
        <v>0</v>
      </c>
      <c r="O159" t="str">
        <f>IF(N159=1,_xlfn.STDEV.S(INDEX($J$5:$J$34,L159):INDEX($J$5:$J$34,L159+M159-1))/AVERAGE(INDEX($J$5:$J$34,L159):INDEX($J$5:$J$34,L159+M159-1)),"")</f>
        <v/>
      </c>
      <c r="P159" t="str">
        <f>IF(N159=1,IF(O159&lt;=SIM_COMBINACIONES!$B$5,1,0),"")</f>
        <v/>
      </c>
      <c r="Q159" t="str">
        <f>IF(N159=1,IF(P159=1,-M159,100)+O159+ROW()*0.000000000001,"")</f>
        <v/>
      </c>
    </row>
    <row r="160" spans="12:17" x14ac:dyDescent="0.3">
      <c r="L160">
        <v>7</v>
      </c>
      <c r="M160">
        <v>5</v>
      </c>
      <c r="N160">
        <f>IF(L160+M160-1&lt;=$J$2,1,0)</f>
        <v>0</v>
      </c>
      <c r="O160" t="str">
        <f>IF(N160=1,_xlfn.STDEV.S(INDEX($J$5:$J$34,L160):INDEX($J$5:$J$34,L160+M160-1))/AVERAGE(INDEX($J$5:$J$34,L160):INDEX($J$5:$J$34,L160+M160-1)),"")</f>
        <v/>
      </c>
      <c r="P160" t="str">
        <f>IF(N160=1,IF(O160&lt;=SIM_COMBINACIONES!$B$5,1,0),"")</f>
        <v/>
      </c>
      <c r="Q160" t="str">
        <f>IF(N160=1,IF(P160=1,-M160,100)+O160+ROW()*0.000000000001,"")</f>
        <v/>
      </c>
    </row>
    <row r="161" spans="12:17" x14ac:dyDescent="0.3">
      <c r="L161">
        <v>7</v>
      </c>
      <c r="M161">
        <v>6</v>
      </c>
      <c r="N161">
        <f>IF(L161+M161-1&lt;=$J$2,1,0)</f>
        <v>0</v>
      </c>
      <c r="O161" t="str">
        <f>IF(N161=1,_xlfn.STDEV.S(INDEX($J$5:$J$34,L161):INDEX($J$5:$J$34,L161+M161-1))/AVERAGE(INDEX($J$5:$J$34,L161):INDEX($J$5:$J$34,L161+M161-1)),"")</f>
        <v/>
      </c>
      <c r="P161" t="str">
        <f>IF(N161=1,IF(O161&lt;=SIM_COMBINACIONES!$B$5,1,0),"")</f>
        <v/>
      </c>
      <c r="Q161" t="str">
        <f>IF(N161=1,IF(P161=1,-M161,100)+O161+ROW()*0.000000000001,"")</f>
        <v/>
      </c>
    </row>
    <row r="162" spans="12:17" x14ac:dyDescent="0.3">
      <c r="L162">
        <v>7</v>
      </c>
      <c r="M162">
        <v>7</v>
      </c>
      <c r="N162">
        <f>IF(L162+M162-1&lt;=$J$2,1,0)</f>
        <v>0</v>
      </c>
      <c r="O162" t="str">
        <f>IF(N162=1,_xlfn.STDEV.S(INDEX($J$5:$J$34,L162):INDEX($J$5:$J$34,L162+M162-1))/AVERAGE(INDEX($J$5:$J$34,L162):INDEX($J$5:$J$34,L162+M162-1)),"")</f>
        <v/>
      </c>
      <c r="P162" t="str">
        <f>IF(N162=1,IF(O162&lt;=SIM_COMBINACIONES!$B$5,1,0),"")</f>
        <v/>
      </c>
      <c r="Q162" t="str">
        <f>IF(N162=1,IF(P162=1,-M162,100)+O162+ROW()*0.000000000001,"")</f>
        <v/>
      </c>
    </row>
    <row r="163" spans="12:17" x14ac:dyDescent="0.3">
      <c r="L163">
        <v>7</v>
      </c>
      <c r="M163">
        <v>8</v>
      </c>
      <c r="N163">
        <f>IF(L163+M163-1&lt;=$J$2,1,0)</f>
        <v>0</v>
      </c>
      <c r="O163" t="str">
        <f>IF(N163=1,_xlfn.STDEV.S(INDEX($J$5:$J$34,L163):INDEX($J$5:$J$34,L163+M163-1))/AVERAGE(INDEX($J$5:$J$34,L163):INDEX($J$5:$J$34,L163+M163-1)),"")</f>
        <v/>
      </c>
      <c r="P163" t="str">
        <f>IF(N163=1,IF(O163&lt;=SIM_COMBINACIONES!$B$5,1,0),"")</f>
        <v/>
      </c>
      <c r="Q163" t="str">
        <f>IF(N163=1,IF(P163=1,-M163,100)+O163+ROW()*0.000000000001,"")</f>
        <v/>
      </c>
    </row>
    <row r="164" spans="12:17" x14ac:dyDescent="0.3">
      <c r="L164">
        <v>7</v>
      </c>
      <c r="M164">
        <v>9</v>
      </c>
      <c r="N164">
        <f>IF(L164+M164-1&lt;=$J$2,1,0)</f>
        <v>0</v>
      </c>
      <c r="O164" t="str">
        <f>IF(N164=1,_xlfn.STDEV.S(INDEX($J$5:$J$34,L164):INDEX($J$5:$J$34,L164+M164-1))/AVERAGE(INDEX($J$5:$J$34,L164):INDEX($J$5:$J$34,L164+M164-1)),"")</f>
        <v/>
      </c>
      <c r="P164" t="str">
        <f>IF(N164=1,IF(O164&lt;=SIM_COMBINACIONES!$B$5,1,0),"")</f>
        <v/>
      </c>
      <c r="Q164" t="str">
        <f>IF(N164=1,IF(P164=1,-M164,100)+O164+ROW()*0.000000000001,"")</f>
        <v/>
      </c>
    </row>
    <row r="165" spans="12:17" x14ac:dyDescent="0.3">
      <c r="L165">
        <v>7</v>
      </c>
      <c r="M165">
        <v>10</v>
      </c>
      <c r="N165">
        <f>IF(L165+M165-1&lt;=$J$2,1,0)</f>
        <v>0</v>
      </c>
      <c r="O165" t="str">
        <f>IF(N165=1,_xlfn.STDEV.S(INDEX($J$5:$J$34,L165):INDEX($J$5:$J$34,L165+M165-1))/AVERAGE(INDEX($J$5:$J$34,L165):INDEX($J$5:$J$34,L165+M165-1)),"")</f>
        <v/>
      </c>
      <c r="P165" t="str">
        <f>IF(N165=1,IF(O165&lt;=SIM_COMBINACIONES!$B$5,1,0),"")</f>
        <v/>
      </c>
      <c r="Q165" t="str">
        <f>IF(N165=1,IF(P165=1,-M165,100)+O165+ROW()*0.000000000001,"")</f>
        <v/>
      </c>
    </row>
    <row r="166" spans="12:17" x14ac:dyDescent="0.3">
      <c r="L166">
        <v>7</v>
      </c>
      <c r="M166">
        <v>11</v>
      </c>
      <c r="N166">
        <f>IF(L166+M166-1&lt;=$J$2,1,0)</f>
        <v>0</v>
      </c>
      <c r="O166" t="str">
        <f>IF(N166=1,_xlfn.STDEV.S(INDEX($J$5:$J$34,L166):INDEX($J$5:$J$34,L166+M166-1))/AVERAGE(INDEX($J$5:$J$34,L166):INDEX($J$5:$J$34,L166+M166-1)),"")</f>
        <v/>
      </c>
      <c r="P166" t="str">
        <f>IF(N166=1,IF(O166&lt;=SIM_COMBINACIONES!$B$5,1,0),"")</f>
        <v/>
      </c>
      <c r="Q166" t="str">
        <f>IF(N166=1,IF(P166=1,-M166,100)+O166+ROW()*0.000000000001,"")</f>
        <v/>
      </c>
    </row>
    <row r="167" spans="12:17" x14ac:dyDescent="0.3">
      <c r="L167">
        <v>7</v>
      </c>
      <c r="M167">
        <v>12</v>
      </c>
      <c r="N167">
        <f>IF(L167+M167-1&lt;=$J$2,1,0)</f>
        <v>0</v>
      </c>
      <c r="O167" t="str">
        <f>IF(N167=1,_xlfn.STDEV.S(INDEX($J$5:$J$34,L167):INDEX($J$5:$J$34,L167+M167-1))/AVERAGE(INDEX($J$5:$J$34,L167):INDEX($J$5:$J$34,L167+M167-1)),"")</f>
        <v/>
      </c>
      <c r="P167" t="str">
        <f>IF(N167=1,IF(O167&lt;=SIM_COMBINACIONES!$B$5,1,0),"")</f>
        <v/>
      </c>
      <c r="Q167" t="str">
        <f>IF(N167=1,IF(P167=1,-M167,100)+O167+ROW()*0.000000000001,"")</f>
        <v/>
      </c>
    </row>
    <row r="168" spans="12:17" x14ac:dyDescent="0.3">
      <c r="L168">
        <v>7</v>
      </c>
      <c r="M168">
        <v>13</v>
      </c>
      <c r="N168">
        <f>IF(L168+M168-1&lt;=$J$2,1,0)</f>
        <v>0</v>
      </c>
      <c r="O168" t="str">
        <f>IF(N168=1,_xlfn.STDEV.S(INDEX($J$5:$J$34,L168):INDEX($J$5:$J$34,L168+M168-1))/AVERAGE(INDEX($J$5:$J$34,L168):INDEX($J$5:$J$34,L168+M168-1)),"")</f>
        <v/>
      </c>
      <c r="P168" t="str">
        <f>IF(N168=1,IF(O168&lt;=SIM_COMBINACIONES!$B$5,1,0),"")</f>
        <v/>
      </c>
      <c r="Q168" t="str">
        <f>IF(N168=1,IF(P168=1,-M168,100)+O168+ROW()*0.000000000001,"")</f>
        <v/>
      </c>
    </row>
    <row r="169" spans="12:17" x14ac:dyDescent="0.3">
      <c r="L169">
        <v>7</v>
      </c>
      <c r="M169">
        <v>14</v>
      </c>
      <c r="N169">
        <f>IF(L169+M169-1&lt;=$J$2,1,0)</f>
        <v>0</v>
      </c>
      <c r="O169" t="str">
        <f>IF(N169=1,_xlfn.STDEV.S(INDEX($J$5:$J$34,L169):INDEX($J$5:$J$34,L169+M169-1))/AVERAGE(INDEX($J$5:$J$34,L169):INDEX($J$5:$J$34,L169+M169-1)),"")</f>
        <v/>
      </c>
      <c r="P169" t="str">
        <f>IF(N169=1,IF(O169&lt;=SIM_COMBINACIONES!$B$5,1,0),"")</f>
        <v/>
      </c>
      <c r="Q169" t="str">
        <f>IF(N169=1,IF(P169=1,-M169,100)+O169+ROW()*0.000000000001,"")</f>
        <v/>
      </c>
    </row>
    <row r="170" spans="12:17" x14ac:dyDescent="0.3">
      <c r="L170">
        <v>7</v>
      </c>
      <c r="M170">
        <v>15</v>
      </c>
      <c r="N170">
        <f>IF(L170+M170-1&lt;=$J$2,1,0)</f>
        <v>0</v>
      </c>
      <c r="O170" t="str">
        <f>IF(N170=1,_xlfn.STDEV.S(INDEX($J$5:$J$34,L170):INDEX($J$5:$J$34,L170+M170-1))/AVERAGE(INDEX($J$5:$J$34,L170):INDEX($J$5:$J$34,L170+M170-1)),"")</f>
        <v/>
      </c>
      <c r="P170" t="str">
        <f>IF(N170=1,IF(O170&lt;=SIM_COMBINACIONES!$B$5,1,0),"")</f>
        <v/>
      </c>
      <c r="Q170" t="str">
        <f>IF(N170=1,IF(P170=1,-M170,100)+O170+ROW()*0.000000000001,"")</f>
        <v/>
      </c>
    </row>
    <row r="171" spans="12:17" x14ac:dyDescent="0.3">
      <c r="L171">
        <v>7</v>
      </c>
      <c r="M171">
        <v>16</v>
      </c>
      <c r="N171">
        <f>IF(L171+M171-1&lt;=$J$2,1,0)</f>
        <v>0</v>
      </c>
      <c r="O171" t="str">
        <f>IF(N171=1,_xlfn.STDEV.S(INDEX($J$5:$J$34,L171):INDEX($J$5:$J$34,L171+M171-1))/AVERAGE(INDEX($J$5:$J$34,L171):INDEX($J$5:$J$34,L171+M171-1)),"")</f>
        <v/>
      </c>
      <c r="P171" t="str">
        <f>IF(N171=1,IF(O171&lt;=SIM_COMBINACIONES!$B$5,1,0),"")</f>
        <v/>
      </c>
      <c r="Q171" t="str">
        <f>IF(N171=1,IF(P171=1,-M171,100)+O171+ROW()*0.000000000001,"")</f>
        <v/>
      </c>
    </row>
    <row r="172" spans="12:17" x14ac:dyDescent="0.3">
      <c r="L172">
        <v>7</v>
      </c>
      <c r="M172">
        <v>17</v>
      </c>
      <c r="N172">
        <f>IF(L172+M172-1&lt;=$J$2,1,0)</f>
        <v>0</v>
      </c>
      <c r="O172" t="str">
        <f>IF(N172=1,_xlfn.STDEV.S(INDEX($J$5:$J$34,L172):INDEX($J$5:$J$34,L172+M172-1))/AVERAGE(INDEX($J$5:$J$34,L172):INDEX($J$5:$J$34,L172+M172-1)),"")</f>
        <v/>
      </c>
      <c r="P172" t="str">
        <f>IF(N172=1,IF(O172&lt;=SIM_COMBINACIONES!$B$5,1,0),"")</f>
        <v/>
      </c>
      <c r="Q172" t="str">
        <f>IF(N172=1,IF(P172=1,-M172,100)+O172+ROW()*0.000000000001,"")</f>
        <v/>
      </c>
    </row>
    <row r="173" spans="12:17" x14ac:dyDescent="0.3">
      <c r="L173">
        <v>7</v>
      </c>
      <c r="M173">
        <v>18</v>
      </c>
      <c r="N173">
        <f>IF(L173+M173-1&lt;=$J$2,1,0)</f>
        <v>0</v>
      </c>
      <c r="O173" t="str">
        <f>IF(N173=1,_xlfn.STDEV.S(INDEX($J$5:$J$34,L173):INDEX($J$5:$J$34,L173+M173-1))/AVERAGE(INDEX($J$5:$J$34,L173):INDEX($J$5:$J$34,L173+M173-1)),"")</f>
        <v/>
      </c>
      <c r="P173" t="str">
        <f>IF(N173=1,IF(O173&lt;=SIM_COMBINACIONES!$B$5,1,0),"")</f>
        <v/>
      </c>
      <c r="Q173" t="str">
        <f>IF(N173=1,IF(P173=1,-M173,100)+O173+ROW()*0.000000000001,"")</f>
        <v/>
      </c>
    </row>
    <row r="174" spans="12:17" x14ac:dyDescent="0.3">
      <c r="L174">
        <v>7</v>
      </c>
      <c r="M174">
        <v>19</v>
      </c>
      <c r="N174">
        <f>IF(L174+M174-1&lt;=$J$2,1,0)</f>
        <v>0</v>
      </c>
      <c r="O174" t="str">
        <f>IF(N174=1,_xlfn.STDEV.S(INDEX($J$5:$J$34,L174):INDEX($J$5:$J$34,L174+M174-1))/AVERAGE(INDEX($J$5:$J$34,L174):INDEX($J$5:$J$34,L174+M174-1)),"")</f>
        <v/>
      </c>
      <c r="P174" t="str">
        <f>IF(N174=1,IF(O174&lt;=SIM_COMBINACIONES!$B$5,1,0),"")</f>
        <v/>
      </c>
      <c r="Q174" t="str">
        <f>IF(N174=1,IF(P174=1,-M174,100)+O174+ROW()*0.000000000001,"")</f>
        <v/>
      </c>
    </row>
    <row r="175" spans="12:17" x14ac:dyDescent="0.3">
      <c r="L175">
        <v>7</v>
      </c>
      <c r="M175">
        <v>20</v>
      </c>
      <c r="N175">
        <f>IF(L175+M175-1&lt;=$J$2,1,0)</f>
        <v>0</v>
      </c>
      <c r="O175" t="str">
        <f>IF(N175=1,_xlfn.STDEV.S(INDEX($J$5:$J$34,L175):INDEX($J$5:$J$34,L175+M175-1))/AVERAGE(INDEX($J$5:$J$34,L175):INDEX($J$5:$J$34,L175+M175-1)),"")</f>
        <v/>
      </c>
      <c r="P175" t="str">
        <f>IF(N175=1,IF(O175&lt;=SIM_COMBINACIONES!$B$5,1,0),"")</f>
        <v/>
      </c>
      <c r="Q175" t="str">
        <f>IF(N175=1,IF(P175=1,-M175,100)+O175+ROW()*0.000000000001,"")</f>
        <v/>
      </c>
    </row>
    <row r="176" spans="12:17" x14ac:dyDescent="0.3">
      <c r="L176">
        <v>7</v>
      </c>
      <c r="M176">
        <v>21</v>
      </c>
      <c r="N176">
        <f>IF(L176+M176-1&lt;=$J$2,1,0)</f>
        <v>0</v>
      </c>
      <c r="O176" t="str">
        <f>IF(N176=1,_xlfn.STDEV.S(INDEX($J$5:$J$34,L176):INDEX($J$5:$J$34,L176+M176-1))/AVERAGE(INDEX($J$5:$J$34,L176):INDEX($J$5:$J$34,L176+M176-1)),"")</f>
        <v/>
      </c>
      <c r="P176" t="str">
        <f>IF(N176=1,IF(O176&lt;=SIM_COMBINACIONES!$B$5,1,0),"")</f>
        <v/>
      </c>
      <c r="Q176" t="str">
        <f>IF(N176=1,IF(P176=1,-M176,100)+O176+ROW()*0.000000000001,"")</f>
        <v/>
      </c>
    </row>
    <row r="177" spans="12:17" x14ac:dyDescent="0.3">
      <c r="L177">
        <v>7</v>
      </c>
      <c r="M177">
        <v>22</v>
      </c>
      <c r="N177">
        <f>IF(L177+M177-1&lt;=$J$2,1,0)</f>
        <v>0</v>
      </c>
      <c r="O177" t="str">
        <f>IF(N177=1,_xlfn.STDEV.S(INDEX($J$5:$J$34,L177):INDEX($J$5:$J$34,L177+M177-1))/AVERAGE(INDEX($J$5:$J$34,L177):INDEX($J$5:$J$34,L177+M177-1)),"")</f>
        <v/>
      </c>
      <c r="P177" t="str">
        <f>IF(N177=1,IF(O177&lt;=SIM_COMBINACIONES!$B$5,1,0),"")</f>
        <v/>
      </c>
      <c r="Q177" t="str">
        <f>IF(N177=1,IF(P177=1,-M177,100)+O177+ROW()*0.000000000001,"")</f>
        <v/>
      </c>
    </row>
    <row r="178" spans="12:17" x14ac:dyDescent="0.3">
      <c r="L178">
        <v>7</v>
      </c>
      <c r="M178">
        <v>23</v>
      </c>
      <c r="N178">
        <f>IF(L178+M178-1&lt;=$J$2,1,0)</f>
        <v>0</v>
      </c>
      <c r="O178" t="str">
        <f>IF(N178=1,_xlfn.STDEV.S(INDEX($J$5:$J$34,L178):INDEX($J$5:$J$34,L178+M178-1))/AVERAGE(INDEX($J$5:$J$34,L178):INDEX($J$5:$J$34,L178+M178-1)),"")</f>
        <v/>
      </c>
      <c r="P178" t="str">
        <f>IF(N178=1,IF(O178&lt;=SIM_COMBINACIONES!$B$5,1,0),"")</f>
        <v/>
      </c>
      <c r="Q178" t="str">
        <f>IF(N178=1,IF(P178=1,-M178,100)+O178+ROW()*0.000000000001,"")</f>
        <v/>
      </c>
    </row>
    <row r="179" spans="12:17" x14ac:dyDescent="0.3">
      <c r="L179">
        <v>7</v>
      </c>
      <c r="M179">
        <v>24</v>
      </c>
      <c r="N179">
        <f>IF(L179+M179-1&lt;=$J$2,1,0)</f>
        <v>0</v>
      </c>
      <c r="O179" t="str">
        <f>IF(N179=1,_xlfn.STDEV.S(INDEX($J$5:$J$34,L179):INDEX($J$5:$J$34,L179+M179-1))/AVERAGE(INDEX($J$5:$J$34,L179):INDEX($J$5:$J$34,L179+M179-1)),"")</f>
        <v/>
      </c>
      <c r="P179" t="str">
        <f>IF(N179=1,IF(O179&lt;=SIM_COMBINACIONES!$B$5,1,0),"")</f>
        <v/>
      </c>
      <c r="Q179" t="str">
        <f>IF(N179=1,IF(P179=1,-M179,100)+O179+ROW()*0.000000000001,"")</f>
        <v/>
      </c>
    </row>
    <row r="180" spans="12:17" x14ac:dyDescent="0.3">
      <c r="L180">
        <v>8</v>
      </c>
      <c r="M180">
        <v>3</v>
      </c>
      <c r="N180">
        <f>IF(L180+M180-1&lt;=$J$2,1,0)</f>
        <v>0</v>
      </c>
      <c r="O180" t="str">
        <f>IF(N180=1,_xlfn.STDEV.S(INDEX($J$5:$J$34,L180):INDEX($J$5:$J$34,L180+M180-1))/AVERAGE(INDEX($J$5:$J$34,L180):INDEX($J$5:$J$34,L180+M180-1)),"")</f>
        <v/>
      </c>
      <c r="P180" t="str">
        <f>IF(N180=1,IF(O180&lt;=SIM_COMBINACIONES!$B$5,1,0),"")</f>
        <v/>
      </c>
      <c r="Q180" t="str">
        <f>IF(N180=1,IF(P180=1,-M180,100)+O180+ROW()*0.000000000001,"")</f>
        <v/>
      </c>
    </row>
    <row r="181" spans="12:17" x14ac:dyDescent="0.3">
      <c r="L181">
        <v>8</v>
      </c>
      <c r="M181">
        <v>4</v>
      </c>
      <c r="N181">
        <f>IF(L181+M181-1&lt;=$J$2,1,0)</f>
        <v>0</v>
      </c>
      <c r="O181" t="str">
        <f>IF(N181=1,_xlfn.STDEV.S(INDEX($J$5:$J$34,L181):INDEX($J$5:$J$34,L181+M181-1))/AVERAGE(INDEX($J$5:$J$34,L181):INDEX($J$5:$J$34,L181+M181-1)),"")</f>
        <v/>
      </c>
      <c r="P181" t="str">
        <f>IF(N181=1,IF(O181&lt;=SIM_COMBINACIONES!$B$5,1,0),"")</f>
        <v/>
      </c>
      <c r="Q181" t="str">
        <f>IF(N181=1,IF(P181=1,-M181,100)+O181+ROW()*0.000000000001,"")</f>
        <v/>
      </c>
    </row>
    <row r="182" spans="12:17" x14ac:dyDescent="0.3">
      <c r="L182">
        <v>8</v>
      </c>
      <c r="M182">
        <v>5</v>
      </c>
      <c r="N182">
        <f>IF(L182+M182-1&lt;=$J$2,1,0)</f>
        <v>0</v>
      </c>
      <c r="O182" t="str">
        <f>IF(N182=1,_xlfn.STDEV.S(INDEX($J$5:$J$34,L182):INDEX($J$5:$J$34,L182+M182-1))/AVERAGE(INDEX($J$5:$J$34,L182):INDEX($J$5:$J$34,L182+M182-1)),"")</f>
        <v/>
      </c>
      <c r="P182" t="str">
        <f>IF(N182=1,IF(O182&lt;=SIM_COMBINACIONES!$B$5,1,0),"")</f>
        <v/>
      </c>
      <c r="Q182" t="str">
        <f>IF(N182=1,IF(P182=1,-M182,100)+O182+ROW()*0.000000000001,"")</f>
        <v/>
      </c>
    </row>
    <row r="183" spans="12:17" x14ac:dyDescent="0.3">
      <c r="L183">
        <v>8</v>
      </c>
      <c r="M183">
        <v>6</v>
      </c>
      <c r="N183">
        <f>IF(L183+M183-1&lt;=$J$2,1,0)</f>
        <v>0</v>
      </c>
      <c r="O183" t="str">
        <f>IF(N183=1,_xlfn.STDEV.S(INDEX($J$5:$J$34,L183):INDEX($J$5:$J$34,L183+M183-1))/AVERAGE(INDEX($J$5:$J$34,L183):INDEX($J$5:$J$34,L183+M183-1)),"")</f>
        <v/>
      </c>
      <c r="P183" t="str">
        <f>IF(N183=1,IF(O183&lt;=SIM_COMBINACIONES!$B$5,1,0),"")</f>
        <v/>
      </c>
      <c r="Q183" t="str">
        <f>IF(N183=1,IF(P183=1,-M183,100)+O183+ROW()*0.000000000001,"")</f>
        <v/>
      </c>
    </row>
    <row r="184" spans="12:17" x14ac:dyDescent="0.3">
      <c r="L184">
        <v>8</v>
      </c>
      <c r="M184">
        <v>7</v>
      </c>
      <c r="N184">
        <f>IF(L184+M184-1&lt;=$J$2,1,0)</f>
        <v>0</v>
      </c>
      <c r="O184" t="str">
        <f>IF(N184=1,_xlfn.STDEV.S(INDEX($J$5:$J$34,L184):INDEX($J$5:$J$34,L184+M184-1))/AVERAGE(INDEX($J$5:$J$34,L184):INDEX($J$5:$J$34,L184+M184-1)),"")</f>
        <v/>
      </c>
      <c r="P184" t="str">
        <f>IF(N184=1,IF(O184&lt;=SIM_COMBINACIONES!$B$5,1,0),"")</f>
        <v/>
      </c>
      <c r="Q184" t="str">
        <f>IF(N184=1,IF(P184=1,-M184,100)+O184+ROW()*0.000000000001,"")</f>
        <v/>
      </c>
    </row>
    <row r="185" spans="12:17" x14ac:dyDescent="0.3">
      <c r="L185">
        <v>8</v>
      </c>
      <c r="M185">
        <v>8</v>
      </c>
      <c r="N185">
        <f>IF(L185+M185-1&lt;=$J$2,1,0)</f>
        <v>0</v>
      </c>
      <c r="O185" t="str">
        <f>IF(N185=1,_xlfn.STDEV.S(INDEX($J$5:$J$34,L185):INDEX($J$5:$J$34,L185+M185-1))/AVERAGE(INDEX($J$5:$J$34,L185):INDEX($J$5:$J$34,L185+M185-1)),"")</f>
        <v/>
      </c>
      <c r="P185" t="str">
        <f>IF(N185=1,IF(O185&lt;=SIM_COMBINACIONES!$B$5,1,0),"")</f>
        <v/>
      </c>
      <c r="Q185" t="str">
        <f>IF(N185=1,IF(P185=1,-M185,100)+O185+ROW()*0.000000000001,"")</f>
        <v/>
      </c>
    </row>
    <row r="186" spans="12:17" x14ac:dyDescent="0.3">
      <c r="L186">
        <v>8</v>
      </c>
      <c r="M186">
        <v>9</v>
      </c>
      <c r="N186">
        <f>IF(L186+M186-1&lt;=$J$2,1,0)</f>
        <v>0</v>
      </c>
      <c r="O186" t="str">
        <f>IF(N186=1,_xlfn.STDEV.S(INDEX($J$5:$J$34,L186):INDEX($J$5:$J$34,L186+M186-1))/AVERAGE(INDEX($J$5:$J$34,L186):INDEX($J$5:$J$34,L186+M186-1)),"")</f>
        <v/>
      </c>
      <c r="P186" t="str">
        <f>IF(N186=1,IF(O186&lt;=SIM_COMBINACIONES!$B$5,1,0),"")</f>
        <v/>
      </c>
      <c r="Q186" t="str">
        <f>IF(N186=1,IF(P186=1,-M186,100)+O186+ROW()*0.000000000001,"")</f>
        <v/>
      </c>
    </row>
    <row r="187" spans="12:17" x14ac:dyDescent="0.3">
      <c r="L187">
        <v>8</v>
      </c>
      <c r="M187">
        <v>10</v>
      </c>
      <c r="N187">
        <f>IF(L187+M187-1&lt;=$J$2,1,0)</f>
        <v>0</v>
      </c>
      <c r="O187" t="str">
        <f>IF(N187=1,_xlfn.STDEV.S(INDEX($J$5:$J$34,L187):INDEX($J$5:$J$34,L187+M187-1))/AVERAGE(INDEX($J$5:$J$34,L187):INDEX($J$5:$J$34,L187+M187-1)),"")</f>
        <v/>
      </c>
      <c r="P187" t="str">
        <f>IF(N187=1,IF(O187&lt;=SIM_COMBINACIONES!$B$5,1,0),"")</f>
        <v/>
      </c>
      <c r="Q187" t="str">
        <f>IF(N187=1,IF(P187=1,-M187,100)+O187+ROW()*0.000000000001,"")</f>
        <v/>
      </c>
    </row>
    <row r="188" spans="12:17" x14ac:dyDescent="0.3">
      <c r="L188">
        <v>8</v>
      </c>
      <c r="M188">
        <v>11</v>
      </c>
      <c r="N188">
        <f>IF(L188+M188-1&lt;=$J$2,1,0)</f>
        <v>0</v>
      </c>
      <c r="O188" t="str">
        <f>IF(N188=1,_xlfn.STDEV.S(INDEX($J$5:$J$34,L188):INDEX($J$5:$J$34,L188+M188-1))/AVERAGE(INDEX($J$5:$J$34,L188):INDEX($J$5:$J$34,L188+M188-1)),"")</f>
        <v/>
      </c>
      <c r="P188" t="str">
        <f>IF(N188=1,IF(O188&lt;=SIM_COMBINACIONES!$B$5,1,0),"")</f>
        <v/>
      </c>
      <c r="Q188" t="str">
        <f>IF(N188=1,IF(P188=1,-M188,100)+O188+ROW()*0.000000000001,"")</f>
        <v/>
      </c>
    </row>
    <row r="189" spans="12:17" x14ac:dyDescent="0.3">
      <c r="L189">
        <v>8</v>
      </c>
      <c r="M189">
        <v>12</v>
      </c>
      <c r="N189">
        <f>IF(L189+M189-1&lt;=$J$2,1,0)</f>
        <v>0</v>
      </c>
      <c r="O189" t="str">
        <f>IF(N189=1,_xlfn.STDEV.S(INDEX($J$5:$J$34,L189):INDEX($J$5:$J$34,L189+M189-1))/AVERAGE(INDEX($J$5:$J$34,L189):INDEX($J$5:$J$34,L189+M189-1)),"")</f>
        <v/>
      </c>
      <c r="P189" t="str">
        <f>IF(N189=1,IF(O189&lt;=SIM_COMBINACIONES!$B$5,1,0),"")</f>
        <v/>
      </c>
      <c r="Q189" t="str">
        <f>IF(N189=1,IF(P189=1,-M189,100)+O189+ROW()*0.000000000001,"")</f>
        <v/>
      </c>
    </row>
    <row r="190" spans="12:17" x14ac:dyDescent="0.3">
      <c r="L190">
        <v>8</v>
      </c>
      <c r="M190">
        <v>13</v>
      </c>
      <c r="N190">
        <f>IF(L190+M190-1&lt;=$J$2,1,0)</f>
        <v>0</v>
      </c>
      <c r="O190" t="str">
        <f>IF(N190=1,_xlfn.STDEV.S(INDEX($J$5:$J$34,L190):INDEX($J$5:$J$34,L190+M190-1))/AVERAGE(INDEX($J$5:$J$34,L190):INDEX($J$5:$J$34,L190+M190-1)),"")</f>
        <v/>
      </c>
      <c r="P190" t="str">
        <f>IF(N190=1,IF(O190&lt;=SIM_COMBINACIONES!$B$5,1,0),"")</f>
        <v/>
      </c>
      <c r="Q190" t="str">
        <f>IF(N190=1,IF(P190=1,-M190,100)+O190+ROW()*0.000000000001,"")</f>
        <v/>
      </c>
    </row>
    <row r="191" spans="12:17" x14ac:dyDescent="0.3">
      <c r="L191">
        <v>8</v>
      </c>
      <c r="M191">
        <v>14</v>
      </c>
      <c r="N191">
        <f>IF(L191+M191-1&lt;=$J$2,1,0)</f>
        <v>0</v>
      </c>
      <c r="O191" t="str">
        <f>IF(N191=1,_xlfn.STDEV.S(INDEX($J$5:$J$34,L191):INDEX($J$5:$J$34,L191+M191-1))/AVERAGE(INDEX($J$5:$J$34,L191):INDEX($J$5:$J$34,L191+M191-1)),"")</f>
        <v/>
      </c>
      <c r="P191" t="str">
        <f>IF(N191=1,IF(O191&lt;=SIM_COMBINACIONES!$B$5,1,0),"")</f>
        <v/>
      </c>
      <c r="Q191" t="str">
        <f>IF(N191=1,IF(P191=1,-M191,100)+O191+ROW()*0.000000000001,"")</f>
        <v/>
      </c>
    </row>
    <row r="192" spans="12:17" x14ac:dyDescent="0.3">
      <c r="L192">
        <v>8</v>
      </c>
      <c r="M192">
        <v>15</v>
      </c>
      <c r="N192">
        <f>IF(L192+M192-1&lt;=$J$2,1,0)</f>
        <v>0</v>
      </c>
      <c r="O192" t="str">
        <f>IF(N192=1,_xlfn.STDEV.S(INDEX($J$5:$J$34,L192):INDEX($J$5:$J$34,L192+M192-1))/AVERAGE(INDEX($J$5:$J$34,L192):INDEX($J$5:$J$34,L192+M192-1)),"")</f>
        <v/>
      </c>
      <c r="P192" t="str">
        <f>IF(N192=1,IF(O192&lt;=SIM_COMBINACIONES!$B$5,1,0),"")</f>
        <v/>
      </c>
      <c r="Q192" t="str">
        <f>IF(N192=1,IF(P192=1,-M192,100)+O192+ROW()*0.000000000001,"")</f>
        <v/>
      </c>
    </row>
    <row r="193" spans="12:17" x14ac:dyDescent="0.3">
      <c r="L193">
        <v>8</v>
      </c>
      <c r="M193">
        <v>16</v>
      </c>
      <c r="N193">
        <f>IF(L193+M193-1&lt;=$J$2,1,0)</f>
        <v>0</v>
      </c>
      <c r="O193" t="str">
        <f>IF(N193=1,_xlfn.STDEV.S(INDEX($J$5:$J$34,L193):INDEX($J$5:$J$34,L193+M193-1))/AVERAGE(INDEX($J$5:$J$34,L193):INDEX($J$5:$J$34,L193+M193-1)),"")</f>
        <v/>
      </c>
      <c r="P193" t="str">
        <f>IF(N193=1,IF(O193&lt;=SIM_COMBINACIONES!$B$5,1,0),"")</f>
        <v/>
      </c>
      <c r="Q193" t="str">
        <f>IF(N193=1,IF(P193=1,-M193,100)+O193+ROW()*0.000000000001,"")</f>
        <v/>
      </c>
    </row>
    <row r="194" spans="12:17" x14ac:dyDescent="0.3">
      <c r="L194">
        <v>8</v>
      </c>
      <c r="M194">
        <v>17</v>
      </c>
      <c r="N194">
        <f>IF(L194+M194-1&lt;=$J$2,1,0)</f>
        <v>0</v>
      </c>
      <c r="O194" t="str">
        <f>IF(N194=1,_xlfn.STDEV.S(INDEX($J$5:$J$34,L194):INDEX($J$5:$J$34,L194+M194-1))/AVERAGE(INDEX($J$5:$J$34,L194):INDEX($J$5:$J$34,L194+M194-1)),"")</f>
        <v/>
      </c>
      <c r="P194" t="str">
        <f>IF(N194=1,IF(O194&lt;=SIM_COMBINACIONES!$B$5,1,0),"")</f>
        <v/>
      </c>
      <c r="Q194" t="str">
        <f>IF(N194=1,IF(P194=1,-M194,100)+O194+ROW()*0.000000000001,"")</f>
        <v/>
      </c>
    </row>
    <row r="195" spans="12:17" x14ac:dyDescent="0.3">
      <c r="L195">
        <v>8</v>
      </c>
      <c r="M195">
        <v>18</v>
      </c>
      <c r="N195">
        <f>IF(L195+M195-1&lt;=$J$2,1,0)</f>
        <v>0</v>
      </c>
      <c r="O195" t="str">
        <f>IF(N195=1,_xlfn.STDEV.S(INDEX($J$5:$J$34,L195):INDEX($J$5:$J$34,L195+M195-1))/AVERAGE(INDEX($J$5:$J$34,L195):INDEX($J$5:$J$34,L195+M195-1)),"")</f>
        <v/>
      </c>
      <c r="P195" t="str">
        <f>IF(N195=1,IF(O195&lt;=SIM_COMBINACIONES!$B$5,1,0),"")</f>
        <v/>
      </c>
      <c r="Q195" t="str">
        <f>IF(N195=1,IF(P195=1,-M195,100)+O195+ROW()*0.000000000001,"")</f>
        <v/>
      </c>
    </row>
    <row r="196" spans="12:17" x14ac:dyDescent="0.3">
      <c r="L196">
        <v>8</v>
      </c>
      <c r="M196">
        <v>19</v>
      </c>
      <c r="N196">
        <f>IF(L196+M196-1&lt;=$J$2,1,0)</f>
        <v>0</v>
      </c>
      <c r="O196" t="str">
        <f>IF(N196=1,_xlfn.STDEV.S(INDEX($J$5:$J$34,L196):INDEX($J$5:$J$34,L196+M196-1))/AVERAGE(INDEX($J$5:$J$34,L196):INDEX($J$5:$J$34,L196+M196-1)),"")</f>
        <v/>
      </c>
      <c r="P196" t="str">
        <f>IF(N196=1,IF(O196&lt;=SIM_COMBINACIONES!$B$5,1,0),"")</f>
        <v/>
      </c>
      <c r="Q196" t="str">
        <f>IF(N196=1,IF(P196=1,-M196,100)+O196+ROW()*0.000000000001,"")</f>
        <v/>
      </c>
    </row>
    <row r="197" spans="12:17" x14ac:dyDescent="0.3">
      <c r="L197">
        <v>8</v>
      </c>
      <c r="M197">
        <v>20</v>
      </c>
      <c r="N197">
        <f>IF(L197+M197-1&lt;=$J$2,1,0)</f>
        <v>0</v>
      </c>
      <c r="O197" t="str">
        <f>IF(N197=1,_xlfn.STDEV.S(INDEX($J$5:$J$34,L197):INDEX($J$5:$J$34,L197+M197-1))/AVERAGE(INDEX($J$5:$J$34,L197):INDEX($J$5:$J$34,L197+M197-1)),"")</f>
        <v/>
      </c>
      <c r="P197" t="str">
        <f>IF(N197=1,IF(O197&lt;=SIM_COMBINACIONES!$B$5,1,0),"")</f>
        <v/>
      </c>
      <c r="Q197" t="str">
        <f>IF(N197=1,IF(P197=1,-M197,100)+O197+ROW()*0.000000000001,"")</f>
        <v/>
      </c>
    </row>
    <row r="198" spans="12:17" x14ac:dyDescent="0.3">
      <c r="L198">
        <v>8</v>
      </c>
      <c r="M198">
        <v>21</v>
      </c>
      <c r="N198">
        <f>IF(L198+M198-1&lt;=$J$2,1,0)</f>
        <v>0</v>
      </c>
      <c r="O198" t="str">
        <f>IF(N198=1,_xlfn.STDEV.S(INDEX($J$5:$J$34,L198):INDEX($J$5:$J$34,L198+M198-1))/AVERAGE(INDEX($J$5:$J$34,L198):INDEX($J$5:$J$34,L198+M198-1)),"")</f>
        <v/>
      </c>
      <c r="P198" t="str">
        <f>IF(N198=1,IF(O198&lt;=SIM_COMBINACIONES!$B$5,1,0),"")</f>
        <v/>
      </c>
      <c r="Q198" t="str">
        <f>IF(N198=1,IF(P198=1,-M198,100)+O198+ROW()*0.000000000001,"")</f>
        <v/>
      </c>
    </row>
    <row r="199" spans="12:17" x14ac:dyDescent="0.3">
      <c r="L199">
        <v>8</v>
      </c>
      <c r="M199">
        <v>22</v>
      </c>
      <c r="N199">
        <f>IF(L199+M199-1&lt;=$J$2,1,0)</f>
        <v>0</v>
      </c>
      <c r="O199" t="str">
        <f>IF(N199=1,_xlfn.STDEV.S(INDEX($J$5:$J$34,L199):INDEX($J$5:$J$34,L199+M199-1))/AVERAGE(INDEX($J$5:$J$34,L199):INDEX($J$5:$J$34,L199+M199-1)),"")</f>
        <v/>
      </c>
      <c r="P199" t="str">
        <f>IF(N199=1,IF(O199&lt;=SIM_COMBINACIONES!$B$5,1,0),"")</f>
        <v/>
      </c>
      <c r="Q199" t="str">
        <f>IF(N199=1,IF(P199=1,-M199,100)+O199+ROW()*0.000000000001,"")</f>
        <v/>
      </c>
    </row>
    <row r="200" spans="12:17" x14ac:dyDescent="0.3">
      <c r="L200">
        <v>8</v>
      </c>
      <c r="M200">
        <v>23</v>
      </c>
      <c r="N200">
        <f>IF(L200+M200-1&lt;=$J$2,1,0)</f>
        <v>0</v>
      </c>
      <c r="O200" t="str">
        <f>IF(N200=1,_xlfn.STDEV.S(INDEX($J$5:$J$34,L200):INDEX($J$5:$J$34,L200+M200-1))/AVERAGE(INDEX($J$5:$J$34,L200):INDEX($J$5:$J$34,L200+M200-1)),"")</f>
        <v/>
      </c>
      <c r="P200" t="str">
        <f>IF(N200=1,IF(O200&lt;=SIM_COMBINACIONES!$B$5,1,0),"")</f>
        <v/>
      </c>
      <c r="Q200" t="str">
        <f>IF(N200=1,IF(P200=1,-M200,100)+O200+ROW()*0.000000000001,"")</f>
        <v/>
      </c>
    </row>
    <row r="201" spans="12:17" x14ac:dyDescent="0.3">
      <c r="L201">
        <v>9</v>
      </c>
      <c r="M201">
        <v>3</v>
      </c>
      <c r="N201">
        <f>IF(L201+M201-1&lt;=$J$2,1,0)</f>
        <v>0</v>
      </c>
      <c r="O201" t="str">
        <f>IF(N201=1,_xlfn.STDEV.S(INDEX($J$5:$J$34,L201):INDEX($J$5:$J$34,L201+M201-1))/AVERAGE(INDEX($J$5:$J$34,L201):INDEX($J$5:$J$34,L201+M201-1)),"")</f>
        <v/>
      </c>
      <c r="P201" t="str">
        <f>IF(N201=1,IF(O201&lt;=SIM_COMBINACIONES!$B$5,1,0),"")</f>
        <v/>
      </c>
      <c r="Q201" t="str">
        <f>IF(N201=1,IF(P201=1,-M201,100)+O201+ROW()*0.000000000001,"")</f>
        <v/>
      </c>
    </row>
    <row r="202" spans="12:17" x14ac:dyDescent="0.3">
      <c r="L202">
        <v>9</v>
      </c>
      <c r="M202">
        <v>4</v>
      </c>
      <c r="N202">
        <f>IF(L202+M202-1&lt;=$J$2,1,0)</f>
        <v>0</v>
      </c>
      <c r="O202" t="str">
        <f>IF(N202=1,_xlfn.STDEV.S(INDEX($J$5:$J$34,L202):INDEX($J$5:$J$34,L202+M202-1))/AVERAGE(INDEX($J$5:$J$34,L202):INDEX($J$5:$J$34,L202+M202-1)),"")</f>
        <v/>
      </c>
      <c r="P202" t="str">
        <f>IF(N202=1,IF(O202&lt;=SIM_COMBINACIONES!$B$5,1,0),"")</f>
        <v/>
      </c>
      <c r="Q202" t="str">
        <f>IF(N202=1,IF(P202=1,-M202,100)+O202+ROW()*0.000000000001,"")</f>
        <v/>
      </c>
    </row>
    <row r="203" spans="12:17" x14ac:dyDescent="0.3">
      <c r="L203">
        <v>9</v>
      </c>
      <c r="M203">
        <v>5</v>
      </c>
      <c r="N203">
        <f>IF(L203+M203-1&lt;=$J$2,1,0)</f>
        <v>0</v>
      </c>
      <c r="O203" t="str">
        <f>IF(N203=1,_xlfn.STDEV.S(INDEX($J$5:$J$34,L203):INDEX($J$5:$J$34,L203+M203-1))/AVERAGE(INDEX($J$5:$J$34,L203):INDEX($J$5:$J$34,L203+M203-1)),"")</f>
        <v/>
      </c>
      <c r="P203" t="str">
        <f>IF(N203=1,IF(O203&lt;=SIM_COMBINACIONES!$B$5,1,0),"")</f>
        <v/>
      </c>
      <c r="Q203" t="str">
        <f>IF(N203=1,IF(P203=1,-M203,100)+O203+ROW()*0.000000000001,"")</f>
        <v/>
      </c>
    </row>
    <row r="204" spans="12:17" x14ac:dyDescent="0.3">
      <c r="L204">
        <v>9</v>
      </c>
      <c r="M204">
        <v>6</v>
      </c>
      <c r="N204">
        <f>IF(L204+M204-1&lt;=$J$2,1,0)</f>
        <v>0</v>
      </c>
      <c r="O204" t="str">
        <f>IF(N204=1,_xlfn.STDEV.S(INDEX($J$5:$J$34,L204):INDEX($J$5:$J$34,L204+M204-1))/AVERAGE(INDEX($J$5:$J$34,L204):INDEX($J$5:$J$34,L204+M204-1)),"")</f>
        <v/>
      </c>
      <c r="P204" t="str">
        <f>IF(N204=1,IF(O204&lt;=SIM_COMBINACIONES!$B$5,1,0),"")</f>
        <v/>
      </c>
      <c r="Q204" t="str">
        <f>IF(N204=1,IF(P204=1,-M204,100)+O204+ROW()*0.000000000001,"")</f>
        <v/>
      </c>
    </row>
    <row r="205" spans="12:17" x14ac:dyDescent="0.3">
      <c r="L205">
        <v>9</v>
      </c>
      <c r="M205">
        <v>7</v>
      </c>
      <c r="N205">
        <f>IF(L205+M205-1&lt;=$J$2,1,0)</f>
        <v>0</v>
      </c>
      <c r="O205" t="str">
        <f>IF(N205=1,_xlfn.STDEV.S(INDEX($J$5:$J$34,L205):INDEX($J$5:$J$34,L205+M205-1))/AVERAGE(INDEX($J$5:$J$34,L205):INDEX($J$5:$J$34,L205+M205-1)),"")</f>
        <v/>
      </c>
      <c r="P205" t="str">
        <f>IF(N205=1,IF(O205&lt;=SIM_COMBINACIONES!$B$5,1,0),"")</f>
        <v/>
      </c>
      <c r="Q205" t="str">
        <f>IF(N205=1,IF(P205=1,-M205,100)+O205+ROW()*0.000000000001,"")</f>
        <v/>
      </c>
    </row>
    <row r="206" spans="12:17" x14ac:dyDescent="0.3">
      <c r="L206">
        <v>9</v>
      </c>
      <c r="M206">
        <v>8</v>
      </c>
      <c r="N206">
        <f>IF(L206+M206-1&lt;=$J$2,1,0)</f>
        <v>0</v>
      </c>
      <c r="O206" t="str">
        <f>IF(N206=1,_xlfn.STDEV.S(INDEX($J$5:$J$34,L206):INDEX($J$5:$J$34,L206+M206-1))/AVERAGE(INDEX($J$5:$J$34,L206):INDEX($J$5:$J$34,L206+M206-1)),"")</f>
        <v/>
      </c>
      <c r="P206" t="str">
        <f>IF(N206=1,IF(O206&lt;=SIM_COMBINACIONES!$B$5,1,0),"")</f>
        <v/>
      </c>
      <c r="Q206" t="str">
        <f>IF(N206=1,IF(P206=1,-M206,100)+O206+ROW()*0.000000000001,"")</f>
        <v/>
      </c>
    </row>
    <row r="207" spans="12:17" x14ac:dyDescent="0.3">
      <c r="L207">
        <v>9</v>
      </c>
      <c r="M207">
        <v>9</v>
      </c>
      <c r="N207">
        <f>IF(L207+M207-1&lt;=$J$2,1,0)</f>
        <v>0</v>
      </c>
      <c r="O207" t="str">
        <f>IF(N207=1,_xlfn.STDEV.S(INDEX($J$5:$J$34,L207):INDEX($J$5:$J$34,L207+M207-1))/AVERAGE(INDEX($J$5:$J$34,L207):INDEX($J$5:$J$34,L207+M207-1)),"")</f>
        <v/>
      </c>
      <c r="P207" t="str">
        <f>IF(N207=1,IF(O207&lt;=SIM_COMBINACIONES!$B$5,1,0),"")</f>
        <v/>
      </c>
      <c r="Q207" t="str">
        <f>IF(N207=1,IF(P207=1,-M207,100)+O207+ROW()*0.000000000001,"")</f>
        <v/>
      </c>
    </row>
    <row r="208" spans="12:17" x14ac:dyDescent="0.3">
      <c r="L208">
        <v>9</v>
      </c>
      <c r="M208">
        <v>10</v>
      </c>
      <c r="N208">
        <f>IF(L208+M208-1&lt;=$J$2,1,0)</f>
        <v>0</v>
      </c>
      <c r="O208" t="str">
        <f>IF(N208=1,_xlfn.STDEV.S(INDEX($J$5:$J$34,L208):INDEX($J$5:$J$34,L208+M208-1))/AVERAGE(INDEX($J$5:$J$34,L208):INDEX($J$5:$J$34,L208+M208-1)),"")</f>
        <v/>
      </c>
      <c r="P208" t="str">
        <f>IF(N208=1,IF(O208&lt;=SIM_COMBINACIONES!$B$5,1,0),"")</f>
        <v/>
      </c>
      <c r="Q208" t="str">
        <f>IF(N208=1,IF(P208=1,-M208,100)+O208+ROW()*0.000000000001,"")</f>
        <v/>
      </c>
    </row>
    <row r="209" spans="12:17" x14ac:dyDescent="0.3">
      <c r="L209">
        <v>9</v>
      </c>
      <c r="M209">
        <v>11</v>
      </c>
      <c r="N209">
        <f>IF(L209+M209-1&lt;=$J$2,1,0)</f>
        <v>0</v>
      </c>
      <c r="O209" t="str">
        <f>IF(N209=1,_xlfn.STDEV.S(INDEX($J$5:$J$34,L209):INDEX($J$5:$J$34,L209+M209-1))/AVERAGE(INDEX($J$5:$J$34,L209):INDEX($J$5:$J$34,L209+M209-1)),"")</f>
        <v/>
      </c>
      <c r="P209" t="str">
        <f>IF(N209=1,IF(O209&lt;=SIM_COMBINACIONES!$B$5,1,0),"")</f>
        <v/>
      </c>
      <c r="Q209" t="str">
        <f>IF(N209=1,IF(P209=1,-M209,100)+O209+ROW()*0.000000000001,"")</f>
        <v/>
      </c>
    </row>
    <row r="210" spans="12:17" x14ac:dyDescent="0.3">
      <c r="L210">
        <v>9</v>
      </c>
      <c r="M210">
        <v>12</v>
      </c>
      <c r="N210">
        <f>IF(L210+M210-1&lt;=$J$2,1,0)</f>
        <v>0</v>
      </c>
      <c r="O210" t="str">
        <f>IF(N210=1,_xlfn.STDEV.S(INDEX($J$5:$J$34,L210):INDEX($J$5:$J$34,L210+M210-1))/AVERAGE(INDEX($J$5:$J$34,L210):INDEX($J$5:$J$34,L210+M210-1)),"")</f>
        <v/>
      </c>
      <c r="P210" t="str">
        <f>IF(N210=1,IF(O210&lt;=SIM_COMBINACIONES!$B$5,1,0),"")</f>
        <v/>
      </c>
      <c r="Q210" t="str">
        <f>IF(N210=1,IF(P210=1,-M210,100)+O210+ROW()*0.000000000001,"")</f>
        <v/>
      </c>
    </row>
    <row r="211" spans="12:17" x14ac:dyDescent="0.3">
      <c r="L211">
        <v>9</v>
      </c>
      <c r="M211">
        <v>13</v>
      </c>
      <c r="N211">
        <f>IF(L211+M211-1&lt;=$J$2,1,0)</f>
        <v>0</v>
      </c>
      <c r="O211" t="str">
        <f>IF(N211=1,_xlfn.STDEV.S(INDEX($J$5:$J$34,L211):INDEX($J$5:$J$34,L211+M211-1))/AVERAGE(INDEX($J$5:$J$34,L211):INDEX($J$5:$J$34,L211+M211-1)),"")</f>
        <v/>
      </c>
      <c r="P211" t="str">
        <f>IF(N211=1,IF(O211&lt;=SIM_COMBINACIONES!$B$5,1,0),"")</f>
        <v/>
      </c>
      <c r="Q211" t="str">
        <f>IF(N211=1,IF(P211=1,-M211,100)+O211+ROW()*0.000000000001,"")</f>
        <v/>
      </c>
    </row>
    <row r="212" spans="12:17" x14ac:dyDescent="0.3">
      <c r="L212">
        <v>9</v>
      </c>
      <c r="M212">
        <v>14</v>
      </c>
      <c r="N212">
        <f>IF(L212+M212-1&lt;=$J$2,1,0)</f>
        <v>0</v>
      </c>
      <c r="O212" t="str">
        <f>IF(N212=1,_xlfn.STDEV.S(INDEX($J$5:$J$34,L212):INDEX($J$5:$J$34,L212+M212-1))/AVERAGE(INDEX($J$5:$J$34,L212):INDEX($J$5:$J$34,L212+M212-1)),"")</f>
        <v/>
      </c>
      <c r="P212" t="str">
        <f>IF(N212=1,IF(O212&lt;=SIM_COMBINACIONES!$B$5,1,0),"")</f>
        <v/>
      </c>
      <c r="Q212" t="str">
        <f>IF(N212=1,IF(P212=1,-M212,100)+O212+ROW()*0.000000000001,"")</f>
        <v/>
      </c>
    </row>
    <row r="213" spans="12:17" x14ac:dyDescent="0.3">
      <c r="L213">
        <v>9</v>
      </c>
      <c r="M213">
        <v>15</v>
      </c>
      <c r="N213">
        <f>IF(L213+M213-1&lt;=$J$2,1,0)</f>
        <v>0</v>
      </c>
      <c r="O213" t="str">
        <f>IF(N213=1,_xlfn.STDEV.S(INDEX($J$5:$J$34,L213):INDEX($J$5:$J$34,L213+M213-1))/AVERAGE(INDEX($J$5:$J$34,L213):INDEX($J$5:$J$34,L213+M213-1)),"")</f>
        <v/>
      </c>
      <c r="P213" t="str">
        <f>IF(N213=1,IF(O213&lt;=SIM_COMBINACIONES!$B$5,1,0),"")</f>
        <v/>
      </c>
      <c r="Q213" t="str">
        <f>IF(N213=1,IF(P213=1,-M213,100)+O213+ROW()*0.000000000001,"")</f>
        <v/>
      </c>
    </row>
    <row r="214" spans="12:17" x14ac:dyDescent="0.3">
      <c r="L214">
        <v>9</v>
      </c>
      <c r="M214">
        <v>16</v>
      </c>
      <c r="N214">
        <f>IF(L214+M214-1&lt;=$J$2,1,0)</f>
        <v>0</v>
      </c>
      <c r="O214" t="str">
        <f>IF(N214=1,_xlfn.STDEV.S(INDEX($J$5:$J$34,L214):INDEX($J$5:$J$34,L214+M214-1))/AVERAGE(INDEX($J$5:$J$34,L214):INDEX($J$5:$J$34,L214+M214-1)),"")</f>
        <v/>
      </c>
      <c r="P214" t="str">
        <f>IF(N214=1,IF(O214&lt;=SIM_COMBINACIONES!$B$5,1,0),"")</f>
        <v/>
      </c>
      <c r="Q214" t="str">
        <f>IF(N214=1,IF(P214=1,-M214,100)+O214+ROW()*0.000000000001,"")</f>
        <v/>
      </c>
    </row>
    <row r="215" spans="12:17" x14ac:dyDescent="0.3">
      <c r="L215">
        <v>9</v>
      </c>
      <c r="M215">
        <v>17</v>
      </c>
      <c r="N215">
        <f>IF(L215+M215-1&lt;=$J$2,1,0)</f>
        <v>0</v>
      </c>
      <c r="O215" t="str">
        <f>IF(N215=1,_xlfn.STDEV.S(INDEX($J$5:$J$34,L215):INDEX($J$5:$J$34,L215+M215-1))/AVERAGE(INDEX($J$5:$J$34,L215):INDEX($J$5:$J$34,L215+M215-1)),"")</f>
        <v/>
      </c>
      <c r="P215" t="str">
        <f>IF(N215=1,IF(O215&lt;=SIM_COMBINACIONES!$B$5,1,0),"")</f>
        <v/>
      </c>
      <c r="Q215" t="str">
        <f>IF(N215=1,IF(P215=1,-M215,100)+O215+ROW()*0.000000000001,"")</f>
        <v/>
      </c>
    </row>
    <row r="216" spans="12:17" x14ac:dyDescent="0.3">
      <c r="L216">
        <v>9</v>
      </c>
      <c r="M216">
        <v>18</v>
      </c>
      <c r="N216">
        <f>IF(L216+M216-1&lt;=$J$2,1,0)</f>
        <v>0</v>
      </c>
      <c r="O216" t="str">
        <f>IF(N216=1,_xlfn.STDEV.S(INDEX($J$5:$J$34,L216):INDEX($J$5:$J$34,L216+M216-1))/AVERAGE(INDEX($J$5:$J$34,L216):INDEX($J$5:$J$34,L216+M216-1)),"")</f>
        <v/>
      </c>
      <c r="P216" t="str">
        <f>IF(N216=1,IF(O216&lt;=SIM_COMBINACIONES!$B$5,1,0),"")</f>
        <v/>
      </c>
      <c r="Q216" t="str">
        <f>IF(N216=1,IF(P216=1,-M216,100)+O216+ROW()*0.000000000001,"")</f>
        <v/>
      </c>
    </row>
    <row r="217" spans="12:17" x14ac:dyDescent="0.3">
      <c r="L217">
        <v>9</v>
      </c>
      <c r="M217">
        <v>19</v>
      </c>
      <c r="N217">
        <f>IF(L217+M217-1&lt;=$J$2,1,0)</f>
        <v>0</v>
      </c>
      <c r="O217" t="str">
        <f>IF(N217=1,_xlfn.STDEV.S(INDEX($J$5:$J$34,L217):INDEX($J$5:$J$34,L217+M217-1))/AVERAGE(INDEX($J$5:$J$34,L217):INDEX($J$5:$J$34,L217+M217-1)),"")</f>
        <v/>
      </c>
      <c r="P217" t="str">
        <f>IF(N217=1,IF(O217&lt;=SIM_COMBINACIONES!$B$5,1,0),"")</f>
        <v/>
      </c>
      <c r="Q217" t="str">
        <f>IF(N217=1,IF(P217=1,-M217,100)+O217+ROW()*0.000000000001,"")</f>
        <v/>
      </c>
    </row>
    <row r="218" spans="12:17" x14ac:dyDescent="0.3">
      <c r="L218">
        <v>9</v>
      </c>
      <c r="M218">
        <v>20</v>
      </c>
      <c r="N218">
        <f>IF(L218+M218-1&lt;=$J$2,1,0)</f>
        <v>0</v>
      </c>
      <c r="O218" t="str">
        <f>IF(N218=1,_xlfn.STDEV.S(INDEX($J$5:$J$34,L218):INDEX($J$5:$J$34,L218+M218-1))/AVERAGE(INDEX($J$5:$J$34,L218):INDEX($J$5:$J$34,L218+M218-1)),"")</f>
        <v/>
      </c>
      <c r="P218" t="str">
        <f>IF(N218=1,IF(O218&lt;=SIM_COMBINACIONES!$B$5,1,0),"")</f>
        <v/>
      </c>
      <c r="Q218" t="str">
        <f>IF(N218=1,IF(P218=1,-M218,100)+O218+ROW()*0.000000000001,"")</f>
        <v/>
      </c>
    </row>
    <row r="219" spans="12:17" x14ac:dyDescent="0.3">
      <c r="L219">
        <v>9</v>
      </c>
      <c r="M219">
        <v>21</v>
      </c>
      <c r="N219">
        <f>IF(L219+M219-1&lt;=$J$2,1,0)</f>
        <v>0</v>
      </c>
      <c r="O219" t="str">
        <f>IF(N219=1,_xlfn.STDEV.S(INDEX($J$5:$J$34,L219):INDEX($J$5:$J$34,L219+M219-1))/AVERAGE(INDEX($J$5:$J$34,L219):INDEX($J$5:$J$34,L219+M219-1)),"")</f>
        <v/>
      </c>
      <c r="P219" t="str">
        <f>IF(N219=1,IF(O219&lt;=SIM_COMBINACIONES!$B$5,1,0),"")</f>
        <v/>
      </c>
      <c r="Q219" t="str">
        <f>IF(N219=1,IF(P219=1,-M219,100)+O219+ROW()*0.000000000001,"")</f>
        <v/>
      </c>
    </row>
    <row r="220" spans="12:17" x14ac:dyDescent="0.3">
      <c r="L220">
        <v>9</v>
      </c>
      <c r="M220">
        <v>22</v>
      </c>
      <c r="N220">
        <f>IF(L220+M220-1&lt;=$J$2,1,0)</f>
        <v>0</v>
      </c>
      <c r="O220" t="str">
        <f>IF(N220=1,_xlfn.STDEV.S(INDEX($J$5:$J$34,L220):INDEX($J$5:$J$34,L220+M220-1))/AVERAGE(INDEX($J$5:$J$34,L220):INDEX($J$5:$J$34,L220+M220-1)),"")</f>
        <v/>
      </c>
      <c r="P220" t="str">
        <f>IF(N220=1,IF(O220&lt;=SIM_COMBINACIONES!$B$5,1,0),"")</f>
        <v/>
      </c>
      <c r="Q220" t="str">
        <f>IF(N220=1,IF(P220=1,-M220,100)+O220+ROW()*0.000000000001,"")</f>
        <v/>
      </c>
    </row>
    <row r="221" spans="12:17" x14ac:dyDescent="0.3">
      <c r="L221">
        <v>10</v>
      </c>
      <c r="M221">
        <v>3</v>
      </c>
      <c r="N221">
        <f>IF(L221+M221-1&lt;=$J$2,1,0)</f>
        <v>0</v>
      </c>
      <c r="O221" t="str">
        <f>IF(N221=1,_xlfn.STDEV.S(INDEX($J$5:$J$34,L221):INDEX($J$5:$J$34,L221+M221-1))/AVERAGE(INDEX($J$5:$J$34,L221):INDEX($J$5:$J$34,L221+M221-1)),"")</f>
        <v/>
      </c>
      <c r="P221" t="str">
        <f>IF(N221=1,IF(O221&lt;=SIM_COMBINACIONES!$B$5,1,0),"")</f>
        <v/>
      </c>
      <c r="Q221" t="str">
        <f>IF(N221=1,IF(P221=1,-M221,100)+O221+ROW()*0.000000000001,"")</f>
        <v/>
      </c>
    </row>
    <row r="222" spans="12:17" x14ac:dyDescent="0.3">
      <c r="L222">
        <v>10</v>
      </c>
      <c r="M222">
        <v>4</v>
      </c>
      <c r="N222">
        <f>IF(L222+M222-1&lt;=$J$2,1,0)</f>
        <v>0</v>
      </c>
      <c r="O222" t="str">
        <f>IF(N222=1,_xlfn.STDEV.S(INDEX($J$5:$J$34,L222):INDEX($J$5:$J$34,L222+M222-1))/AVERAGE(INDEX($J$5:$J$34,L222):INDEX($J$5:$J$34,L222+M222-1)),"")</f>
        <v/>
      </c>
      <c r="P222" t="str">
        <f>IF(N222=1,IF(O222&lt;=SIM_COMBINACIONES!$B$5,1,0),"")</f>
        <v/>
      </c>
      <c r="Q222" t="str">
        <f>IF(N222=1,IF(P222=1,-M222,100)+O222+ROW()*0.000000000001,"")</f>
        <v/>
      </c>
    </row>
    <row r="223" spans="12:17" x14ac:dyDescent="0.3">
      <c r="L223">
        <v>10</v>
      </c>
      <c r="M223">
        <v>5</v>
      </c>
      <c r="N223">
        <f>IF(L223+M223-1&lt;=$J$2,1,0)</f>
        <v>0</v>
      </c>
      <c r="O223" t="str">
        <f>IF(N223=1,_xlfn.STDEV.S(INDEX($J$5:$J$34,L223):INDEX($J$5:$J$34,L223+M223-1))/AVERAGE(INDEX($J$5:$J$34,L223):INDEX($J$5:$J$34,L223+M223-1)),"")</f>
        <v/>
      </c>
      <c r="P223" t="str">
        <f>IF(N223=1,IF(O223&lt;=SIM_COMBINACIONES!$B$5,1,0),"")</f>
        <v/>
      </c>
      <c r="Q223" t="str">
        <f>IF(N223=1,IF(P223=1,-M223,100)+O223+ROW()*0.000000000001,"")</f>
        <v/>
      </c>
    </row>
    <row r="224" spans="12:17" x14ac:dyDescent="0.3">
      <c r="L224">
        <v>10</v>
      </c>
      <c r="M224">
        <v>6</v>
      </c>
      <c r="N224">
        <f>IF(L224+M224-1&lt;=$J$2,1,0)</f>
        <v>0</v>
      </c>
      <c r="O224" t="str">
        <f>IF(N224=1,_xlfn.STDEV.S(INDEX($J$5:$J$34,L224):INDEX($J$5:$J$34,L224+M224-1))/AVERAGE(INDEX($J$5:$J$34,L224):INDEX($J$5:$J$34,L224+M224-1)),"")</f>
        <v/>
      </c>
      <c r="P224" t="str">
        <f>IF(N224=1,IF(O224&lt;=SIM_COMBINACIONES!$B$5,1,0),"")</f>
        <v/>
      </c>
      <c r="Q224" t="str">
        <f>IF(N224=1,IF(P224=1,-M224,100)+O224+ROW()*0.000000000001,"")</f>
        <v/>
      </c>
    </row>
    <row r="225" spans="12:17" x14ac:dyDescent="0.3">
      <c r="L225">
        <v>10</v>
      </c>
      <c r="M225">
        <v>7</v>
      </c>
      <c r="N225">
        <f>IF(L225+M225-1&lt;=$J$2,1,0)</f>
        <v>0</v>
      </c>
      <c r="O225" t="str">
        <f>IF(N225=1,_xlfn.STDEV.S(INDEX($J$5:$J$34,L225):INDEX($J$5:$J$34,L225+M225-1))/AVERAGE(INDEX($J$5:$J$34,L225):INDEX($J$5:$J$34,L225+M225-1)),"")</f>
        <v/>
      </c>
      <c r="P225" t="str">
        <f>IF(N225=1,IF(O225&lt;=SIM_COMBINACIONES!$B$5,1,0),"")</f>
        <v/>
      </c>
      <c r="Q225" t="str">
        <f>IF(N225=1,IF(P225=1,-M225,100)+O225+ROW()*0.000000000001,"")</f>
        <v/>
      </c>
    </row>
    <row r="226" spans="12:17" x14ac:dyDescent="0.3">
      <c r="L226">
        <v>10</v>
      </c>
      <c r="M226">
        <v>8</v>
      </c>
      <c r="N226">
        <f>IF(L226+M226-1&lt;=$J$2,1,0)</f>
        <v>0</v>
      </c>
      <c r="O226" t="str">
        <f>IF(N226=1,_xlfn.STDEV.S(INDEX($J$5:$J$34,L226):INDEX($J$5:$J$34,L226+M226-1))/AVERAGE(INDEX($J$5:$J$34,L226):INDEX($J$5:$J$34,L226+M226-1)),"")</f>
        <v/>
      </c>
      <c r="P226" t="str">
        <f>IF(N226=1,IF(O226&lt;=SIM_COMBINACIONES!$B$5,1,0),"")</f>
        <v/>
      </c>
      <c r="Q226" t="str">
        <f>IF(N226=1,IF(P226=1,-M226,100)+O226+ROW()*0.000000000001,"")</f>
        <v/>
      </c>
    </row>
    <row r="227" spans="12:17" x14ac:dyDescent="0.3">
      <c r="L227">
        <v>10</v>
      </c>
      <c r="M227">
        <v>9</v>
      </c>
      <c r="N227">
        <f>IF(L227+M227-1&lt;=$J$2,1,0)</f>
        <v>0</v>
      </c>
      <c r="O227" t="str">
        <f>IF(N227=1,_xlfn.STDEV.S(INDEX($J$5:$J$34,L227):INDEX($J$5:$J$34,L227+M227-1))/AVERAGE(INDEX($J$5:$J$34,L227):INDEX($J$5:$J$34,L227+M227-1)),"")</f>
        <v/>
      </c>
      <c r="P227" t="str">
        <f>IF(N227=1,IF(O227&lt;=SIM_COMBINACIONES!$B$5,1,0),"")</f>
        <v/>
      </c>
      <c r="Q227" t="str">
        <f>IF(N227=1,IF(P227=1,-M227,100)+O227+ROW()*0.000000000001,"")</f>
        <v/>
      </c>
    </row>
    <row r="228" spans="12:17" x14ac:dyDescent="0.3">
      <c r="L228">
        <v>10</v>
      </c>
      <c r="M228">
        <v>10</v>
      </c>
      <c r="N228">
        <f>IF(L228+M228-1&lt;=$J$2,1,0)</f>
        <v>0</v>
      </c>
      <c r="O228" t="str">
        <f>IF(N228=1,_xlfn.STDEV.S(INDEX($J$5:$J$34,L228):INDEX($J$5:$J$34,L228+M228-1))/AVERAGE(INDEX($J$5:$J$34,L228):INDEX($J$5:$J$34,L228+M228-1)),"")</f>
        <v/>
      </c>
      <c r="P228" t="str">
        <f>IF(N228=1,IF(O228&lt;=SIM_COMBINACIONES!$B$5,1,0),"")</f>
        <v/>
      </c>
      <c r="Q228" t="str">
        <f>IF(N228=1,IF(P228=1,-M228,100)+O228+ROW()*0.000000000001,"")</f>
        <v/>
      </c>
    </row>
    <row r="229" spans="12:17" x14ac:dyDescent="0.3">
      <c r="L229">
        <v>10</v>
      </c>
      <c r="M229">
        <v>11</v>
      </c>
      <c r="N229">
        <f>IF(L229+M229-1&lt;=$J$2,1,0)</f>
        <v>0</v>
      </c>
      <c r="O229" t="str">
        <f>IF(N229=1,_xlfn.STDEV.S(INDEX($J$5:$J$34,L229):INDEX($J$5:$J$34,L229+M229-1))/AVERAGE(INDEX($J$5:$J$34,L229):INDEX($J$5:$J$34,L229+M229-1)),"")</f>
        <v/>
      </c>
      <c r="P229" t="str">
        <f>IF(N229=1,IF(O229&lt;=SIM_COMBINACIONES!$B$5,1,0),"")</f>
        <v/>
      </c>
      <c r="Q229" t="str">
        <f>IF(N229=1,IF(P229=1,-M229,100)+O229+ROW()*0.000000000001,"")</f>
        <v/>
      </c>
    </row>
    <row r="230" spans="12:17" x14ac:dyDescent="0.3">
      <c r="L230">
        <v>10</v>
      </c>
      <c r="M230">
        <v>12</v>
      </c>
      <c r="N230">
        <f>IF(L230+M230-1&lt;=$J$2,1,0)</f>
        <v>0</v>
      </c>
      <c r="O230" t="str">
        <f>IF(N230=1,_xlfn.STDEV.S(INDEX($J$5:$J$34,L230):INDEX($J$5:$J$34,L230+M230-1))/AVERAGE(INDEX($J$5:$J$34,L230):INDEX($J$5:$J$34,L230+M230-1)),"")</f>
        <v/>
      </c>
      <c r="P230" t="str">
        <f>IF(N230=1,IF(O230&lt;=SIM_COMBINACIONES!$B$5,1,0),"")</f>
        <v/>
      </c>
      <c r="Q230" t="str">
        <f>IF(N230=1,IF(P230=1,-M230,100)+O230+ROW()*0.000000000001,"")</f>
        <v/>
      </c>
    </row>
    <row r="231" spans="12:17" x14ac:dyDescent="0.3">
      <c r="L231">
        <v>10</v>
      </c>
      <c r="M231">
        <v>13</v>
      </c>
      <c r="N231">
        <f>IF(L231+M231-1&lt;=$J$2,1,0)</f>
        <v>0</v>
      </c>
      <c r="O231" t="str">
        <f>IF(N231=1,_xlfn.STDEV.S(INDEX($J$5:$J$34,L231):INDEX($J$5:$J$34,L231+M231-1))/AVERAGE(INDEX($J$5:$J$34,L231):INDEX($J$5:$J$34,L231+M231-1)),"")</f>
        <v/>
      </c>
      <c r="P231" t="str">
        <f>IF(N231=1,IF(O231&lt;=SIM_COMBINACIONES!$B$5,1,0),"")</f>
        <v/>
      </c>
      <c r="Q231" t="str">
        <f>IF(N231=1,IF(P231=1,-M231,100)+O231+ROW()*0.000000000001,"")</f>
        <v/>
      </c>
    </row>
    <row r="232" spans="12:17" x14ac:dyDescent="0.3">
      <c r="L232">
        <v>10</v>
      </c>
      <c r="M232">
        <v>14</v>
      </c>
      <c r="N232">
        <f>IF(L232+M232-1&lt;=$J$2,1,0)</f>
        <v>0</v>
      </c>
      <c r="O232" t="str">
        <f>IF(N232=1,_xlfn.STDEV.S(INDEX($J$5:$J$34,L232):INDEX($J$5:$J$34,L232+M232-1))/AVERAGE(INDEX($J$5:$J$34,L232):INDEX($J$5:$J$34,L232+M232-1)),"")</f>
        <v/>
      </c>
      <c r="P232" t="str">
        <f>IF(N232=1,IF(O232&lt;=SIM_COMBINACIONES!$B$5,1,0),"")</f>
        <v/>
      </c>
      <c r="Q232" t="str">
        <f>IF(N232=1,IF(P232=1,-M232,100)+O232+ROW()*0.000000000001,"")</f>
        <v/>
      </c>
    </row>
    <row r="233" spans="12:17" x14ac:dyDescent="0.3">
      <c r="L233">
        <v>10</v>
      </c>
      <c r="M233">
        <v>15</v>
      </c>
      <c r="N233">
        <f>IF(L233+M233-1&lt;=$J$2,1,0)</f>
        <v>0</v>
      </c>
      <c r="O233" t="str">
        <f>IF(N233=1,_xlfn.STDEV.S(INDEX($J$5:$J$34,L233):INDEX($J$5:$J$34,L233+M233-1))/AVERAGE(INDEX($J$5:$J$34,L233):INDEX($J$5:$J$34,L233+M233-1)),"")</f>
        <v/>
      </c>
      <c r="P233" t="str">
        <f>IF(N233=1,IF(O233&lt;=SIM_COMBINACIONES!$B$5,1,0),"")</f>
        <v/>
      </c>
      <c r="Q233" t="str">
        <f>IF(N233=1,IF(P233=1,-M233,100)+O233+ROW()*0.000000000001,"")</f>
        <v/>
      </c>
    </row>
    <row r="234" spans="12:17" x14ac:dyDescent="0.3">
      <c r="L234">
        <v>10</v>
      </c>
      <c r="M234">
        <v>16</v>
      </c>
      <c r="N234">
        <f>IF(L234+M234-1&lt;=$J$2,1,0)</f>
        <v>0</v>
      </c>
      <c r="O234" t="str">
        <f>IF(N234=1,_xlfn.STDEV.S(INDEX($J$5:$J$34,L234):INDEX($J$5:$J$34,L234+M234-1))/AVERAGE(INDEX($J$5:$J$34,L234):INDEX($J$5:$J$34,L234+M234-1)),"")</f>
        <v/>
      </c>
      <c r="P234" t="str">
        <f>IF(N234=1,IF(O234&lt;=SIM_COMBINACIONES!$B$5,1,0),"")</f>
        <v/>
      </c>
      <c r="Q234" t="str">
        <f>IF(N234=1,IF(P234=1,-M234,100)+O234+ROW()*0.000000000001,"")</f>
        <v/>
      </c>
    </row>
    <row r="235" spans="12:17" x14ac:dyDescent="0.3">
      <c r="L235">
        <v>10</v>
      </c>
      <c r="M235">
        <v>17</v>
      </c>
      <c r="N235">
        <f>IF(L235+M235-1&lt;=$J$2,1,0)</f>
        <v>0</v>
      </c>
      <c r="O235" t="str">
        <f>IF(N235=1,_xlfn.STDEV.S(INDEX($J$5:$J$34,L235):INDEX($J$5:$J$34,L235+M235-1))/AVERAGE(INDEX($J$5:$J$34,L235):INDEX($J$5:$J$34,L235+M235-1)),"")</f>
        <v/>
      </c>
      <c r="P235" t="str">
        <f>IF(N235=1,IF(O235&lt;=SIM_COMBINACIONES!$B$5,1,0),"")</f>
        <v/>
      </c>
      <c r="Q235" t="str">
        <f>IF(N235=1,IF(P235=1,-M235,100)+O235+ROW()*0.000000000001,"")</f>
        <v/>
      </c>
    </row>
    <row r="236" spans="12:17" x14ac:dyDescent="0.3">
      <c r="L236">
        <v>10</v>
      </c>
      <c r="M236">
        <v>18</v>
      </c>
      <c r="N236">
        <f>IF(L236+M236-1&lt;=$J$2,1,0)</f>
        <v>0</v>
      </c>
      <c r="O236" t="str">
        <f>IF(N236=1,_xlfn.STDEV.S(INDEX($J$5:$J$34,L236):INDEX($J$5:$J$34,L236+M236-1))/AVERAGE(INDEX($J$5:$J$34,L236):INDEX($J$5:$J$34,L236+M236-1)),"")</f>
        <v/>
      </c>
      <c r="P236" t="str">
        <f>IF(N236=1,IF(O236&lt;=SIM_COMBINACIONES!$B$5,1,0),"")</f>
        <v/>
      </c>
      <c r="Q236" t="str">
        <f>IF(N236=1,IF(P236=1,-M236,100)+O236+ROW()*0.000000000001,"")</f>
        <v/>
      </c>
    </row>
    <row r="237" spans="12:17" x14ac:dyDescent="0.3">
      <c r="L237">
        <v>10</v>
      </c>
      <c r="M237">
        <v>19</v>
      </c>
      <c r="N237">
        <f>IF(L237+M237-1&lt;=$J$2,1,0)</f>
        <v>0</v>
      </c>
      <c r="O237" t="str">
        <f>IF(N237=1,_xlfn.STDEV.S(INDEX($J$5:$J$34,L237):INDEX($J$5:$J$34,L237+M237-1))/AVERAGE(INDEX($J$5:$J$34,L237):INDEX($J$5:$J$34,L237+M237-1)),"")</f>
        <v/>
      </c>
      <c r="P237" t="str">
        <f>IF(N237=1,IF(O237&lt;=SIM_COMBINACIONES!$B$5,1,0),"")</f>
        <v/>
      </c>
      <c r="Q237" t="str">
        <f>IF(N237=1,IF(P237=1,-M237,100)+O237+ROW()*0.000000000001,"")</f>
        <v/>
      </c>
    </row>
    <row r="238" spans="12:17" x14ac:dyDescent="0.3">
      <c r="L238">
        <v>10</v>
      </c>
      <c r="M238">
        <v>20</v>
      </c>
      <c r="N238">
        <f>IF(L238+M238-1&lt;=$J$2,1,0)</f>
        <v>0</v>
      </c>
      <c r="O238" t="str">
        <f>IF(N238=1,_xlfn.STDEV.S(INDEX($J$5:$J$34,L238):INDEX($J$5:$J$34,L238+M238-1))/AVERAGE(INDEX($J$5:$J$34,L238):INDEX($J$5:$J$34,L238+M238-1)),"")</f>
        <v/>
      </c>
      <c r="P238" t="str">
        <f>IF(N238=1,IF(O238&lt;=SIM_COMBINACIONES!$B$5,1,0),"")</f>
        <v/>
      </c>
      <c r="Q238" t="str">
        <f>IF(N238=1,IF(P238=1,-M238,100)+O238+ROW()*0.000000000001,"")</f>
        <v/>
      </c>
    </row>
    <row r="239" spans="12:17" x14ac:dyDescent="0.3">
      <c r="L239">
        <v>10</v>
      </c>
      <c r="M239">
        <v>21</v>
      </c>
      <c r="N239">
        <f>IF(L239+M239-1&lt;=$J$2,1,0)</f>
        <v>0</v>
      </c>
      <c r="O239" t="str">
        <f>IF(N239=1,_xlfn.STDEV.S(INDEX($J$5:$J$34,L239):INDEX($J$5:$J$34,L239+M239-1))/AVERAGE(INDEX($J$5:$J$34,L239):INDEX($J$5:$J$34,L239+M239-1)),"")</f>
        <v/>
      </c>
      <c r="P239" t="str">
        <f>IF(N239=1,IF(O239&lt;=SIM_COMBINACIONES!$B$5,1,0),"")</f>
        <v/>
      </c>
      <c r="Q239" t="str">
        <f>IF(N239=1,IF(P239=1,-M239,100)+O239+ROW()*0.000000000001,"")</f>
        <v/>
      </c>
    </row>
    <row r="240" spans="12:17" x14ac:dyDescent="0.3">
      <c r="L240">
        <v>11</v>
      </c>
      <c r="M240">
        <v>3</v>
      </c>
      <c r="N240">
        <f>IF(L240+M240-1&lt;=$J$2,1,0)</f>
        <v>0</v>
      </c>
      <c r="O240" t="str">
        <f>IF(N240=1,_xlfn.STDEV.S(INDEX($J$5:$J$34,L240):INDEX($J$5:$J$34,L240+M240-1))/AVERAGE(INDEX($J$5:$J$34,L240):INDEX($J$5:$J$34,L240+M240-1)),"")</f>
        <v/>
      </c>
      <c r="P240" t="str">
        <f>IF(N240=1,IF(O240&lt;=SIM_COMBINACIONES!$B$5,1,0),"")</f>
        <v/>
      </c>
      <c r="Q240" t="str">
        <f>IF(N240=1,IF(P240=1,-M240,100)+O240+ROW()*0.000000000001,"")</f>
        <v/>
      </c>
    </row>
    <row r="241" spans="12:17" x14ac:dyDescent="0.3">
      <c r="L241">
        <v>11</v>
      </c>
      <c r="M241">
        <v>4</v>
      </c>
      <c r="N241">
        <f>IF(L241+M241-1&lt;=$J$2,1,0)</f>
        <v>0</v>
      </c>
      <c r="O241" t="str">
        <f>IF(N241=1,_xlfn.STDEV.S(INDEX($J$5:$J$34,L241):INDEX($J$5:$J$34,L241+M241-1))/AVERAGE(INDEX($J$5:$J$34,L241):INDEX($J$5:$J$34,L241+M241-1)),"")</f>
        <v/>
      </c>
      <c r="P241" t="str">
        <f>IF(N241=1,IF(O241&lt;=SIM_COMBINACIONES!$B$5,1,0),"")</f>
        <v/>
      </c>
      <c r="Q241" t="str">
        <f>IF(N241=1,IF(P241=1,-M241,100)+O241+ROW()*0.000000000001,"")</f>
        <v/>
      </c>
    </row>
    <row r="242" spans="12:17" x14ac:dyDescent="0.3">
      <c r="L242">
        <v>11</v>
      </c>
      <c r="M242">
        <v>5</v>
      </c>
      <c r="N242">
        <f>IF(L242+M242-1&lt;=$J$2,1,0)</f>
        <v>0</v>
      </c>
      <c r="O242" t="str">
        <f>IF(N242=1,_xlfn.STDEV.S(INDEX($J$5:$J$34,L242):INDEX($J$5:$J$34,L242+M242-1))/AVERAGE(INDEX($J$5:$J$34,L242):INDEX($J$5:$J$34,L242+M242-1)),"")</f>
        <v/>
      </c>
      <c r="P242" t="str">
        <f>IF(N242=1,IF(O242&lt;=SIM_COMBINACIONES!$B$5,1,0),"")</f>
        <v/>
      </c>
      <c r="Q242" t="str">
        <f>IF(N242=1,IF(P242=1,-M242,100)+O242+ROW()*0.000000000001,"")</f>
        <v/>
      </c>
    </row>
    <row r="243" spans="12:17" x14ac:dyDescent="0.3">
      <c r="L243">
        <v>11</v>
      </c>
      <c r="M243">
        <v>6</v>
      </c>
      <c r="N243">
        <f>IF(L243+M243-1&lt;=$J$2,1,0)</f>
        <v>0</v>
      </c>
      <c r="O243" t="str">
        <f>IF(N243=1,_xlfn.STDEV.S(INDEX($J$5:$J$34,L243):INDEX($J$5:$J$34,L243+M243-1))/AVERAGE(INDEX($J$5:$J$34,L243):INDEX($J$5:$J$34,L243+M243-1)),"")</f>
        <v/>
      </c>
      <c r="P243" t="str">
        <f>IF(N243=1,IF(O243&lt;=SIM_COMBINACIONES!$B$5,1,0),"")</f>
        <v/>
      </c>
      <c r="Q243" t="str">
        <f>IF(N243=1,IF(P243=1,-M243,100)+O243+ROW()*0.000000000001,"")</f>
        <v/>
      </c>
    </row>
    <row r="244" spans="12:17" x14ac:dyDescent="0.3">
      <c r="L244">
        <v>11</v>
      </c>
      <c r="M244">
        <v>7</v>
      </c>
      <c r="N244">
        <f>IF(L244+M244-1&lt;=$J$2,1,0)</f>
        <v>0</v>
      </c>
      <c r="O244" t="str">
        <f>IF(N244=1,_xlfn.STDEV.S(INDEX($J$5:$J$34,L244):INDEX($J$5:$J$34,L244+M244-1))/AVERAGE(INDEX($J$5:$J$34,L244):INDEX($J$5:$J$34,L244+M244-1)),"")</f>
        <v/>
      </c>
      <c r="P244" t="str">
        <f>IF(N244=1,IF(O244&lt;=SIM_COMBINACIONES!$B$5,1,0),"")</f>
        <v/>
      </c>
      <c r="Q244" t="str">
        <f>IF(N244=1,IF(P244=1,-M244,100)+O244+ROW()*0.000000000001,"")</f>
        <v/>
      </c>
    </row>
    <row r="245" spans="12:17" x14ac:dyDescent="0.3">
      <c r="L245">
        <v>11</v>
      </c>
      <c r="M245">
        <v>8</v>
      </c>
      <c r="N245">
        <f>IF(L245+M245-1&lt;=$J$2,1,0)</f>
        <v>0</v>
      </c>
      <c r="O245" t="str">
        <f>IF(N245=1,_xlfn.STDEV.S(INDEX($J$5:$J$34,L245):INDEX($J$5:$J$34,L245+M245-1))/AVERAGE(INDEX($J$5:$J$34,L245):INDEX($J$5:$J$34,L245+M245-1)),"")</f>
        <v/>
      </c>
      <c r="P245" t="str">
        <f>IF(N245=1,IF(O245&lt;=SIM_COMBINACIONES!$B$5,1,0),"")</f>
        <v/>
      </c>
      <c r="Q245" t="str">
        <f>IF(N245=1,IF(P245=1,-M245,100)+O245+ROW()*0.000000000001,"")</f>
        <v/>
      </c>
    </row>
    <row r="246" spans="12:17" x14ac:dyDescent="0.3">
      <c r="L246">
        <v>11</v>
      </c>
      <c r="M246">
        <v>9</v>
      </c>
      <c r="N246">
        <f>IF(L246+M246-1&lt;=$J$2,1,0)</f>
        <v>0</v>
      </c>
      <c r="O246" t="str">
        <f>IF(N246=1,_xlfn.STDEV.S(INDEX($J$5:$J$34,L246):INDEX($J$5:$J$34,L246+M246-1))/AVERAGE(INDEX($J$5:$J$34,L246):INDEX($J$5:$J$34,L246+M246-1)),"")</f>
        <v/>
      </c>
      <c r="P246" t="str">
        <f>IF(N246=1,IF(O246&lt;=SIM_COMBINACIONES!$B$5,1,0),"")</f>
        <v/>
      </c>
      <c r="Q246" t="str">
        <f>IF(N246=1,IF(P246=1,-M246,100)+O246+ROW()*0.000000000001,"")</f>
        <v/>
      </c>
    </row>
    <row r="247" spans="12:17" x14ac:dyDescent="0.3">
      <c r="L247">
        <v>11</v>
      </c>
      <c r="M247">
        <v>10</v>
      </c>
      <c r="N247">
        <f>IF(L247+M247-1&lt;=$J$2,1,0)</f>
        <v>0</v>
      </c>
      <c r="O247" t="str">
        <f>IF(N247=1,_xlfn.STDEV.S(INDEX($J$5:$J$34,L247):INDEX($J$5:$J$34,L247+M247-1))/AVERAGE(INDEX($J$5:$J$34,L247):INDEX($J$5:$J$34,L247+M247-1)),"")</f>
        <v/>
      </c>
      <c r="P247" t="str">
        <f>IF(N247=1,IF(O247&lt;=SIM_COMBINACIONES!$B$5,1,0),"")</f>
        <v/>
      </c>
      <c r="Q247" t="str">
        <f>IF(N247=1,IF(P247=1,-M247,100)+O247+ROW()*0.000000000001,"")</f>
        <v/>
      </c>
    </row>
    <row r="248" spans="12:17" x14ac:dyDescent="0.3">
      <c r="L248">
        <v>11</v>
      </c>
      <c r="M248">
        <v>11</v>
      </c>
      <c r="N248">
        <f>IF(L248+M248-1&lt;=$J$2,1,0)</f>
        <v>0</v>
      </c>
      <c r="O248" t="str">
        <f>IF(N248=1,_xlfn.STDEV.S(INDEX($J$5:$J$34,L248):INDEX($J$5:$J$34,L248+M248-1))/AVERAGE(INDEX($J$5:$J$34,L248):INDEX($J$5:$J$34,L248+M248-1)),"")</f>
        <v/>
      </c>
      <c r="P248" t="str">
        <f>IF(N248=1,IF(O248&lt;=SIM_COMBINACIONES!$B$5,1,0),"")</f>
        <v/>
      </c>
      <c r="Q248" t="str">
        <f>IF(N248=1,IF(P248=1,-M248,100)+O248+ROW()*0.000000000001,"")</f>
        <v/>
      </c>
    </row>
    <row r="249" spans="12:17" x14ac:dyDescent="0.3">
      <c r="L249">
        <v>11</v>
      </c>
      <c r="M249">
        <v>12</v>
      </c>
      <c r="N249">
        <f>IF(L249+M249-1&lt;=$J$2,1,0)</f>
        <v>0</v>
      </c>
      <c r="O249" t="str">
        <f>IF(N249=1,_xlfn.STDEV.S(INDEX($J$5:$J$34,L249):INDEX($J$5:$J$34,L249+M249-1))/AVERAGE(INDEX($J$5:$J$34,L249):INDEX($J$5:$J$34,L249+M249-1)),"")</f>
        <v/>
      </c>
      <c r="P249" t="str">
        <f>IF(N249=1,IF(O249&lt;=SIM_COMBINACIONES!$B$5,1,0),"")</f>
        <v/>
      </c>
      <c r="Q249" t="str">
        <f>IF(N249=1,IF(P249=1,-M249,100)+O249+ROW()*0.000000000001,"")</f>
        <v/>
      </c>
    </row>
    <row r="250" spans="12:17" x14ac:dyDescent="0.3">
      <c r="L250">
        <v>11</v>
      </c>
      <c r="M250">
        <v>13</v>
      </c>
      <c r="N250">
        <f>IF(L250+M250-1&lt;=$J$2,1,0)</f>
        <v>0</v>
      </c>
      <c r="O250" t="str">
        <f>IF(N250=1,_xlfn.STDEV.S(INDEX($J$5:$J$34,L250):INDEX($J$5:$J$34,L250+M250-1))/AVERAGE(INDEX($J$5:$J$34,L250):INDEX($J$5:$J$34,L250+M250-1)),"")</f>
        <v/>
      </c>
      <c r="P250" t="str">
        <f>IF(N250=1,IF(O250&lt;=SIM_COMBINACIONES!$B$5,1,0),"")</f>
        <v/>
      </c>
      <c r="Q250" t="str">
        <f>IF(N250=1,IF(P250=1,-M250,100)+O250+ROW()*0.000000000001,"")</f>
        <v/>
      </c>
    </row>
    <row r="251" spans="12:17" x14ac:dyDescent="0.3">
      <c r="L251">
        <v>11</v>
      </c>
      <c r="M251">
        <v>14</v>
      </c>
      <c r="N251">
        <f>IF(L251+M251-1&lt;=$J$2,1,0)</f>
        <v>0</v>
      </c>
      <c r="O251" t="str">
        <f>IF(N251=1,_xlfn.STDEV.S(INDEX($J$5:$J$34,L251):INDEX($J$5:$J$34,L251+M251-1))/AVERAGE(INDEX($J$5:$J$34,L251):INDEX($J$5:$J$34,L251+M251-1)),"")</f>
        <v/>
      </c>
      <c r="P251" t="str">
        <f>IF(N251=1,IF(O251&lt;=SIM_COMBINACIONES!$B$5,1,0),"")</f>
        <v/>
      </c>
      <c r="Q251" t="str">
        <f>IF(N251=1,IF(P251=1,-M251,100)+O251+ROW()*0.000000000001,"")</f>
        <v/>
      </c>
    </row>
    <row r="252" spans="12:17" x14ac:dyDescent="0.3">
      <c r="L252">
        <v>11</v>
      </c>
      <c r="M252">
        <v>15</v>
      </c>
      <c r="N252">
        <f>IF(L252+M252-1&lt;=$J$2,1,0)</f>
        <v>0</v>
      </c>
      <c r="O252" t="str">
        <f>IF(N252=1,_xlfn.STDEV.S(INDEX($J$5:$J$34,L252):INDEX($J$5:$J$34,L252+M252-1))/AVERAGE(INDEX($J$5:$J$34,L252):INDEX($J$5:$J$34,L252+M252-1)),"")</f>
        <v/>
      </c>
      <c r="P252" t="str">
        <f>IF(N252=1,IF(O252&lt;=SIM_COMBINACIONES!$B$5,1,0),"")</f>
        <v/>
      </c>
      <c r="Q252" t="str">
        <f>IF(N252=1,IF(P252=1,-M252,100)+O252+ROW()*0.000000000001,"")</f>
        <v/>
      </c>
    </row>
    <row r="253" spans="12:17" x14ac:dyDescent="0.3">
      <c r="L253">
        <v>11</v>
      </c>
      <c r="M253">
        <v>16</v>
      </c>
      <c r="N253">
        <f>IF(L253+M253-1&lt;=$J$2,1,0)</f>
        <v>0</v>
      </c>
      <c r="O253" t="str">
        <f>IF(N253=1,_xlfn.STDEV.S(INDEX($J$5:$J$34,L253):INDEX($J$5:$J$34,L253+M253-1))/AVERAGE(INDEX($J$5:$J$34,L253):INDEX($J$5:$J$34,L253+M253-1)),"")</f>
        <v/>
      </c>
      <c r="P253" t="str">
        <f>IF(N253=1,IF(O253&lt;=SIM_COMBINACIONES!$B$5,1,0),"")</f>
        <v/>
      </c>
      <c r="Q253" t="str">
        <f>IF(N253=1,IF(P253=1,-M253,100)+O253+ROW()*0.000000000001,"")</f>
        <v/>
      </c>
    </row>
    <row r="254" spans="12:17" x14ac:dyDescent="0.3">
      <c r="L254">
        <v>11</v>
      </c>
      <c r="M254">
        <v>17</v>
      </c>
      <c r="N254">
        <f>IF(L254+M254-1&lt;=$J$2,1,0)</f>
        <v>0</v>
      </c>
      <c r="O254" t="str">
        <f>IF(N254=1,_xlfn.STDEV.S(INDEX($J$5:$J$34,L254):INDEX($J$5:$J$34,L254+M254-1))/AVERAGE(INDEX($J$5:$J$34,L254):INDEX($J$5:$J$34,L254+M254-1)),"")</f>
        <v/>
      </c>
      <c r="P254" t="str">
        <f>IF(N254=1,IF(O254&lt;=SIM_COMBINACIONES!$B$5,1,0),"")</f>
        <v/>
      </c>
      <c r="Q254" t="str">
        <f>IF(N254=1,IF(P254=1,-M254,100)+O254+ROW()*0.000000000001,"")</f>
        <v/>
      </c>
    </row>
    <row r="255" spans="12:17" x14ac:dyDescent="0.3">
      <c r="L255">
        <v>11</v>
      </c>
      <c r="M255">
        <v>18</v>
      </c>
      <c r="N255">
        <f>IF(L255+M255-1&lt;=$J$2,1,0)</f>
        <v>0</v>
      </c>
      <c r="O255" t="str">
        <f>IF(N255=1,_xlfn.STDEV.S(INDEX($J$5:$J$34,L255):INDEX($J$5:$J$34,L255+M255-1))/AVERAGE(INDEX($J$5:$J$34,L255):INDEX($J$5:$J$34,L255+M255-1)),"")</f>
        <v/>
      </c>
      <c r="P255" t="str">
        <f>IF(N255=1,IF(O255&lt;=SIM_COMBINACIONES!$B$5,1,0),"")</f>
        <v/>
      </c>
      <c r="Q255" t="str">
        <f>IF(N255=1,IF(P255=1,-M255,100)+O255+ROW()*0.000000000001,"")</f>
        <v/>
      </c>
    </row>
    <row r="256" spans="12:17" x14ac:dyDescent="0.3">
      <c r="L256">
        <v>11</v>
      </c>
      <c r="M256">
        <v>19</v>
      </c>
      <c r="N256">
        <f>IF(L256+M256-1&lt;=$J$2,1,0)</f>
        <v>0</v>
      </c>
      <c r="O256" t="str">
        <f>IF(N256=1,_xlfn.STDEV.S(INDEX($J$5:$J$34,L256):INDEX($J$5:$J$34,L256+M256-1))/AVERAGE(INDEX($J$5:$J$34,L256):INDEX($J$5:$J$34,L256+M256-1)),"")</f>
        <v/>
      </c>
      <c r="P256" t="str">
        <f>IF(N256=1,IF(O256&lt;=SIM_COMBINACIONES!$B$5,1,0),"")</f>
        <v/>
      </c>
      <c r="Q256" t="str">
        <f>IF(N256=1,IF(P256=1,-M256,100)+O256+ROW()*0.000000000001,"")</f>
        <v/>
      </c>
    </row>
    <row r="257" spans="12:17" x14ac:dyDescent="0.3">
      <c r="L257">
        <v>11</v>
      </c>
      <c r="M257">
        <v>20</v>
      </c>
      <c r="N257">
        <f>IF(L257+M257-1&lt;=$J$2,1,0)</f>
        <v>0</v>
      </c>
      <c r="O257" t="str">
        <f>IF(N257=1,_xlfn.STDEV.S(INDEX($J$5:$J$34,L257):INDEX($J$5:$J$34,L257+M257-1))/AVERAGE(INDEX($J$5:$J$34,L257):INDEX($J$5:$J$34,L257+M257-1)),"")</f>
        <v/>
      </c>
      <c r="P257" t="str">
        <f>IF(N257=1,IF(O257&lt;=SIM_COMBINACIONES!$B$5,1,0),"")</f>
        <v/>
      </c>
      <c r="Q257" t="str">
        <f>IF(N257=1,IF(P257=1,-M257,100)+O257+ROW()*0.000000000001,"")</f>
        <v/>
      </c>
    </row>
    <row r="258" spans="12:17" x14ac:dyDescent="0.3">
      <c r="L258">
        <v>12</v>
      </c>
      <c r="M258">
        <v>3</v>
      </c>
      <c r="N258">
        <f>IF(L258+M258-1&lt;=$J$2,1,0)</f>
        <v>0</v>
      </c>
      <c r="O258" t="str">
        <f>IF(N258=1,_xlfn.STDEV.S(INDEX($J$5:$J$34,L258):INDEX($J$5:$J$34,L258+M258-1))/AVERAGE(INDEX($J$5:$J$34,L258):INDEX($J$5:$J$34,L258+M258-1)),"")</f>
        <v/>
      </c>
      <c r="P258" t="str">
        <f>IF(N258=1,IF(O258&lt;=SIM_COMBINACIONES!$B$5,1,0),"")</f>
        <v/>
      </c>
      <c r="Q258" t="str">
        <f>IF(N258=1,IF(P258=1,-M258,100)+O258+ROW()*0.000000000001,"")</f>
        <v/>
      </c>
    </row>
    <row r="259" spans="12:17" x14ac:dyDescent="0.3">
      <c r="L259">
        <v>12</v>
      </c>
      <c r="M259">
        <v>4</v>
      </c>
      <c r="N259">
        <f>IF(L259+M259-1&lt;=$J$2,1,0)</f>
        <v>0</v>
      </c>
      <c r="O259" t="str">
        <f>IF(N259=1,_xlfn.STDEV.S(INDEX($J$5:$J$34,L259):INDEX($J$5:$J$34,L259+M259-1))/AVERAGE(INDEX($J$5:$J$34,L259):INDEX($J$5:$J$34,L259+M259-1)),"")</f>
        <v/>
      </c>
      <c r="P259" t="str">
        <f>IF(N259=1,IF(O259&lt;=SIM_COMBINACIONES!$B$5,1,0),"")</f>
        <v/>
      </c>
      <c r="Q259" t="str">
        <f>IF(N259=1,IF(P259=1,-M259,100)+O259+ROW()*0.000000000001,"")</f>
        <v/>
      </c>
    </row>
    <row r="260" spans="12:17" x14ac:dyDescent="0.3">
      <c r="L260">
        <v>12</v>
      </c>
      <c r="M260">
        <v>5</v>
      </c>
      <c r="N260">
        <f>IF(L260+M260-1&lt;=$J$2,1,0)</f>
        <v>0</v>
      </c>
      <c r="O260" t="str">
        <f>IF(N260=1,_xlfn.STDEV.S(INDEX($J$5:$J$34,L260):INDEX($J$5:$J$34,L260+M260-1))/AVERAGE(INDEX($J$5:$J$34,L260):INDEX($J$5:$J$34,L260+M260-1)),"")</f>
        <v/>
      </c>
      <c r="P260" t="str">
        <f>IF(N260=1,IF(O260&lt;=SIM_COMBINACIONES!$B$5,1,0),"")</f>
        <v/>
      </c>
      <c r="Q260" t="str">
        <f>IF(N260=1,IF(P260=1,-M260,100)+O260+ROW()*0.000000000001,"")</f>
        <v/>
      </c>
    </row>
    <row r="261" spans="12:17" x14ac:dyDescent="0.3">
      <c r="L261">
        <v>12</v>
      </c>
      <c r="M261">
        <v>6</v>
      </c>
      <c r="N261">
        <f>IF(L261+M261-1&lt;=$J$2,1,0)</f>
        <v>0</v>
      </c>
      <c r="O261" t="str">
        <f>IF(N261=1,_xlfn.STDEV.S(INDEX($J$5:$J$34,L261):INDEX($J$5:$J$34,L261+M261-1))/AVERAGE(INDEX($J$5:$J$34,L261):INDEX($J$5:$J$34,L261+M261-1)),"")</f>
        <v/>
      </c>
      <c r="P261" t="str">
        <f>IF(N261=1,IF(O261&lt;=SIM_COMBINACIONES!$B$5,1,0),"")</f>
        <v/>
      </c>
      <c r="Q261" t="str">
        <f>IF(N261=1,IF(P261=1,-M261,100)+O261+ROW()*0.000000000001,"")</f>
        <v/>
      </c>
    </row>
    <row r="262" spans="12:17" x14ac:dyDescent="0.3">
      <c r="L262">
        <v>12</v>
      </c>
      <c r="M262">
        <v>7</v>
      </c>
      <c r="N262">
        <f>IF(L262+M262-1&lt;=$J$2,1,0)</f>
        <v>0</v>
      </c>
      <c r="O262" t="str">
        <f>IF(N262=1,_xlfn.STDEV.S(INDEX($J$5:$J$34,L262):INDEX($J$5:$J$34,L262+M262-1))/AVERAGE(INDEX($J$5:$J$34,L262):INDEX($J$5:$J$34,L262+M262-1)),"")</f>
        <v/>
      </c>
      <c r="P262" t="str">
        <f>IF(N262=1,IF(O262&lt;=SIM_COMBINACIONES!$B$5,1,0),"")</f>
        <v/>
      </c>
      <c r="Q262" t="str">
        <f>IF(N262=1,IF(P262=1,-M262,100)+O262+ROW()*0.000000000001,"")</f>
        <v/>
      </c>
    </row>
    <row r="263" spans="12:17" x14ac:dyDescent="0.3">
      <c r="L263">
        <v>12</v>
      </c>
      <c r="M263">
        <v>8</v>
      </c>
      <c r="N263">
        <f>IF(L263+M263-1&lt;=$J$2,1,0)</f>
        <v>0</v>
      </c>
      <c r="O263" t="str">
        <f>IF(N263=1,_xlfn.STDEV.S(INDEX($J$5:$J$34,L263):INDEX($J$5:$J$34,L263+M263-1))/AVERAGE(INDEX($J$5:$J$34,L263):INDEX($J$5:$J$34,L263+M263-1)),"")</f>
        <v/>
      </c>
      <c r="P263" t="str">
        <f>IF(N263=1,IF(O263&lt;=SIM_COMBINACIONES!$B$5,1,0),"")</f>
        <v/>
      </c>
      <c r="Q263" t="str">
        <f>IF(N263=1,IF(P263=1,-M263,100)+O263+ROW()*0.000000000001,"")</f>
        <v/>
      </c>
    </row>
    <row r="264" spans="12:17" x14ac:dyDescent="0.3">
      <c r="L264">
        <v>12</v>
      </c>
      <c r="M264">
        <v>9</v>
      </c>
      <c r="N264">
        <f>IF(L264+M264-1&lt;=$J$2,1,0)</f>
        <v>0</v>
      </c>
      <c r="O264" t="str">
        <f>IF(N264=1,_xlfn.STDEV.S(INDEX($J$5:$J$34,L264):INDEX($J$5:$J$34,L264+M264-1))/AVERAGE(INDEX($J$5:$J$34,L264):INDEX($J$5:$J$34,L264+M264-1)),"")</f>
        <v/>
      </c>
      <c r="P264" t="str">
        <f>IF(N264=1,IF(O264&lt;=SIM_COMBINACIONES!$B$5,1,0),"")</f>
        <v/>
      </c>
      <c r="Q264" t="str">
        <f>IF(N264=1,IF(P264=1,-M264,100)+O264+ROW()*0.000000000001,"")</f>
        <v/>
      </c>
    </row>
    <row r="265" spans="12:17" x14ac:dyDescent="0.3">
      <c r="L265">
        <v>12</v>
      </c>
      <c r="M265">
        <v>10</v>
      </c>
      <c r="N265">
        <f>IF(L265+M265-1&lt;=$J$2,1,0)</f>
        <v>0</v>
      </c>
      <c r="O265" t="str">
        <f>IF(N265=1,_xlfn.STDEV.S(INDEX($J$5:$J$34,L265):INDEX($J$5:$J$34,L265+M265-1))/AVERAGE(INDEX($J$5:$J$34,L265):INDEX($J$5:$J$34,L265+M265-1)),"")</f>
        <v/>
      </c>
      <c r="P265" t="str">
        <f>IF(N265=1,IF(O265&lt;=SIM_COMBINACIONES!$B$5,1,0),"")</f>
        <v/>
      </c>
      <c r="Q265" t="str">
        <f>IF(N265=1,IF(P265=1,-M265,100)+O265+ROW()*0.000000000001,"")</f>
        <v/>
      </c>
    </row>
    <row r="266" spans="12:17" x14ac:dyDescent="0.3">
      <c r="L266">
        <v>12</v>
      </c>
      <c r="M266">
        <v>11</v>
      </c>
      <c r="N266">
        <f>IF(L266+M266-1&lt;=$J$2,1,0)</f>
        <v>0</v>
      </c>
      <c r="O266" t="str">
        <f>IF(N266=1,_xlfn.STDEV.S(INDEX($J$5:$J$34,L266):INDEX($J$5:$J$34,L266+M266-1))/AVERAGE(INDEX($J$5:$J$34,L266):INDEX($J$5:$J$34,L266+M266-1)),"")</f>
        <v/>
      </c>
      <c r="P266" t="str">
        <f>IF(N266=1,IF(O266&lt;=SIM_COMBINACIONES!$B$5,1,0),"")</f>
        <v/>
      </c>
      <c r="Q266" t="str">
        <f>IF(N266=1,IF(P266=1,-M266,100)+O266+ROW()*0.000000000001,"")</f>
        <v/>
      </c>
    </row>
    <row r="267" spans="12:17" x14ac:dyDescent="0.3">
      <c r="L267">
        <v>12</v>
      </c>
      <c r="M267">
        <v>12</v>
      </c>
      <c r="N267">
        <f>IF(L267+M267-1&lt;=$J$2,1,0)</f>
        <v>0</v>
      </c>
      <c r="O267" t="str">
        <f>IF(N267=1,_xlfn.STDEV.S(INDEX($J$5:$J$34,L267):INDEX($J$5:$J$34,L267+M267-1))/AVERAGE(INDEX($J$5:$J$34,L267):INDEX($J$5:$J$34,L267+M267-1)),"")</f>
        <v/>
      </c>
      <c r="P267" t="str">
        <f>IF(N267=1,IF(O267&lt;=SIM_COMBINACIONES!$B$5,1,0),"")</f>
        <v/>
      </c>
      <c r="Q267" t="str">
        <f>IF(N267=1,IF(P267=1,-M267,100)+O267+ROW()*0.000000000001,"")</f>
        <v/>
      </c>
    </row>
    <row r="268" spans="12:17" x14ac:dyDescent="0.3">
      <c r="L268">
        <v>12</v>
      </c>
      <c r="M268">
        <v>13</v>
      </c>
      <c r="N268">
        <f>IF(L268+M268-1&lt;=$J$2,1,0)</f>
        <v>0</v>
      </c>
      <c r="O268" t="str">
        <f>IF(N268=1,_xlfn.STDEV.S(INDEX($J$5:$J$34,L268):INDEX($J$5:$J$34,L268+M268-1))/AVERAGE(INDEX($J$5:$J$34,L268):INDEX($J$5:$J$34,L268+M268-1)),"")</f>
        <v/>
      </c>
      <c r="P268" t="str">
        <f>IF(N268=1,IF(O268&lt;=SIM_COMBINACIONES!$B$5,1,0),"")</f>
        <v/>
      </c>
      <c r="Q268" t="str">
        <f>IF(N268=1,IF(P268=1,-M268,100)+O268+ROW()*0.000000000001,"")</f>
        <v/>
      </c>
    </row>
    <row r="269" spans="12:17" x14ac:dyDescent="0.3">
      <c r="L269">
        <v>12</v>
      </c>
      <c r="M269">
        <v>14</v>
      </c>
      <c r="N269">
        <f>IF(L269+M269-1&lt;=$J$2,1,0)</f>
        <v>0</v>
      </c>
      <c r="O269" t="str">
        <f>IF(N269=1,_xlfn.STDEV.S(INDEX($J$5:$J$34,L269):INDEX($J$5:$J$34,L269+M269-1))/AVERAGE(INDEX($J$5:$J$34,L269):INDEX($J$5:$J$34,L269+M269-1)),"")</f>
        <v/>
      </c>
      <c r="P269" t="str">
        <f>IF(N269=1,IF(O269&lt;=SIM_COMBINACIONES!$B$5,1,0),"")</f>
        <v/>
      </c>
      <c r="Q269" t="str">
        <f>IF(N269=1,IF(P269=1,-M269,100)+O269+ROW()*0.000000000001,"")</f>
        <v/>
      </c>
    </row>
    <row r="270" spans="12:17" x14ac:dyDescent="0.3">
      <c r="L270">
        <v>12</v>
      </c>
      <c r="M270">
        <v>15</v>
      </c>
      <c r="N270">
        <f>IF(L270+M270-1&lt;=$J$2,1,0)</f>
        <v>0</v>
      </c>
      <c r="O270" t="str">
        <f>IF(N270=1,_xlfn.STDEV.S(INDEX($J$5:$J$34,L270):INDEX($J$5:$J$34,L270+M270-1))/AVERAGE(INDEX($J$5:$J$34,L270):INDEX($J$5:$J$34,L270+M270-1)),"")</f>
        <v/>
      </c>
      <c r="P270" t="str">
        <f>IF(N270=1,IF(O270&lt;=SIM_COMBINACIONES!$B$5,1,0),"")</f>
        <v/>
      </c>
      <c r="Q270" t="str">
        <f>IF(N270=1,IF(P270=1,-M270,100)+O270+ROW()*0.000000000001,"")</f>
        <v/>
      </c>
    </row>
    <row r="271" spans="12:17" x14ac:dyDescent="0.3">
      <c r="L271">
        <v>12</v>
      </c>
      <c r="M271">
        <v>16</v>
      </c>
      <c r="N271">
        <f>IF(L271+M271-1&lt;=$J$2,1,0)</f>
        <v>0</v>
      </c>
      <c r="O271" t="str">
        <f>IF(N271=1,_xlfn.STDEV.S(INDEX($J$5:$J$34,L271):INDEX($J$5:$J$34,L271+M271-1))/AVERAGE(INDEX($J$5:$J$34,L271):INDEX($J$5:$J$34,L271+M271-1)),"")</f>
        <v/>
      </c>
      <c r="P271" t="str">
        <f>IF(N271=1,IF(O271&lt;=SIM_COMBINACIONES!$B$5,1,0),"")</f>
        <v/>
      </c>
      <c r="Q271" t="str">
        <f>IF(N271=1,IF(P271=1,-M271,100)+O271+ROW()*0.000000000001,"")</f>
        <v/>
      </c>
    </row>
    <row r="272" spans="12:17" x14ac:dyDescent="0.3">
      <c r="L272">
        <v>12</v>
      </c>
      <c r="M272">
        <v>17</v>
      </c>
      <c r="N272">
        <f>IF(L272+M272-1&lt;=$J$2,1,0)</f>
        <v>0</v>
      </c>
      <c r="O272" t="str">
        <f>IF(N272=1,_xlfn.STDEV.S(INDEX($J$5:$J$34,L272):INDEX($J$5:$J$34,L272+M272-1))/AVERAGE(INDEX($J$5:$J$34,L272):INDEX($J$5:$J$34,L272+M272-1)),"")</f>
        <v/>
      </c>
      <c r="P272" t="str">
        <f>IF(N272=1,IF(O272&lt;=SIM_COMBINACIONES!$B$5,1,0),"")</f>
        <v/>
      </c>
      <c r="Q272" t="str">
        <f>IF(N272=1,IF(P272=1,-M272,100)+O272+ROW()*0.000000000001,"")</f>
        <v/>
      </c>
    </row>
    <row r="273" spans="12:17" x14ac:dyDescent="0.3">
      <c r="L273">
        <v>12</v>
      </c>
      <c r="M273">
        <v>18</v>
      </c>
      <c r="N273">
        <f>IF(L273+M273-1&lt;=$J$2,1,0)</f>
        <v>0</v>
      </c>
      <c r="O273" t="str">
        <f>IF(N273=1,_xlfn.STDEV.S(INDEX($J$5:$J$34,L273):INDEX($J$5:$J$34,L273+M273-1))/AVERAGE(INDEX($J$5:$J$34,L273):INDEX($J$5:$J$34,L273+M273-1)),"")</f>
        <v/>
      </c>
      <c r="P273" t="str">
        <f>IF(N273=1,IF(O273&lt;=SIM_COMBINACIONES!$B$5,1,0),"")</f>
        <v/>
      </c>
      <c r="Q273" t="str">
        <f>IF(N273=1,IF(P273=1,-M273,100)+O273+ROW()*0.000000000001,"")</f>
        <v/>
      </c>
    </row>
    <row r="274" spans="12:17" x14ac:dyDescent="0.3">
      <c r="L274">
        <v>12</v>
      </c>
      <c r="M274">
        <v>19</v>
      </c>
      <c r="N274">
        <f>IF(L274+M274-1&lt;=$J$2,1,0)</f>
        <v>0</v>
      </c>
      <c r="O274" t="str">
        <f>IF(N274=1,_xlfn.STDEV.S(INDEX($J$5:$J$34,L274):INDEX($J$5:$J$34,L274+M274-1))/AVERAGE(INDEX($J$5:$J$34,L274):INDEX($J$5:$J$34,L274+M274-1)),"")</f>
        <v/>
      </c>
      <c r="P274" t="str">
        <f>IF(N274=1,IF(O274&lt;=SIM_COMBINACIONES!$B$5,1,0),"")</f>
        <v/>
      </c>
      <c r="Q274" t="str">
        <f>IF(N274=1,IF(P274=1,-M274,100)+O274+ROW()*0.000000000001,"")</f>
        <v/>
      </c>
    </row>
    <row r="275" spans="12:17" x14ac:dyDescent="0.3">
      <c r="L275">
        <v>13</v>
      </c>
      <c r="M275">
        <v>3</v>
      </c>
      <c r="N275">
        <f>IF(L275+M275-1&lt;=$J$2,1,0)</f>
        <v>0</v>
      </c>
      <c r="O275" t="str">
        <f>IF(N275=1,_xlfn.STDEV.S(INDEX($J$5:$J$34,L275):INDEX($J$5:$J$34,L275+M275-1))/AVERAGE(INDEX($J$5:$J$34,L275):INDEX($J$5:$J$34,L275+M275-1)),"")</f>
        <v/>
      </c>
      <c r="P275" t="str">
        <f>IF(N275=1,IF(O275&lt;=SIM_COMBINACIONES!$B$5,1,0),"")</f>
        <v/>
      </c>
      <c r="Q275" t="str">
        <f>IF(N275=1,IF(P275=1,-M275,100)+O275+ROW()*0.000000000001,"")</f>
        <v/>
      </c>
    </row>
    <row r="276" spans="12:17" x14ac:dyDescent="0.3">
      <c r="L276">
        <v>13</v>
      </c>
      <c r="M276">
        <v>4</v>
      </c>
      <c r="N276">
        <f>IF(L276+M276-1&lt;=$J$2,1,0)</f>
        <v>0</v>
      </c>
      <c r="O276" t="str">
        <f>IF(N276=1,_xlfn.STDEV.S(INDEX($J$5:$J$34,L276):INDEX($J$5:$J$34,L276+M276-1))/AVERAGE(INDEX($J$5:$J$34,L276):INDEX($J$5:$J$34,L276+M276-1)),"")</f>
        <v/>
      </c>
      <c r="P276" t="str">
        <f>IF(N276=1,IF(O276&lt;=SIM_COMBINACIONES!$B$5,1,0),"")</f>
        <v/>
      </c>
      <c r="Q276" t="str">
        <f>IF(N276=1,IF(P276=1,-M276,100)+O276+ROW()*0.000000000001,"")</f>
        <v/>
      </c>
    </row>
    <row r="277" spans="12:17" x14ac:dyDescent="0.3">
      <c r="L277">
        <v>13</v>
      </c>
      <c r="M277">
        <v>5</v>
      </c>
      <c r="N277">
        <f>IF(L277+M277-1&lt;=$J$2,1,0)</f>
        <v>0</v>
      </c>
      <c r="O277" t="str">
        <f>IF(N277=1,_xlfn.STDEV.S(INDEX($J$5:$J$34,L277):INDEX($J$5:$J$34,L277+M277-1))/AVERAGE(INDEX($J$5:$J$34,L277):INDEX($J$5:$J$34,L277+M277-1)),"")</f>
        <v/>
      </c>
      <c r="P277" t="str">
        <f>IF(N277=1,IF(O277&lt;=SIM_COMBINACIONES!$B$5,1,0),"")</f>
        <v/>
      </c>
      <c r="Q277" t="str">
        <f>IF(N277=1,IF(P277=1,-M277,100)+O277+ROW()*0.000000000001,"")</f>
        <v/>
      </c>
    </row>
    <row r="278" spans="12:17" x14ac:dyDescent="0.3">
      <c r="L278">
        <v>13</v>
      </c>
      <c r="M278">
        <v>6</v>
      </c>
      <c r="N278">
        <f>IF(L278+M278-1&lt;=$J$2,1,0)</f>
        <v>0</v>
      </c>
      <c r="O278" t="str">
        <f>IF(N278=1,_xlfn.STDEV.S(INDEX($J$5:$J$34,L278):INDEX($J$5:$J$34,L278+M278-1))/AVERAGE(INDEX($J$5:$J$34,L278):INDEX($J$5:$J$34,L278+M278-1)),"")</f>
        <v/>
      </c>
      <c r="P278" t="str">
        <f>IF(N278=1,IF(O278&lt;=SIM_COMBINACIONES!$B$5,1,0),"")</f>
        <v/>
      </c>
      <c r="Q278" t="str">
        <f>IF(N278=1,IF(P278=1,-M278,100)+O278+ROW()*0.000000000001,"")</f>
        <v/>
      </c>
    </row>
    <row r="279" spans="12:17" x14ac:dyDescent="0.3">
      <c r="L279">
        <v>13</v>
      </c>
      <c r="M279">
        <v>7</v>
      </c>
      <c r="N279">
        <f>IF(L279+M279-1&lt;=$J$2,1,0)</f>
        <v>0</v>
      </c>
      <c r="O279" t="str">
        <f>IF(N279=1,_xlfn.STDEV.S(INDEX($J$5:$J$34,L279):INDEX($J$5:$J$34,L279+M279-1))/AVERAGE(INDEX($J$5:$J$34,L279):INDEX($J$5:$J$34,L279+M279-1)),"")</f>
        <v/>
      </c>
      <c r="P279" t="str">
        <f>IF(N279=1,IF(O279&lt;=SIM_COMBINACIONES!$B$5,1,0),"")</f>
        <v/>
      </c>
      <c r="Q279" t="str">
        <f>IF(N279=1,IF(P279=1,-M279,100)+O279+ROW()*0.000000000001,"")</f>
        <v/>
      </c>
    </row>
    <row r="280" spans="12:17" x14ac:dyDescent="0.3">
      <c r="L280">
        <v>13</v>
      </c>
      <c r="M280">
        <v>8</v>
      </c>
      <c r="N280">
        <f>IF(L280+M280-1&lt;=$J$2,1,0)</f>
        <v>0</v>
      </c>
      <c r="O280" t="str">
        <f>IF(N280=1,_xlfn.STDEV.S(INDEX($J$5:$J$34,L280):INDEX($J$5:$J$34,L280+M280-1))/AVERAGE(INDEX($J$5:$J$34,L280):INDEX($J$5:$J$34,L280+M280-1)),"")</f>
        <v/>
      </c>
      <c r="P280" t="str">
        <f>IF(N280=1,IF(O280&lt;=SIM_COMBINACIONES!$B$5,1,0),"")</f>
        <v/>
      </c>
      <c r="Q280" t="str">
        <f>IF(N280=1,IF(P280=1,-M280,100)+O280+ROW()*0.000000000001,"")</f>
        <v/>
      </c>
    </row>
    <row r="281" spans="12:17" x14ac:dyDescent="0.3">
      <c r="L281">
        <v>13</v>
      </c>
      <c r="M281">
        <v>9</v>
      </c>
      <c r="N281">
        <f>IF(L281+M281-1&lt;=$J$2,1,0)</f>
        <v>0</v>
      </c>
      <c r="O281" t="str">
        <f>IF(N281=1,_xlfn.STDEV.S(INDEX($J$5:$J$34,L281):INDEX($J$5:$J$34,L281+M281-1))/AVERAGE(INDEX($J$5:$J$34,L281):INDEX($J$5:$J$34,L281+M281-1)),"")</f>
        <v/>
      </c>
      <c r="P281" t="str">
        <f>IF(N281=1,IF(O281&lt;=SIM_COMBINACIONES!$B$5,1,0),"")</f>
        <v/>
      </c>
      <c r="Q281" t="str">
        <f>IF(N281=1,IF(P281=1,-M281,100)+O281+ROW()*0.000000000001,"")</f>
        <v/>
      </c>
    </row>
    <row r="282" spans="12:17" x14ac:dyDescent="0.3">
      <c r="L282">
        <v>13</v>
      </c>
      <c r="M282">
        <v>10</v>
      </c>
      <c r="N282">
        <f>IF(L282+M282-1&lt;=$J$2,1,0)</f>
        <v>0</v>
      </c>
      <c r="O282" t="str">
        <f>IF(N282=1,_xlfn.STDEV.S(INDEX($J$5:$J$34,L282):INDEX($J$5:$J$34,L282+M282-1))/AVERAGE(INDEX($J$5:$J$34,L282):INDEX($J$5:$J$34,L282+M282-1)),"")</f>
        <v/>
      </c>
      <c r="P282" t="str">
        <f>IF(N282=1,IF(O282&lt;=SIM_COMBINACIONES!$B$5,1,0),"")</f>
        <v/>
      </c>
      <c r="Q282" t="str">
        <f>IF(N282=1,IF(P282=1,-M282,100)+O282+ROW()*0.000000000001,"")</f>
        <v/>
      </c>
    </row>
    <row r="283" spans="12:17" x14ac:dyDescent="0.3">
      <c r="L283">
        <v>13</v>
      </c>
      <c r="M283">
        <v>11</v>
      </c>
      <c r="N283">
        <f>IF(L283+M283-1&lt;=$J$2,1,0)</f>
        <v>0</v>
      </c>
      <c r="O283" t="str">
        <f>IF(N283=1,_xlfn.STDEV.S(INDEX($J$5:$J$34,L283):INDEX($J$5:$J$34,L283+M283-1))/AVERAGE(INDEX($J$5:$J$34,L283):INDEX($J$5:$J$34,L283+M283-1)),"")</f>
        <v/>
      </c>
      <c r="P283" t="str">
        <f>IF(N283=1,IF(O283&lt;=SIM_COMBINACIONES!$B$5,1,0),"")</f>
        <v/>
      </c>
      <c r="Q283" t="str">
        <f>IF(N283=1,IF(P283=1,-M283,100)+O283+ROW()*0.000000000001,"")</f>
        <v/>
      </c>
    </row>
    <row r="284" spans="12:17" x14ac:dyDescent="0.3">
      <c r="L284">
        <v>13</v>
      </c>
      <c r="M284">
        <v>12</v>
      </c>
      <c r="N284">
        <f>IF(L284+M284-1&lt;=$J$2,1,0)</f>
        <v>0</v>
      </c>
      <c r="O284" t="str">
        <f>IF(N284=1,_xlfn.STDEV.S(INDEX($J$5:$J$34,L284):INDEX($J$5:$J$34,L284+M284-1))/AVERAGE(INDEX($J$5:$J$34,L284):INDEX($J$5:$J$34,L284+M284-1)),"")</f>
        <v/>
      </c>
      <c r="P284" t="str">
        <f>IF(N284=1,IF(O284&lt;=SIM_COMBINACIONES!$B$5,1,0),"")</f>
        <v/>
      </c>
      <c r="Q284" t="str">
        <f>IF(N284=1,IF(P284=1,-M284,100)+O284+ROW()*0.000000000001,"")</f>
        <v/>
      </c>
    </row>
    <row r="285" spans="12:17" x14ac:dyDescent="0.3">
      <c r="L285">
        <v>13</v>
      </c>
      <c r="M285">
        <v>13</v>
      </c>
      <c r="N285">
        <f>IF(L285+M285-1&lt;=$J$2,1,0)</f>
        <v>0</v>
      </c>
      <c r="O285" t="str">
        <f>IF(N285=1,_xlfn.STDEV.S(INDEX($J$5:$J$34,L285):INDEX($J$5:$J$34,L285+M285-1))/AVERAGE(INDEX($J$5:$J$34,L285):INDEX($J$5:$J$34,L285+M285-1)),"")</f>
        <v/>
      </c>
      <c r="P285" t="str">
        <f>IF(N285=1,IF(O285&lt;=SIM_COMBINACIONES!$B$5,1,0),"")</f>
        <v/>
      </c>
      <c r="Q285" t="str">
        <f>IF(N285=1,IF(P285=1,-M285,100)+O285+ROW()*0.000000000001,"")</f>
        <v/>
      </c>
    </row>
    <row r="286" spans="12:17" x14ac:dyDescent="0.3">
      <c r="L286">
        <v>13</v>
      </c>
      <c r="M286">
        <v>14</v>
      </c>
      <c r="N286">
        <f>IF(L286+M286-1&lt;=$J$2,1,0)</f>
        <v>0</v>
      </c>
      <c r="O286" t="str">
        <f>IF(N286=1,_xlfn.STDEV.S(INDEX($J$5:$J$34,L286):INDEX($J$5:$J$34,L286+M286-1))/AVERAGE(INDEX($J$5:$J$34,L286):INDEX($J$5:$J$34,L286+M286-1)),"")</f>
        <v/>
      </c>
      <c r="P286" t="str">
        <f>IF(N286=1,IF(O286&lt;=SIM_COMBINACIONES!$B$5,1,0),"")</f>
        <v/>
      </c>
      <c r="Q286" t="str">
        <f>IF(N286=1,IF(P286=1,-M286,100)+O286+ROW()*0.000000000001,"")</f>
        <v/>
      </c>
    </row>
    <row r="287" spans="12:17" x14ac:dyDescent="0.3">
      <c r="L287">
        <v>13</v>
      </c>
      <c r="M287">
        <v>15</v>
      </c>
      <c r="N287">
        <f>IF(L287+M287-1&lt;=$J$2,1,0)</f>
        <v>0</v>
      </c>
      <c r="O287" t="str">
        <f>IF(N287=1,_xlfn.STDEV.S(INDEX($J$5:$J$34,L287):INDEX($J$5:$J$34,L287+M287-1))/AVERAGE(INDEX($J$5:$J$34,L287):INDEX($J$5:$J$34,L287+M287-1)),"")</f>
        <v/>
      </c>
      <c r="P287" t="str">
        <f>IF(N287=1,IF(O287&lt;=SIM_COMBINACIONES!$B$5,1,0),"")</f>
        <v/>
      </c>
      <c r="Q287" t="str">
        <f>IF(N287=1,IF(P287=1,-M287,100)+O287+ROW()*0.000000000001,"")</f>
        <v/>
      </c>
    </row>
    <row r="288" spans="12:17" x14ac:dyDescent="0.3">
      <c r="L288">
        <v>13</v>
      </c>
      <c r="M288">
        <v>16</v>
      </c>
      <c r="N288">
        <f>IF(L288+M288-1&lt;=$J$2,1,0)</f>
        <v>0</v>
      </c>
      <c r="O288" t="str">
        <f>IF(N288=1,_xlfn.STDEV.S(INDEX($J$5:$J$34,L288):INDEX($J$5:$J$34,L288+M288-1))/AVERAGE(INDEX($J$5:$J$34,L288):INDEX($J$5:$J$34,L288+M288-1)),"")</f>
        <v/>
      </c>
      <c r="P288" t="str">
        <f>IF(N288=1,IF(O288&lt;=SIM_COMBINACIONES!$B$5,1,0),"")</f>
        <v/>
      </c>
      <c r="Q288" t="str">
        <f>IF(N288=1,IF(P288=1,-M288,100)+O288+ROW()*0.000000000001,"")</f>
        <v/>
      </c>
    </row>
    <row r="289" spans="12:17" x14ac:dyDescent="0.3">
      <c r="L289">
        <v>13</v>
      </c>
      <c r="M289">
        <v>17</v>
      </c>
      <c r="N289">
        <f>IF(L289+M289-1&lt;=$J$2,1,0)</f>
        <v>0</v>
      </c>
      <c r="O289" t="str">
        <f>IF(N289=1,_xlfn.STDEV.S(INDEX($J$5:$J$34,L289):INDEX($J$5:$J$34,L289+M289-1))/AVERAGE(INDEX($J$5:$J$34,L289):INDEX($J$5:$J$34,L289+M289-1)),"")</f>
        <v/>
      </c>
      <c r="P289" t="str">
        <f>IF(N289=1,IF(O289&lt;=SIM_COMBINACIONES!$B$5,1,0),"")</f>
        <v/>
      </c>
      <c r="Q289" t="str">
        <f>IF(N289=1,IF(P289=1,-M289,100)+O289+ROW()*0.000000000001,"")</f>
        <v/>
      </c>
    </row>
    <row r="290" spans="12:17" x14ac:dyDescent="0.3">
      <c r="L290">
        <v>13</v>
      </c>
      <c r="M290">
        <v>18</v>
      </c>
      <c r="N290">
        <f>IF(L290+M290-1&lt;=$J$2,1,0)</f>
        <v>0</v>
      </c>
      <c r="O290" t="str">
        <f>IF(N290=1,_xlfn.STDEV.S(INDEX($J$5:$J$34,L290):INDEX($J$5:$J$34,L290+M290-1))/AVERAGE(INDEX($J$5:$J$34,L290):INDEX($J$5:$J$34,L290+M290-1)),"")</f>
        <v/>
      </c>
      <c r="P290" t="str">
        <f>IF(N290=1,IF(O290&lt;=SIM_COMBINACIONES!$B$5,1,0),"")</f>
        <v/>
      </c>
      <c r="Q290" t="str">
        <f>IF(N290=1,IF(P290=1,-M290,100)+O290+ROW()*0.000000000001,"")</f>
        <v/>
      </c>
    </row>
    <row r="291" spans="12:17" x14ac:dyDescent="0.3">
      <c r="L291">
        <v>14</v>
      </c>
      <c r="M291">
        <v>3</v>
      </c>
      <c r="N291">
        <f>IF(L291+M291-1&lt;=$J$2,1,0)</f>
        <v>0</v>
      </c>
      <c r="O291" t="str">
        <f>IF(N291=1,_xlfn.STDEV.S(INDEX($J$5:$J$34,L291):INDEX($J$5:$J$34,L291+M291-1))/AVERAGE(INDEX($J$5:$J$34,L291):INDEX($J$5:$J$34,L291+M291-1)),"")</f>
        <v/>
      </c>
      <c r="P291" t="str">
        <f>IF(N291=1,IF(O291&lt;=SIM_COMBINACIONES!$B$5,1,0),"")</f>
        <v/>
      </c>
      <c r="Q291" t="str">
        <f>IF(N291=1,IF(P291=1,-M291,100)+O291+ROW()*0.000000000001,"")</f>
        <v/>
      </c>
    </row>
    <row r="292" spans="12:17" x14ac:dyDescent="0.3">
      <c r="L292">
        <v>14</v>
      </c>
      <c r="M292">
        <v>4</v>
      </c>
      <c r="N292">
        <f>IF(L292+M292-1&lt;=$J$2,1,0)</f>
        <v>0</v>
      </c>
      <c r="O292" t="str">
        <f>IF(N292=1,_xlfn.STDEV.S(INDEX($J$5:$J$34,L292):INDEX($J$5:$J$34,L292+M292-1))/AVERAGE(INDEX($J$5:$J$34,L292):INDEX($J$5:$J$34,L292+M292-1)),"")</f>
        <v/>
      </c>
      <c r="P292" t="str">
        <f>IF(N292=1,IF(O292&lt;=SIM_COMBINACIONES!$B$5,1,0),"")</f>
        <v/>
      </c>
      <c r="Q292" t="str">
        <f>IF(N292=1,IF(P292=1,-M292,100)+O292+ROW()*0.000000000001,"")</f>
        <v/>
      </c>
    </row>
    <row r="293" spans="12:17" x14ac:dyDescent="0.3">
      <c r="L293">
        <v>14</v>
      </c>
      <c r="M293">
        <v>5</v>
      </c>
      <c r="N293">
        <f>IF(L293+M293-1&lt;=$J$2,1,0)</f>
        <v>0</v>
      </c>
      <c r="O293" t="str">
        <f>IF(N293=1,_xlfn.STDEV.S(INDEX($J$5:$J$34,L293):INDEX($J$5:$J$34,L293+M293-1))/AVERAGE(INDEX($J$5:$J$34,L293):INDEX($J$5:$J$34,L293+M293-1)),"")</f>
        <v/>
      </c>
      <c r="P293" t="str">
        <f>IF(N293=1,IF(O293&lt;=SIM_COMBINACIONES!$B$5,1,0),"")</f>
        <v/>
      </c>
      <c r="Q293" t="str">
        <f>IF(N293=1,IF(P293=1,-M293,100)+O293+ROW()*0.000000000001,"")</f>
        <v/>
      </c>
    </row>
    <row r="294" spans="12:17" x14ac:dyDescent="0.3">
      <c r="L294">
        <v>14</v>
      </c>
      <c r="M294">
        <v>6</v>
      </c>
      <c r="N294">
        <f>IF(L294+M294-1&lt;=$J$2,1,0)</f>
        <v>0</v>
      </c>
      <c r="O294" t="str">
        <f>IF(N294=1,_xlfn.STDEV.S(INDEX($J$5:$J$34,L294):INDEX($J$5:$J$34,L294+M294-1))/AVERAGE(INDEX($J$5:$J$34,L294):INDEX($J$5:$J$34,L294+M294-1)),"")</f>
        <v/>
      </c>
      <c r="P294" t="str">
        <f>IF(N294=1,IF(O294&lt;=SIM_COMBINACIONES!$B$5,1,0),"")</f>
        <v/>
      </c>
      <c r="Q294" t="str">
        <f>IF(N294=1,IF(P294=1,-M294,100)+O294+ROW()*0.000000000001,"")</f>
        <v/>
      </c>
    </row>
    <row r="295" spans="12:17" x14ac:dyDescent="0.3">
      <c r="L295">
        <v>14</v>
      </c>
      <c r="M295">
        <v>7</v>
      </c>
      <c r="N295">
        <f>IF(L295+M295-1&lt;=$J$2,1,0)</f>
        <v>0</v>
      </c>
      <c r="O295" t="str">
        <f>IF(N295=1,_xlfn.STDEV.S(INDEX($J$5:$J$34,L295):INDEX($J$5:$J$34,L295+M295-1))/AVERAGE(INDEX($J$5:$J$34,L295):INDEX($J$5:$J$34,L295+M295-1)),"")</f>
        <v/>
      </c>
      <c r="P295" t="str">
        <f>IF(N295=1,IF(O295&lt;=SIM_COMBINACIONES!$B$5,1,0),"")</f>
        <v/>
      </c>
      <c r="Q295" t="str">
        <f>IF(N295=1,IF(P295=1,-M295,100)+O295+ROW()*0.000000000001,"")</f>
        <v/>
      </c>
    </row>
    <row r="296" spans="12:17" x14ac:dyDescent="0.3">
      <c r="L296">
        <v>14</v>
      </c>
      <c r="M296">
        <v>8</v>
      </c>
      <c r="N296">
        <f>IF(L296+M296-1&lt;=$J$2,1,0)</f>
        <v>0</v>
      </c>
      <c r="O296" t="str">
        <f>IF(N296=1,_xlfn.STDEV.S(INDEX($J$5:$J$34,L296):INDEX($J$5:$J$34,L296+M296-1))/AVERAGE(INDEX($J$5:$J$34,L296):INDEX($J$5:$J$34,L296+M296-1)),"")</f>
        <v/>
      </c>
      <c r="P296" t="str">
        <f>IF(N296=1,IF(O296&lt;=SIM_COMBINACIONES!$B$5,1,0),"")</f>
        <v/>
      </c>
      <c r="Q296" t="str">
        <f>IF(N296=1,IF(P296=1,-M296,100)+O296+ROW()*0.000000000001,"")</f>
        <v/>
      </c>
    </row>
    <row r="297" spans="12:17" x14ac:dyDescent="0.3">
      <c r="L297">
        <v>14</v>
      </c>
      <c r="M297">
        <v>9</v>
      </c>
      <c r="N297">
        <f>IF(L297+M297-1&lt;=$J$2,1,0)</f>
        <v>0</v>
      </c>
      <c r="O297" t="str">
        <f>IF(N297=1,_xlfn.STDEV.S(INDEX($J$5:$J$34,L297):INDEX($J$5:$J$34,L297+M297-1))/AVERAGE(INDEX($J$5:$J$34,L297):INDEX($J$5:$J$34,L297+M297-1)),"")</f>
        <v/>
      </c>
      <c r="P297" t="str">
        <f>IF(N297=1,IF(O297&lt;=SIM_COMBINACIONES!$B$5,1,0),"")</f>
        <v/>
      </c>
      <c r="Q297" t="str">
        <f>IF(N297=1,IF(P297=1,-M297,100)+O297+ROW()*0.000000000001,"")</f>
        <v/>
      </c>
    </row>
    <row r="298" spans="12:17" x14ac:dyDescent="0.3">
      <c r="L298">
        <v>14</v>
      </c>
      <c r="M298">
        <v>10</v>
      </c>
      <c r="N298">
        <f>IF(L298+M298-1&lt;=$J$2,1,0)</f>
        <v>0</v>
      </c>
      <c r="O298" t="str">
        <f>IF(N298=1,_xlfn.STDEV.S(INDEX($J$5:$J$34,L298):INDEX($J$5:$J$34,L298+M298-1))/AVERAGE(INDEX($J$5:$J$34,L298):INDEX($J$5:$J$34,L298+M298-1)),"")</f>
        <v/>
      </c>
      <c r="P298" t="str">
        <f>IF(N298=1,IF(O298&lt;=SIM_COMBINACIONES!$B$5,1,0),"")</f>
        <v/>
      </c>
      <c r="Q298" t="str">
        <f>IF(N298=1,IF(P298=1,-M298,100)+O298+ROW()*0.000000000001,"")</f>
        <v/>
      </c>
    </row>
    <row r="299" spans="12:17" x14ac:dyDescent="0.3">
      <c r="L299">
        <v>14</v>
      </c>
      <c r="M299">
        <v>11</v>
      </c>
      <c r="N299">
        <f>IF(L299+M299-1&lt;=$J$2,1,0)</f>
        <v>0</v>
      </c>
      <c r="O299" t="str">
        <f>IF(N299=1,_xlfn.STDEV.S(INDEX($J$5:$J$34,L299):INDEX($J$5:$J$34,L299+M299-1))/AVERAGE(INDEX($J$5:$J$34,L299):INDEX($J$5:$J$34,L299+M299-1)),"")</f>
        <v/>
      </c>
      <c r="P299" t="str">
        <f>IF(N299=1,IF(O299&lt;=SIM_COMBINACIONES!$B$5,1,0),"")</f>
        <v/>
      </c>
      <c r="Q299" t="str">
        <f>IF(N299=1,IF(P299=1,-M299,100)+O299+ROW()*0.000000000001,"")</f>
        <v/>
      </c>
    </row>
    <row r="300" spans="12:17" x14ac:dyDescent="0.3">
      <c r="L300">
        <v>14</v>
      </c>
      <c r="M300">
        <v>12</v>
      </c>
      <c r="N300">
        <f>IF(L300+M300-1&lt;=$J$2,1,0)</f>
        <v>0</v>
      </c>
      <c r="O300" t="str">
        <f>IF(N300=1,_xlfn.STDEV.S(INDEX($J$5:$J$34,L300):INDEX($J$5:$J$34,L300+M300-1))/AVERAGE(INDEX($J$5:$J$34,L300):INDEX($J$5:$J$34,L300+M300-1)),"")</f>
        <v/>
      </c>
      <c r="P300" t="str">
        <f>IF(N300=1,IF(O300&lt;=SIM_COMBINACIONES!$B$5,1,0),"")</f>
        <v/>
      </c>
      <c r="Q300" t="str">
        <f>IF(N300=1,IF(P300=1,-M300,100)+O300+ROW()*0.000000000001,"")</f>
        <v/>
      </c>
    </row>
    <row r="301" spans="12:17" x14ac:dyDescent="0.3">
      <c r="L301">
        <v>14</v>
      </c>
      <c r="M301">
        <v>13</v>
      </c>
      <c r="N301">
        <f>IF(L301+M301-1&lt;=$J$2,1,0)</f>
        <v>0</v>
      </c>
      <c r="O301" t="str">
        <f>IF(N301=1,_xlfn.STDEV.S(INDEX($J$5:$J$34,L301):INDEX($J$5:$J$34,L301+M301-1))/AVERAGE(INDEX($J$5:$J$34,L301):INDEX($J$5:$J$34,L301+M301-1)),"")</f>
        <v/>
      </c>
      <c r="P301" t="str">
        <f>IF(N301=1,IF(O301&lt;=SIM_COMBINACIONES!$B$5,1,0),"")</f>
        <v/>
      </c>
      <c r="Q301" t="str">
        <f>IF(N301=1,IF(P301=1,-M301,100)+O301+ROW()*0.000000000001,"")</f>
        <v/>
      </c>
    </row>
    <row r="302" spans="12:17" x14ac:dyDescent="0.3">
      <c r="L302">
        <v>14</v>
      </c>
      <c r="M302">
        <v>14</v>
      </c>
      <c r="N302">
        <f>IF(L302+M302-1&lt;=$J$2,1,0)</f>
        <v>0</v>
      </c>
      <c r="O302" t="str">
        <f>IF(N302=1,_xlfn.STDEV.S(INDEX($J$5:$J$34,L302):INDEX($J$5:$J$34,L302+M302-1))/AVERAGE(INDEX($J$5:$J$34,L302):INDEX($J$5:$J$34,L302+M302-1)),"")</f>
        <v/>
      </c>
      <c r="P302" t="str">
        <f>IF(N302=1,IF(O302&lt;=SIM_COMBINACIONES!$B$5,1,0),"")</f>
        <v/>
      </c>
      <c r="Q302" t="str">
        <f>IF(N302=1,IF(P302=1,-M302,100)+O302+ROW()*0.000000000001,"")</f>
        <v/>
      </c>
    </row>
    <row r="303" spans="12:17" x14ac:dyDescent="0.3">
      <c r="L303">
        <v>14</v>
      </c>
      <c r="M303">
        <v>15</v>
      </c>
      <c r="N303">
        <f>IF(L303+M303-1&lt;=$J$2,1,0)</f>
        <v>0</v>
      </c>
      <c r="O303" t="str">
        <f>IF(N303=1,_xlfn.STDEV.S(INDEX($J$5:$J$34,L303):INDEX($J$5:$J$34,L303+M303-1))/AVERAGE(INDEX($J$5:$J$34,L303):INDEX($J$5:$J$34,L303+M303-1)),"")</f>
        <v/>
      </c>
      <c r="P303" t="str">
        <f>IF(N303=1,IF(O303&lt;=SIM_COMBINACIONES!$B$5,1,0),"")</f>
        <v/>
      </c>
      <c r="Q303" t="str">
        <f>IF(N303=1,IF(P303=1,-M303,100)+O303+ROW()*0.000000000001,"")</f>
        <v/>
      </c>
    </row>
    <row r="304" spans="12:17" x14ac:dyDescent="0.3">
      <c r="L304">
        <v>14</v>
      </c>
      <c r="M304">
        <v>16</v>
      </c>
      <c r="N304">
        <f>IF(L304+M304-1&lt;=$J$2,1,0)</f>
        <v>0</v>
      </c>
      <c r="O304" t="str">
        <f>IF(N304=1,_xlfn.STDEV.S(INDEX($J$5:$J$34,L304):INDEX($J$5:$J$34,L304+M304-1))/AVERAGE(INDEX($J$5:$J$34,L304):INDEX($J$5:$J$34,L304+M304-1)),"")</f>
        <v/>
      </c>
      <c r="P304" t="str">
        <f>IF(N304=1,IF(O304&lt;=SIM_COMBINACIONES!$B$5,1,0),"")</f>
        <v/>
      </c>
      <c r="Q304" t="str">
        <f>IF(N304=1,IF(P304=1,-M304,100)+O304+ROW()*0.000000000001,"")</f>
        <v/>
      </c>
    </row>
    <row r="305" spans="12:17" x14ac:dyDescent="0.3">
      <c r="L305">
        <v>14</v>
      </c>
      <c r="M305">
        <v>17</v>
      </c>
      <c r="N305">
        <f>IF(L305+M305-1&lt;=$J$2,1,0)</f>
        <v>0</v>
      </c>
      <c r="O305" t="str">
        <f>IF(N305=1,_xlfn.STDEV.S(INDEX($J$5:$J$34,L305):INDEX($J$5:$J$34,L305+M305-1))/AVERAGE(INDEX($J$5:$J$34,L305):INDEX($J$5:$J$34,L305+M305-1)),"")</f>
        <v/>
      </c>
      <c r="P305" t="str">
        <f>IF(N305=1,IF(O305&lt;=SIM_COMBINACIONES!$B$5,1,0),"")</f>
        <v/>
      </c>
      <c r="Q305" t="str">
        <f>IF(N305=1,IF(P305=1,-M305,100)+O305+ROW()*0.000000000001,"")</f>
        <v/>
      </c>
    </row>
    <row r="306" spans="12:17" x14ac:dyDescent="0.3">
      <c r="L306">
        <v>15</v>
      </c>
      <c r="M306">
        <v>3</v>
      </c>
      <c r="N306">
        <f>IF(L306+M306-1&lt;=$J$2,1,0)</f>
        <v>0</v>
      </c>
      <c r="O306" t="str">
        <f>IF(N306=1,_xlfn.STDEV.S(INDEX($J$5:$J$34,L306):INDEX($J$5:$J$34,L306+M306-1))/AVERAGE(INDEX($J$5:$J$34,L306):INDEX($J$5:$J$34,L306+M306-1)),"")</f>
        <v/>
      </c>
      <c r="P306" t="str">
        <f>IF(N306=1,IF(O306&lt;=SIM_COMBINACIONES!$B$5,1,0),"")</f>
        <v/>
      </c>
      <c r="Q306" t="str">
        <f>IF(N306=1,IF(P306=1,-M306,100)+O306+ROW()*0.000000000001,"")</f>
        <v/>
      </c>
    </row>
    <row r="307" spans="12:17" x14ac:dyDescent="0.3">
      <c r="L307">
        <v>15</v>
      </c>
      <c r="M307">
        <v>4</v>
      </c>
      <c r="N307">
        <f>IF(L307+M307-1&lt;=$J$2,1,0)</f>
        <v>0</v>
      </c>
      <c r="O307" t="str">
        <f>IF(N307=1,_xlfn.STDEV.S(INDEX($J$5:$J$34,L307):INDEX($J$5:$J$34,L307+M307-1))/AVERAGE(INDEX($J$5:$J$34,L307):INDEX($J$5:$J$34,L307+M307-1)),"")</f>
        <v/>
      </c>
      <c r="P307" t="str">
        <f>IF(N307=1,IF(O307&lt;=SIM_COMBINACIONES!$B$5,1,0),"")</f>
        <v/>
      </c>
      <c r="Q307" t="str">
        <f>IF(N307=1,IF(P307=1,-M307,100)+O307+ROW()*0.000000000001,"")</f>
        <v/>
      </c>
    </row>
    <row r="308" spans="12:17" x14ac:dyDescent="0.3">
      <c r="L308">
        <v>15</v>
      </c>
      <c r="M308">
        <v>5</v>
      </c>
      <c r="N308">
        <f>IF(L308+M308-1&lt;=$J$2,1,0)</f>
        <v>0</v>
      </c>
      <c r="O308" t="str">
        <f>IF(N308=1,_xlfn.STDEV.S(INDEX($J$5:$J$34,L308):INDEX($J$5:$J$34,L308+M308-1))/AVERAGE(INDEX($J$5:$J$34,L308):INDEX($J$5:$J$34,L308+M308-1)),"")</f>
        <v/>
      </c>
      <c r="P308" t="str">
        <f>IF(N308=1,IF(O308&lt;=SIM_COMBINACIONES!$B$5,1,0),"")</f>
        <v/>
      </c>
      <c r="Q308" t="str">
        <f>IF(N308=1,IF(P308=1,-M308,100)+O308+ROW()*0.000000000001,"")</f>
        <v/>
      </c>
    </row>
    <row r="309" spans="12:17" x14ac:dyDescent="0.3">
      <c r="L309">
        <v>15</v>
      </c>
      <c r="M309">
        <v>6</v>
      </c>
      <c r="N309">
        <f>IF(L309+M309-1&lt;=$J$2,1,0)</f>
        <v>0</v>
      </c>
      <c r="O309" t="str">
        <f>IF(N309=1,_xlfn.STDEV.S(INDEX($J$5:$J$34,L309):INDEX($J$5:$J$34,L309+M309-1))/AVERAGE(INDEX($J$5:$J$34,L309):INDEX($J$5:$J$34,L309+M309-1)),"")</f>
        <v/>
      </c>
      <c r="P309" t="str">
        <f>IF(N309=1,IF(O309&lt;=SIM_COMBINACIONES!$B$5,1,0),"")</f>
        <v/>
      </c>
      <c r="Q309" t="str">
        <f>IF(N309=1,IF(P309=1,-M309,100)+O309+ROW()*0.000000000001,"")</f>
        <v/>
      </c>
    </row>
    <row r="310" spans="12:17" x14ac:dyDescent="0.3">
      <c r="L310">
        <v>15</v>
      </c>
      <c r="M310">
        <v>7</v>
      </c>
      <c r="N310">
        <f>IF(L310+M310-1&lt;=$J$2,1,0)</f>
        <v>0</v>
      </c>
      <c r="O310" t="str">
        <f>IF(N310=1,_xlfn.STDEV.S(INDEX($J$5:$J$34,L310):INDEX($J$5:$J$34,L310+M310-1))/AVERAGE(INDEX($J$5:$J$34,L310):INDEX($J$5:$J$34,L310+M310-1)),"")</f>
        <v/>
      </c>
      <c r="P310" t="str">
        <f>IF(N310=1,IF(O310&lt;=SIM_COMBINACIONES!$B$5,1,0),"")</f>
        <v/>
      </c>
      <c r="Q310" t="str">
        <f>IF(N310=1,IF(P310=1,-M310,100)+O310+ROW()*0.000000000001,"")</f>
        <v/>
      </c>
    </row>
    <row r="311" spans="12:17" x14ac:dyDescent="0.3">
      <c r="L311">
        <v>15</v>
      </c>
      <c r="M311">
        <v>8</v>
      </c>
      <c r="N311">
        <f>IF(L311+M311-1&lt;=$J$2,1,0)</f>
        <v>0</v>
      </c>
      <c r="O311" t="str">
        <f>IF(N311=1,_xlfn.STDEV.S(INDEX($J$5:$J$34,L311):INDEX($J$5:$J$34,L311+M311-1))/AVERAGE(INDEX($J$5:$J$34,L311):INDEX($J$5:$J$34,L311+M311-1)),"")</f>
        <v/>
      </c>
      <c r="P311" t="str">
        <f>IF(N311=1,IF(O311&lt;=SIM_COMBINACIONES!$B$5,1,0),"")</f>
        <v/>
      </c>
      <c r="Q311" t="str">
        <f>IF(N311=1,IF(P311=1,-M311,100)+O311+ROW()*0.000000000001,"")</f>
        <v/>
      </c>
    </row>
    <row r="312" spans="12:17" x14ac:dyDescent="0.3">
      <c r="L312">
        <v>15</v>
      </c>
      <c r="M312">
        <v>9</v>
      </c>
      <c r="N312">
        <f>IF(L312+M312-1&lt;=$J$2,1,0)</f>
        <v>0</v>
      </c>
      <c r="O312" t="str">
        <f>IF(N312=1,_xlfn.STDEV.S(INDEX($J$5:$J$34,L312):INDEX($J$5:$J$34,L312+M312-1))/AVERAGE(INDEX($J$5:$J$34,L312):INDEX($J$5:$J$34,L312+M312-1)),"")</f>
        <v/>
      </c>
      <c r="P312" t="str">
        <f>IF(N312=1,IF(O312&lt;=SIM_COMBINACIONES!$B$5,1,0),"")</f>
        <v/>
      </c>
      <c r="Q312" t="str">
        <f>IF(N312=1,IF(P312=1,-M312,100)+O312+ROW()*0.000000000001,"")</f>
        <v/>
      </c>
    </row>
    <row r="313" spans="12:17" x14ac:dyDescent="0.3">
      <c r="L313">
        <v>15</v>
      </c>
      <c r="M313">
        <v>10</v>
      </c>
      <c r="N313">
        <f>IF(L313+M313-1&lt;=$J$2,1,0)</f>
        <v>0</v>
      </c>
      <c r="O313" t="str">
        <f>IF(N313=1,_xlfn.STDEV.S(INDEX($J$5:$J$34,L313):INDEX($J$5:$J$34,L313+M313-1))/AVERAGE(INDEX($J$5:$J$34,L313):INDEX($J$5:$J$34,L313+M313-1)),"")</f>
        <v/>
      </c>
      <c r="P313" t="str">
        <f>IF(N313=1,IF(O313&lt;=SIM_COMBINACIONES!$B$5,1,0),"")</f>
        <v/>
      </c>
      <c r="Q313" t="str">
        <f>IF(N313=1,IF(P313=1,-M313,100)+O313+ROW()*0.000000000001,"")</f>
        <v/>
      </c>
    </row>
    <row r="314" spans="12:17" x14ac:dyDescent="0.3">
      <c r="L314">
        <v>15</v>
      </c>
      <c r="M314">
        <v>11</v>
      </c>
      <c r="N314">
        <f>IF(L314+M314-1&lt;=$J$2,1,0)</f>
        <v>0</v>
      </c>
      <c r="O314" t="str">
        <f>IF(N314=1,_xlfn.STDEV.S(INDEX($J$5:$J$34,L314):INDEX($J$5:$J$34,L314+M314-1))/AVERAGE(INDEX($J$5:$J$34,L314):INDEX($J$5:$J$34,L314+M314-1)),"")</f>
        <v/>
      </c>
      <c r="P314" t="str">
        <f>IF(N314=1,IF(O314&lt;=SIM_COMBINACIONES!$B$5,1,0),"")</f>
        <v/>
      </c>
      <c r="Q314" t="str">
        <f>IF(N314=1,IF(P314=1,-M314,100)+O314+ROW()*0.000000000001,"")</f>
        <v/>
      </c>
    </row>
    <row r="315" spans="12:17" x14ac:dyDescent="0.3">
      <c r="L315">
        <v>15</v>
      </c>
      <c r="M315">
        <v>12</v>
      </c>
      <c r="N315">
        <f>IF(L315+M315-1&lt;=$J$2,1,0)</f>
        <v>0</v>
      </c>
      <c r="O315" t="str">
        <f>IF(N315=1,_xlfn.STDEV.S(INDEX($J$5:$J$34,L315):INDEX($J$5:$J$34,L315+M315-1))/AVERAGE(INDEX($J$5:$J$34,L315):INDEX($J$5:$J$34,L315+M315-1)),"")</f>
        <v/>
      </c>
      <c r="P315" t="str">
        <f>IF(N315=1,IF(O315&lt;=SIM_COMBINACIONES!$B$5,1,0),"")</f>
        <v/>
      </c>
      <c r="Q315" t="str">
        <f>IF(N315=1,IF(P315=1,-M315,100)+O315+ROW()*0.000000000001,"")</f>
        <v/>
      </c>
    </row>
    <row r="316" spans="12:17" x14ac:dyDescent="0.3">
      <c r="L316">
        <v>15</v>
      </c>
      <c r="M316">
        <v>13</v>
      </c>
      <c r="N316">
        <f>IF(L316+M316-1&lt;=$J$2,1,0)</f>
        <v>0</v>
      </c>
      <c r="O316" t="str">
        <f>IF(N316=1,_xlfn.STDEV.S(INDEX($J$5:$J$34,L316):INDEX($J$5:$J$34,L316+M316-1))/AVERAGE(INDEX($J$5:$J$34,L316):INDEX($J$5:$J$34,L316+M316-1)),"")</f>
        <v/>
      </c>
      <c r="P316" t="str">
        <f>IF(N316=1,IF(O316&lt;=SIM_COMBINACIONES!$B$5,1,0),"")</f>
        <v/>
      </c>
      <c r="Q316" t="str">
        <f>IF(N316=1,IF(P316=1,-M316,100)+O316+ROW()*0.000000000001,"")</f>
        <v/>
      </c>
    </row>
    <row r="317" spans="12:17" x14ac:dyDescent="0.3">
      <c r="L317">
        <v>15</v>
      </c>
      <c r="M317">
        <v>14</v>
      </c>
      <c r="N317">
        <f>IF(L317+M317-1&lt;=$J$2,1,0)</f>
        <v>0</v>
      </c>
      <c r="O317" t="str">
        <f>IF(N317=1,_xlfn.STDEV.S(INDEX($J$5:$J$34,L317):INDEX($J$5:$J$34,L317+M317-1))/AVERAGE(INDEX($J$5:$J$34,L317):INDEX($J$5:$J$34,L317+M317-1)),"")</f>
        <v/>
      </c>
      <c r="P317" t="str">
        <f>IF(N317=1,IF(O317&lt;=SIM_COMBINACIONES!$B$5,1,0),"")</f>
        <v/>
      </c>
      <c r="Q317" t="str">
        <f>IF(N317=1,IF(P317=1,-M317,100)+O317+ROW()*0.000000000001,"")</f>
        <v/>
      </c>
    </row>
    <row r="318" spans="12:17" x14ac:dyDescent="0.3">
      <c r="L318">
        <v>15</v>
      </c>
      <c r="M318">
        <v>15</v>
      </c>
      <c r="N318">
        <f>IF(L318+M318-1&lt;=$J$2,1,0)</f>
        <v>0</v>
      </c>
      <c r="O318" t="str">
        <f>IF(N318=1,_xlfn.STDEV.S(INDEX($J$5:$J$34,L318):INDEX($J$5:$J$34,L318+M318-1))/AVERAGE(INDEX($J$5:$J$34,L318):INDEX($J$5:$J$34,L318+M318-1)),"")</f>
        <v/>
      </c>
      <c r="P318" t="str">
        <f>IF(N318=1,IF(O318&lt;=SIM_COMBINACIONES!$B$5,1,0),"")</f>
        <v/>
      </c>
      <c r="Q318" t="str">
        <f>IF(N318=1,IF(P318=1,-M318,100)+O318+ROW()*0.000000000001,"")</f>
        <v/>
      </c>
    </row>
    <row r="319" spans="12:17" x14ac:dyDescent="0.3">
      <c r="L319">
        <v>15</v>
      </c>
      <c r="M319">
        <v>16</v>
      </c>
      <c r="N319">
        <f>IF(L319+M319-1&lt;=$J$2,1,0)</f>
        <v>0</v>
      </c>
      <c r="O319" t="str">
        <f>IF(N319=1,_xlfn.STDEV.S(INDEX($J$5:$J$34,L319):INDEX($J$5:$J$34,L319+M319-1))/AVERAGE(INDEX($J$5:$J$34,L319):INDEX($J$5:$J$34,L319+M319-1)),"")</f>
        <v/>
      </c>
      <c r="P319" t="str">
        <f>IF(N319=1,IF(O319&lt;=SIM_COMBINACIONES!$B$5,1,0),"")</f>
        <v/>
      </c>
      <c r="Q319" t="str">
        <f>IF(N319=1,IF(P319=1,-M319,100)+O319+ROW()*0.000000000001,"")</f>
        <v/>
      </c>
    </row>
    <row r="320" spans="12:17" x14ac:dyDescent="0.3">
      <c r="L320">
        <v>16</v>
      </c>
      <c r="M320">
        <v>3</v>
      </c>
      <c r="N320">
        <f>IF(L320+M320-1&lt;=$J$2,1,0)</f>
        <v>0</v>
      </c>
      <c r="O320" t="str">
        <f>IF(N320=1,_xlfn.STDEV.S(INDEX($J$5:$J$34,L320):INDEX($J$5:$J$34,L320+M320-1))/AVERAGE(INDEX($J$5:$J$34,L320):INDEX($J$5:$J$34,L320+M320-1)),"")</f>
        <v/>
      </c>
      <c r="P320" t="str">
        <f>IF(N320=1,IF(O320&lt;=SIM_COMBINACIONES!$B$5,1,0),"")</f>
        <v/>
      </c>
      <c r="Q320" t="str">
        <f>IF(N320=1,IF(P320=1,-M320,100)+O320+ROW()*0.000000000001,"")</f>
        <v/>
      </c>
    </row>
    <row r="321" spans="12:17" x14ac:dyDescent="0.3">
      <c r="L321">
        <v>16</v>
      </c>
      <c r="M321">
        <v>4</v>
      </c>
      <c r="N321">
        <f>IF(L321+M321-1&lt;=$J$2,1,0)</f>
        <v>0</v>
      </c>
      <c r="O321" t="str">
        <f>IF(N321=1,_xlfn.STDEV.S(INDEX($J$5:$J$34,L321):INDEX($J$5:$J$34,L321+M321-1))/AVERAGE(INDEX($J$5:$J$34,L321):INDEX($J$5:$J$34,L321+M321-1)),"")</f>
        <v/>
      </c>
      <c r="P321" t="str">
        <f>IF(N321=1,IF(O321&lt;=SIM_COMBINACIONES!$B$5,1,0),"")</f>
        <v/>
      </c>
      <c r="Q321" t="str">
        <f>IF(N321=1,IF(P321=1,-M321,100)+O321+ROW()*0.000000000001,"")</f>
        <v/>
      </c>
    </row>
    <row r="322" spans="12:17" x14ac:dyDescent="0.3">
      <c r="L322">
        <v>16</v>
      </c>
      <c r="M322">
        <v>5</v>
      </c>
      <c r="N322">
        <f>IF(L322+M322-1&lt;=$J$2,1,0)</f>
        <v>0</v>
      </c>
      <c r="O322" t="str">
        <f>IF(N322=1,_xlfn.STDEV.S(INDEX($J$5:$J$34,L322):INDEX($J$5:$J$34,L322+M322-1))/AVERAGE(INDEX($J$5:$J$34,L322):INDEX($J$5:$J$34,L322+M322-1)),"")</f>
        <v/>
      </c>
      <c r="P322" t="str">
        <f>IF(N322=1,IF(O322&lt;=SIM_COMBINACIONES!$B$5,1,0),"")</f>
        <v/>
      </c>
      <c r="Q322" t="str">
        <f>IF(N322=1,IF(P322=1,-M322,100)+O322+ROW()*0.000000000001,"")</f>
        <v/>
      </c>
    </row>
    <row r="323" spans="12:17" x14ac:dyDescent="0.3">
      <c r="L323">
        <v>16</v>
      </c>
      <c r="M323">
        <v>6</v>
      </c>
      <c r="N323">
        <f>IF(L323+M323-1&lt;=$J$2,1,0)</f>
        <v>0</v>
      </c>
      <c r="O323" t="str">
        <f>IF(N323=1,_xlfn.STDEV.S(INDEX($J$5:$J$34,L323):INDEX($J$5:$J$34,L323+M323-1))/AVERAGE(INDEX($J$5:$J$34,L323):INDEX($J$5:$J$34,L323+M323-1)),"")</f>
        <v/>
      </c>
      <c r="P323" t="str">
        <f>IF(N323=1,IF(O323&lt;=SIM_COMBINACIONES!$B$5,1,0),"")</f>
        <v/>
      </c>
      <c r="Q323" t="str">
        <f>IF(N323=1,IF(P323=1,-M323,100)+O323+ROW()*0.000000000001,"")</f>
        <v/>
      </c>
    </row>
    <row r="324" spans="12:17" x14ac:dyDescent="0.3">
      <c r="L324">
        <v>16</v>
      </c>
      <c r="M324">
        <v>7</v>
      </c>
      <c r="N324">
        <f>IF(L324+M324-1&lt;=$J$2,1,0)</f>
        <v>0</v>
      </c>
      <c r="O324" t="str">
        <f>IF(N324=1,_xlfn.STDEV.S(INDEX($J$5:$J$34,L324):INDEX($J$5:$J$34,L324+M324-1))/AVERAGE(INDEX($J$5:$J$34,L324):INDEX($J$5:$J$34,L324+M324-1)),"")</f>
        <v/>
      </c>
      <c r="P324" t="str">
        <f>IF(N324=1,IF(O324&lt;=SIM_COMBINACIONES!$B$5,1,0),"")</f>
        <v/>
      </c>
      <c r="Q324" t="str">
        <f>IF(N324=1,IF(P324=1,-M324,100)+O324+ROW()*0.000000000001,"")</f>
        <v/>
      </c>
    </row>
    <row r="325" spans="12:17" x14ac:dyDescent="0.3">
      <c r="L325">
        <v>16</v>
      </c>
      <c r="M325">
        <v>8</v>
      </c>
      <c r="N325">
        <f>IF(L325+M325-1&lt;=$J$2,1,0)</f>
        <v>0</v>
      </c>
      <c r="O325" t="str">
        <f>IF(N325=1,_xlfn.STDEV.S(INDEX($J$5:$J$34,L325):INDEX($J$5:$J$34,L325+M325-1))/AVERAGE(INDEX($J$5:$J$34,L325):INDEX($J$5:$J$34,L325+M325-1)),"")</f>
        <v/>
      </c>
      <c r="P325" t="str">
        <f>IF(N325=1,IF(O325&lt;=SIM_COMBINACIONES!$B$5,1,0),"")</f>
        <v/>
      </c>
      <c r="Q325" t="str">
        <f>IF(N325=1,IF(P325=1,-M325,100)+O325+ROW()*0.000000000001,"")</f>
        <v/>
      </c>
    </row>
    <row r="326" spans="12:17" x14ac:dyDescent="0.3">
      <c r="L326">
        <v>16</v>
      </c>
      <c r="M326">
        <v>9</v>
      </c>
      <c r="N326">
        <f>IF(L326+M326-1&lt;=$J$2,1,0)</f>
        <v>0</v>
      </c>
      <c r="O326" t="str">
        <f>IF(N326=1,_xlfn.STDEV.S(INDEX($J$5:$J$34,L326):INDEX($J$5:$J$34,L326+M326-1))/AVERAGE(INDEX($J$5:$J$34,L326):INDEX($J$5:$J$34,L326+M326-1)),"")</f>
        <v/>
      </c>
      <c r="P326" t="str">
        <f>IF(N326=1,IF(O326&lt;=SIM_COMBINACIONES!$B$5,1,0),"")</f>
        <v/>
      </c>
      <c r="Q326" t="str">
        <f>IF(N326=1,IF(P326=1,-M326,100)+O326+ROW()*0.000000000001,"")</f>
        <v/>
      </c>
    </row>
    <row r="327" spans="12:17" x14ac:dyDescent="0.3">
      <c r="L327">
        <v>16</v>
      </c>
      <c r="M327">
        <v>10</v>
      </c>
      <c r="N327">
        <f>IF(L327+M327-1&lt;=$J$2,1,0)</f>
        <v>0</v>
      </c>
      <c r="O327" t="str">
        <f>IF(N327=1,_xlfn.STDEV.S(INDEX($J$5:$J$34,L327):INDEX($J$5:$J$34,L327+M327-1))/AVERAGE(INDEX($J$5:$J$34,L327):INDEX($J$5:$J$34,L327+M327-1)),"")</f>
        <v/>
      </c>
      <c r="P327" t="str">
        <f>IF(N327=1,IF(O327&lt;=SIM_COMBINACIONES!$B$5,1,0),"")</f>
        <v/>
      </c>
      <c r="Q327" t="str">
        <f>IF(N327=1,IF(P327=1,-M327,100)+O327+ROW()*0.000000000001,"")</f>
        <v/>
      </c>
    </row>
    <row r="328" spans="12:17" x14ac:dyDescent="0.3">
      <c r="L328">
        <v>16</v>
      </c>
      <c r="M328">
        <v>11</v>
      </c>
      <c r="N328">
        <f>IF(L328+M328-1&lt;=$J$2,1,0)</f>
        <v>0</v>
      </c>
      <c r="O328" t="str">
        <f>IF(N328=1,_xlfn.STDEV.S(INDEX($J$5:$J$34,L328):INDEX($J$5:$J$34,L328+M328-1))/AVERAGE(INDEX($J$5:$J$34,L328):INDEX($J$5:$J$34,L328+M328-1)),"")</f>
        <v/>
      </c>
      <c r="P328" t="str">
        <f>IF(N328=1,IF(O328&lt;=SIM_COMBINACIONES!$B$5,1,0),"")</f>
        <v/>
      </c>
      <c r="Q328" t="str">
        <f>IF(N328=1,IF(P328=1,-M328,100)+O328+ROW()*0.000000000001,"")</f>
        <v/>
      </c>
    </row>
    <row r="329" spans="12:17" x14ac:dyDescent="0.3">
      <c r="L329">
        <v>16</v>
      </c>
      <c r="M329">
        <v>12</v>
      </c>
      <c r="N329">
        <f>IF(L329+M329-1&lt;=$J$2,1,0)</f>
        <v>0</v>
      </c>
      <c r="O329" t="str">
        <f>IF(N329=1,_xlfn.STDEV.S(INDEX($J$5:$J$34,L329):INDEX($J$5:$J$34,L329+M329-1))/AVERAGE(INDEX($J$5:$J$34,L329):INDEX($J$5:$J$34,L329+M329-1)),"")</f>
        <v/>
      </c>
      <c r="P329" t="str">
        <f>IF(N329=1,IF(O329&lt;=SIM_COMBINACIONES!$B$5,1,0),"")</f>
        <v/>
      </c>
      <c r="Q329" t="str">
        <f>IF(N329=1,IF(P329=1,-M329,100)+O329+ROW()*0.000000000001,"")</f>
        <v/>
      </c>
    </row>
    <row r="330" spans="12:17" x14ac:dyDescent="0.3">
      <c r="L330">
        <v>16</v>
      </c>
      <c r="M330">
        <v>13</v>
      </c>
      <c r="N330">
        <f>IF(L330+M330-1&lt;=$J$2,1,0)</f>
        <v>0</v>
      </c>
      <c r="O330" t="str">
        <f>IF(N330=1,_xlfn.STDEV.S(INDEX($J$5:$J$34,L330):INDEX($J$5:$J$34,L330+M330-1))/AVERAGE(INDEX($J$5:$J$34,L330):INDEX($J$5:$J$34,L330+M330-1)),"")</f>
        <v/>
      </c>
      <c r="P330" t="str">
        <f>IF(N330=1,IF(O330&lt;=SIM_COMBINACIONES!$B$5,1,0),"")</f>
        <v/>
      </c>
      <c r="Q330" t="str">
        <f>IF(N330=1,IF(P330=1,-M330,100)+O330+ROW()*0.000000000001,"")</f>
        <v/>
      </c>
    </row>
    <row r="331" spans="12:17" x14ac:dyDescent="0.3">
      <c r="L331">
        <v>16</v>
      </c>
      <c r="M331">
        <v>14</v>
      </c>
      <c r="N331">
        <f>IF(L331+M331-1&lt;=$J$2,1,0)</f>
        <v>0</v>
      </c>
      <c r="O331" t="str">
        <f>IF(N331=1,_xlfn.STDEV.S(INDEX($J$5:$J$34,L331):INDEX($J$5:$J$34,L331+M331-1))/AVERAGE(INDEX($J$5:$J$34,L331):INDEX($J$5:$J$34,L331+M331-1)),"")</f>
        <v/>
      </c>
      <c r="P331" t="str">
        <f>IF(N331=1,IF(O331&lt;=SIM_COMBINACIONES!$B$5,1,0),"")</f>
        <v/>
      </c>
      <c r="Q331" t="str">
        <f>IF(N331=1,IF(P331=1,-M331,100)+O331+ROW()*0.000000000001,"")</f>
        <v/>
      </c>
    </row>
    <row r="332" spans="12:17" x14ac:dyDescent="0.3">
      <c r="L332">
        <v>16</v>
      </c>
      <c r="M332">
        <v>15</v>
      </c>
      <c r="N332">
        <f>IF(L332+M332-1&lt;=$J$2,1,0)</f>
        <v>0</v>
      </c>
      <c r="O332" t="str">
        <f>IF(N332=1,_xlfn.STDEV.S(INDEX($J$5:$J$34,L332):INDEX($J$5:$J$34,L332+M332-1))/AVERAGE(INDEX($J$5:$J$34,L332):INDEX($J$5:$J$34,L332+M332-1)),"")</f>
        <v/>
      </c>
      <c r="P332" t="str">
        <f>IF(N332=1,IF(O332&lt;=SIM_COMBINACIONES!$B$5,1,0),"")</f>
        <v/>
      </c>
      <c r="Q332" t="str">
        <f>IF(N332=1,IF(P332=1,-M332,100)+O332+ROW()*0.000000000001,"")</f>
        <v/>
      </c>
    </row>
    <row r="333" spans="12:17" x14ac:dyDescent="0.3">
      <c r="L333">
        <v>17</v>
      </c>
      <c r="M333">
        <v>3</v>
      </c>
      <c r="N333">
        <f>IF(L333+M333-1&lt;=$J$2,1,0)</f>
        <v>0</v>
      </c>
      <c r="O333" t="str">
        <f>IF(N333=1,_xlfn.STDEV.S(INDEX($J$5:$J$34,L333):INDEX($J$5:$J$34,L333+M333-1))/AVERAGE(INDEX($J$5:$J$34,L333):INDEX($J$5:$J$34,L333+M333-1)),"")</f>
        <v/>
      </c>
      <c r="P333" t="str">
        <f>IF(N333=1,IF(O333&lt;=SIM_COMBINACIONES!$B$5,1,0),"")</f>
        <v/>
      </c>
      <c r="Q333" t="str">
        <f>IF(N333=1,IF(P333=1,-M333,100)+O333+ROW()*0.000000000001,"")</f>
        <v/>
      </c>
    </row>
    <row r="334" spans="12:17" x14ac:dyDescent="0.3">
      <c r="L334">
        <v>17</v>
      </c>
      <c r="M334">
        <v>4</v>
      </c>
      <c r="N334">
        <f>IF(L334+M334-1&lt;=$J$2,1,0)</f>
        <v>0</v>
      </c>
      <c r="O334" t="str">
        <f>IF(N334=1,_xlfn.STDEV.S(INDEX($J$5:$J$34,L334):INDEX($J$5:$J$34,L334+M334-1))/AVERAGE(INDEX($J$5:$J$34,L334):INDEX($J$5:$J$34,L334+M334-1)),"")</f>
        <v/>
      </c>
      <c r="P334" t="str">
        <f>IF(N334=1,IF(O334&lt;=SIM_COMBINACIONES!$B$5,1,0),"")</f>
        <v/>
      </c>
      <c r="Q334" t="str">
        <f>IF(N334=1,IF(P334=1,-M334,100)+O334+ROW()*0.000000000001,"")</f>
        <v/>
      </c>
    </row>
    <row r="335" spans="12:17" x14ac:dyDescent="0.3">
      <c r="L335">
        <v>17</v>
      </c>
      <c r="M335">
        <v>5</v>
      </c>
      <c r="N335">
        <f>IF(L335+M335-1&lt;=$J$2,1,0)</f>
        <v>0</v>
      </c>
      <c r="O335" t="str">
        <f>IF(N335=1,_xlfn.STDEV.S(INDEX($J$5:$J$34,L335):INDEX($J$5:$J$34,L335+M335-1))/AVERAGE(INDEX($J$5:$J$34,L335):INDEX($J$5:$J$34,L335+M335-1)),"")</f>
        <v/>
      </c>
      <c r="P335" t="str">
        <f>IF(N335=1,IF(O335&lt;=SIM_COMBINACIONES!$B$5,1,0),"")</f>
        <v/>
      </c>
      <c r="Q335" t="str">
        <f>IF(N335=1,IF(P335=1,-M335,100)+O335+ROW()*0.000000000001,"")</f>
        <v/>
      </c>
    </row>
    <row r="336" spans="12:17" x14ac:dyDescent="0.3">
      <c r="L336">
        <v>17</v>
      </c>
      <c r="M336">
        <v>6</v>
      </c>
      <c r="N336">
        <f>IF(L336+M336-1&lt;=$J$2,1,0)</f>
        <v>0</v>
      </c>
      <c r="O336" t="str">
        <f>IF(N336=1,_xlfn.STDEV.S(INDEX($J$5:$J$34,L336):INDEX($J$5:$J$34,L336+M336-1))/AVERAGE(INDEX($J$5:$J$34,L336):INDEX($J$5:$J$34,L336+M336-1)),"")</f>
        <v/>
      </c>
      <c r="P336" t="str">
        <f>IF(N336=1,IF(O336&lt;=SIM_COMBINACIONES!$B$5,1,0),"")</f>
        <v/>
      </c>
      <c r="Q336" t="str">
        <f>IF(N336=1,IF(P336=1,-M336,100)+O336+ROW()*0.000000000001,"")</f>
        <v/>
      </c>
    </row>
    <row r="337" spans="12:17" x14ac:dyDescent="0.3">
      <c r="L337">
        <v>17</v>
      </c>
      <c r="M337">
        <v>7</v>
      </c>
      <c r="N337">
        <f>IF(L337+M337-1&lt;=$J$2,1,0)</f>
        <v>0</v>
      </c>
      <c r="O337" t="str">
        <f>IF(N337=1,_xlfn.STDEV.S(INDEX($J$5:$J$34,L337):INDEX($J$5:$J$34,L337+M337-1))/AVERAGE(INDEX($J$5:$J$34,L337):INDEX($J$5:$J$34,L337+M337-1)),"")</f>
        <v/>
      </c>
      <c r="P337" t="str">
        <f>IF(N337=1,IF(O337&lt;=SIM_COMBINACIONES!$B$5,1,0),"")</f>
        <v/>
      </c>
      <c r="Q337" t="str">
        <f>IF(N337=1,IF(P337=1,-M337,100)+O337+ROW()*0.000000000001,"")</f>
        <v/>
      </c>
    </row>
    <row r="338" spans="12:17" x14ac:dyDescent="0.3">
      <c r="L338">
        <v>17</v>
      </c>
      <c r="M338">
        <v>8</v>
      </c>
      <c r="N338">
        <f>IF(L338+M338-1&lt;=$J$2,1,0)</f>
        <v>0</v>
      </c>
      <c r="O338" t="str">
        <f>IF(N338=1,_xlfn.STDEV.S(INDEX($J$5:$J$34,L338):INDEX($J$5:$J$34,L338+M338-1))/AVERAGE(INDEX($J$5:$J$34,L338):INDEX($J$5:$J$34,L338+M338-1)),"")</f>
        <v/>
      </c>
      <c r="P338" t="str">
        <f>IF(N338=1,IF(O338&lt;=SIM_COMBINACIONES!$B$5,1,0),"")</f>
        <v/>
      </c>
      <c r="Q338" t="str">
        <f>IF(N338=1,IF(P338=1,-M338,100)+O338+ROW()*0.000000000001,"")</f>
        <v/>
      </c>
    </row>
    <row r="339" spans="12:17" x14ac:dyDescent="0.3">
      <c r="L339">
        <v>17</v>
      </c>
      <c r="M339">
        <v>9</v>
      </c>
      <c r="N339">
        <f>IF(L339+M339-1&lt;=$J$2,1,0)</f>
        <v>0</v>
      </c>
      <c r="O339" t="str">
        <f>IF(N339=1,_xlfn.STDEV.S(INDEX($J$5:$J$34,L339):INDEX($J$5:$J$34,L339+M339-1))/AVERAGE(INDEX($J$5:$J$34,L339):INDEX($J$5:$J$34,L339+M339-1)),"")</f>
        <v/>
      </c>
      <c r="P339" t="str">
        <f>IF(N339=1,IF(O339&lt;=SIM_COMBINACIONES!$B$5,1,0),"")</f>
        <v/>
      </c>
      <c r="Q339" t="str">
        <f>IF(N339=1,IF(P339=1,-M339,100)+O339+ROW()*0.000000000001,"")</f>
        <v/>
      </c>
    </row>
    <row r="340" spans="12:17" x14ac:dyDescent="0.3">
      <c r="L340">
        <v>17</v>
      </c>
      <c r="M340">
        <v>10</v>
      </c>
      <c r="N340">
        <f>IF(L340+M340-1&lt;=$J$2,1,0)</f>
        <v>0</v>
      </c>
      <c r="O340" t="str">
        <f>IF(N340=1,_xlfn.STDEV.S(INDEX($J$5:$J$34,L340):INDEX($J$5:$J$34,L340+M340-1))/AVERAGE(INDEX($J$5:$J$34,L340):INDEX($J$5:$J$34,L340+M340-1)),"")</f>
        <v/>
      </c>
      <c r="P340" t="str">
        <f>IF(N340=1,IF(O340&lt;=SIM_COMBINACIONES!$B$5,1,0),"")</f>
        <v/>
      </c>
      <c r="Q340" t="str">
        <f>IF(N340=1,IF(P340=1,-M340,100)+O340+ROW()*0.000000000001,"")</f>
        <v/>
      </c>
    </row>
    <row r="341" spans="12:17" x14ac:dyDescent="0.3">
      <c r="L341">
        <v>17</v>
      </c>
      <c r="M341">
        <v>11</v>
      </c>
      <c r="N341">
        <f>IF(L341+M341-1&lt;=$J$2,1,0)</f>
        <v>0</v>
      </c>
      <c r="O341" t="str">
        <f>IF(N341=1,_xlfn.STDEV.S(INDEX($J$5:$J$34,L341):INDEX($J$5:$J$34,L341+M341-1))/AVERAGE(INDEX($J$5:$J$34,L341):INDEX($J$5:$J$34,L341+M341-1)),"")</f>
        <v/>
      </c>
      <c r="P341" t="str">
        <f>IF(N341=1,IF(O341&lt;=SIM_COMBINACIONES!$B$5,1,0),"")</f>
        <v/>
      </c>
      <c r="Q341" t="str">
        <f>IF(N341=1,IF(P341=1,-M341,100)+O341+ROW()*0.000000000001,"")</f>
        <v/>
      </c>
    </row>
    <row r="342" spans="12:17" x14ac:dyDescent="0.3">
      <c r="L342">
        <v>17</v>
      </c>
      <c r="M342">
        <v>12</v>
      </c>
      <c r="N342">
        <f>IF(L342+M342-1&lt;=$J$2,1,0)</f>
        <v>0</v>
      </c>
      <c r="O342" t="str">
        <f>IF(N342=1,_xlfn.STDEV.S(INDEX($J$5:$J$34,L342):INDEX($J$5:$J$34,L342+M342-1))/AVERAGE(INDEX($J$5:$J$34,L342):INDEX($J$5:$J$34,L342+M342-1)),"")</f>
        <v/>
      </c>
      <c r="P342" t="str">
        <f>IF(N342=1,IF(O342&lt;=SIM_COMBINACIONES!$B$5,1,0),"")</f>
        <v/>
      </c>
      <c r="Q342" t="str">
        <f>IF(N342=1,IF(P342=1,-M342,100)+O342+ROW()*0.000000000001,"")</f>
        <v/>
      </c>
    </row>
    <row r="343" spans="12:17" x14ac:dyDescent="0.3">
      <c r="L343">
        <v>17</v>
      </c>
      <c r="M343">
        <v>13</v>
      </c>
      <c r="N343">
        <f>IF(L343+M343-1&lt;=$J$2,1,0)</f>
        <v>0</v>
      </c>
      <c r="O343" t="str">
        <f>IF(N343=1,_xlfn.STDEV.S(INDEX($J$5:$J$34,L343):INDEX($J$5:$J$34,L343+M343-1))/AVERAGE(INDEX($J$5:$J$34,L343):INDEX($J$5:$J$34,L343+M343-1)),"")</f>
        <v/>
      </c>
      <c r="P343" t="str">
        <f>IF(N343=1,IF(O343&lt;=SIM_COMBINACIONES!$B$5,1,0),"")</f>
        <v/>
      </c>
      <c r="Q343" t="str">
        <f>IF(N343=1,IF(P343=1,-M343,100)+O343+ROW()*0.000000000001,"")</f>
        <v/>
      </c>
    </row>
    <row r="344" spans="12:17" x14ac:dyDescent="0.3">
      <c r="L344">
        <v>17</v>
      </c>
      <c r="M344">
        <v>14</v>
      </c>
      <c r="N344">
        <f>IF(L344+M344-1&lt;=$J$2,1,0)</f>
        <v>0</v>
      </c>
      <c r="O344" t="str">
        <f>IF(N344=1,_xlfn.STDEV.S(INDEX($J$5:$J$34,L344):INDEX($J$5:$J$34,L344+M344-1))/AVERAGE(INDEX($J$5:$J$34,L344):INDEX($J$5:$J$34,L344+M344-1)),"")</f>
        <v/>
      </c>
      <c r="P344" t="str">
        <f>IF(N344=1,IF(O344&lt;=SIM_COMBINACIONES!$B$5,1,0),"")</f>
        <v/>
      </c>
      <c r="Q344" t="str">
        <f>IF(N344=1,IF(P344=1,-M344,100)+O344+ROW()*0.000000000001,"")</f>
        <v/>
      </c>
    </row>
    <row r="345" spans="12:17" x14ac:dyDescent="0.3">
      <c r="L345">
        <v>18</v>
      </c>
      <c r="M345">
        <v>3</v>
      </c>
      <c r="N345">
        <f>IF(L345+M345-1&lt;=$J$2,1,0)</f>
        <v>0</v>
      </c>
      <c r="O345" t="str">
        <f>IF(N345=1,_xlfn.STDEV.S(INDEX($J$5:$J$34,L345):INDEX($J$5:$J$34,L345+M345-1))/AVERAGE(INDEX($J$5:$J$34,L345):INDEX($J$5:$J$34,L345+M345-1)),"")</f>
        <v/>
      </c>
      <c r="P345" t="str">
        <f>IF(N345=1,IF(O345&lt;=SIM_COMBINACIONES!$B$5,1,0),"")</f>
        <v/>
      </c>
      <c r="Q345" t="str">
        <f>IF(N345=1,IF(P345=1,-M345,100)+O345+ROW()*0.000000000001,"")</f>
        <v/>
      </c>
    </row>
    <row r="346" spans="12:17" x14ac:dyDescent="0.3">
      <c r="L346">
        <v>18</v>
      </c>
      <c r="M346">
        <v>4</v>
      </c>
      <c r="N346">
        <f>IF(L346+M346-1&lt;=$J$2,1,0)</f>
        <v>0</v>
      </c>
      <c r="O346" t="str">
        <f>IF(N346=1,_xlfn.STDEV.S(INDEX($J$5:$J$34,L346):INDEX($J$5:$J$34,L346+M346-1))/AVERAGE(INDEX($J$5:$J$34,L346):INDEX($J$5:$J$34,L346+M346-1)),"")</f>
        <v/>
      </c>
      <c r="P346" t="str">
        <f>IF(N346=1,IF(O346&lt;=SIM_COMBINACIONES!$B$5,1,0),"")</f>
        <v/>
      </c>
      <c r="Q346" t="str">
        <f>IF(N346=1,IF(P346=1,-M346,100)+O346+ROW()*0.000000000001,"")</f>
        <v/>
      </c>
    </row>
    <row r="347" spans="12:17" x14ac:dyDescent="0.3">
      <c r="L347">
        <v>18</v>
      </c>
      <c r="M347">
        <v>5</v>
      </c>
      <c r="N347">
        <f>IF(L347+M347-1&lt;=$J$2,1,0)</f>
        <v>0</v>
      </c>
      <c r="O347" t="str">
        <f>IF(N347=1,_xlfn.STDEV.S(INDEX($J$5:$J$34,L347):INDEX($J$5:$J$34,L347+M347-1))/AVERAGE(INDEX($J$5:$J$34,L347):INDEX($J$5:$J$34,L347+M347-1)),"")</f>
        <v/>
      </c>
      <c r="P347" t="str">
        <f>IF(N347=1,IF(O347&lt;=SIM_COMBINACIONES!$B$5,1,0),"")</f>
        <v/>
      </c>
      <c r="Q347" t="str">
        <f>IF(N347=1,IF(P347=1,-M347,100)+O347+ROW()*0.000000000001,"")</f>
        <v/>
      </c>
    </row>
    <row r="348" spans="12:17" x14ac:dyDescent="0.3">
      <c r="L348">
        <v>18</v>
      </c>
      <c r="M348">
        <v>6</v>
      </c>
      <c r="N348">
        <f>IF(L348+M348-1&lt;=$J$2,1,0)</f>
        <v>0</v>
      </c>
      <c r="O348" t="str">
        <f>IF(N348=1,_xlfn.STDEV.S(INDEX($J$5:$J$34,L348):INDEX($J$5:$J$34,L348+M348-1))/AVERAGE(INDEX($J$5:$J$34,L348):INDEX($J$5:$J$34,L348+M348-1)),"")</f>
        <v/>
      </c>
      <c r="P348" t="str">
        <f>IF(N348=1,IF(O348&lt;=SIM_COMBINACIONES!$B$5,1,0),"")</f>
        <v/>
      </c>
      <c r="Q348" t="str">
        <f>IF(N348=1,IF(P348=1,-M348,100)+O348+ROW()*0.000000000001,"")</f>
        <v/>
      </c>
    </row>
    <row r="349" spans="12:17" x14ac:dyDescent="0.3">
      <c r="L349">
        <v>18</v>
      </c>
      <c r="M349">
        <v>7</v>
      </c>
      <c r="N349">
        <f>IF(L349+M349-1&lt;=$J$2,1,0)</f>
        <v>0</v>
      </c>
      <c r="O349" t="str">
        <f>IF(N349=1,_xlfn.STDEV.S(INDEX($J$5:$J$34,L349):INDEX($J$5:$J$34,L349+M349-1))/AVERAGE(INDEX($J$5:$J$34,L349):INDEX($J$5:$J$34,L349+M349-1)),"")</f>
        <v/>
      </c>
      <c r="P349" t="str">
        <f>IF(N349=1,IF(O349&lt;=SIM_COMBINACIONES!$B$5,1,0),"")</f>
        <v/>
      </c>
      <c r="Q349" t="str">
        <f>IF(N349=1,IF(P349=1,-M349,100)+O349+ROW()*0.000000000001,"")</f>
        <v/>
      </c>
    </row>
    <row r="350" spans="12:17" x14ac:dyDescent="0.3">
      <c r="L350">
        <v>18</v>
      </c>
      <c r="M350">
        <v>8</v>
      </c>
      <c r="N350">
        <f>IF(L350+M350-1&lt;=$J$2,1,0)</f>
        <v>0</v>
      </c>
      <c r="O350" t="str">
        <f>IF(N350=1,_xlfn.STDEV.S(INDEX($J$5:$J$34,L350):INDEX($J$5:$J$34,L350+M350-1))/AVERAGE(INDEX($J$5:$J$34,L350):INDEX($J$5:$J$34,L350+M350-1)),"")</f>
        <v/>
      </c>
      <c r="P350" t="str">
        <f>IF(N350=1,IF(O350&lt;=SIM_COMBINACIONES!$B$5,1,0),"")</f>
        <v/>
      </c>
      <c r="Q350" t="str">
        <f>IF(N350=1,IF(P350=1,-M350,100)+O350+ROW()*0.000000000001,"")</f>
        <v/>
      </c>
    </row>
    <row r="351" spans="12:17" x14ac:dyDescent="0.3">
      <c r="L351">
        <v>18</v>
      </c>
      <c r="M351">
        <v>9</v>
      </c>
      <c r="N351">
        <f>IF(L351+M351-1&lt;=$J$2,1,0)</f>
        <v>0</v>
      </c>
      <c r="O351" t="str">
        <f>IF(N351=1,_xlfn.STDEV.S(INDEX($J$5:$J$34,L351):INDEX($J$5:$J$34,L351+M351-1))/AVERAGE(INDEX($J$5:$J$34,L351):INDEX($J$5:$J$34,L351+M351-1)),"")</f>
        <v/>
      </c>
      <c r="P351" t="str">
        <f>IF(N351=1,IF(O351&lt;=SIM_COMBINACIONES!$B$5,1,0),"")</f>
        <v/>
      </c>
      <c r="Q351" t="str">
        <f>IF(N351=1,IF(P351=1,-M351,100)+O351+ROW()*0.000000000001,"")</f>
        <v/>
      </c>
    </row>
    <row r="352" spans="12:17" x14ac:dyDescent="0.3">
      <c r="L352">
        <v>18</v>
      </c>
      <c r="M352">
        <v>10</v>
      </c>
      <c r="N352">
        <f>IF(L352+M352-1&lt;=$J$2,1,0)</f>
        <v>0</v>
      </c>
      <c r="O352" t="str">
        <f>IF(N352=1,_xlfn.STDEV.S(INDEX($J$5:$J$34,L352):INDEX($J$5:$J$34,L352+M352-1))/AVERAGE(INDEX($J$5:$J$34,L352):INDEX($J$5:$J$34,L352+M352-1)),"")</f>
        <v/>
      </c>
      <c r="P352" t="str">
        <f>IF(N352=1,IF(O352&lt;=SIM_COMBINACIONES!$B$5,1,0),"")</f>
        <v/>
      </c>
      <c r="Q352" t="str">
        <f>IF(N352=1,IF(P352=1,-M352,100)+O352+ROW()*0.000000000001,"")</f>
        <v/>
      </c>
    </row>
    <row r="353" spans="12:17" x14ac:dyDescent="0.3">
      <c r="L353">
        <v>18</v>
      </c>
      <c r="M353">
        <v>11</v>
      </c>
      <c r="N353">
        <f>IF(L353+M353-1&lt;=$J$2,1,0)</f>
        <v>0</v>
      </c>
      <c r="O353" t="str">
        <f>IF(N353=1,_xlfn.STDEV.S(INDEX($J$5:$J$34,L353):INDEX($J$5:$J$34,L353+M353-1))/AVERAGE(INDEX($J$5:$J$34,L353):INDEX($J$5:$J$34,L353+M353-1)),"")</f>
        <v/>
      </c>
      <c r="P353" t="str">
        <f>IF(N353=1,IF(O353&lt;=SIM_COMBINACIONES!$B$5,1,0),"")</f>
        <v/>
      </c>
      <c r="Q353" t="str">
        <f>IF(N353=1,IF(P353=1,-M353,100)+O353+ROW()*0.000000000001,"")</f>
        <v/>
      </c>
    </row>
    <row r="354" spans="12:17" x14ac:dyDescent="0.3">
      <c r="L354">
        <v>18</v>
      </c>
      <c r="M354">
        <v>12</v>
      </c>
      <c r="N354">
        <f>IF(L354+M354-1&lt;=$J$2,1,0)</f>
        <v>0</v>
      </c>
      <c r="O354" t="str">
        <f>IF(N354=1,_xlfn.STDEV.S(INDEX($J$5:$J$34,L354):INDEX($J$5:$J$34,L354+M354-1))/AVERAGE(INDEX($J$5:$J$34,L354):INDEX($J$5:$J$34,L354+M354-1)),"")</f>
        <v/>
      </c>
      <c r="P354" t="str">
        <f>IF(N354=1,IF(O354&lt;=SIM_COMBINACIONES!$B$5,1,0),"")</f>
        <v/>
      </c>
      <c r="Q354" t="str">
        <f>IF(N354=1,IF(P354=1,-M354,100)+O354+ROW()*0.000000000001,"")</f>
        <v/>
      </c>
    </row>
    <row r="355" spans="12:17" x14ac:dyDescent="0.3">
      <c r="L355">
        <v>18</v>
      </c>
      <c r="M355">
        <v>13</v>
      </c>
      <c r="N355">
        <f>IF(L355+M355-1&lt;=$J$2,1,0)</f>
        <v>0</v>
      </c>
      <c r="O355" t="str">
        <f>IF(N355=1,_xlfn.STDEV.S(INDEX($J$5:$J$34,L355):INDEX($J$5:$J$34,L355+M355-1))/AVERAGE(INDEX($J$5:$J$34,L355):INDEX($J$5:$J$34,L355+M355-1)),"")</f>
        <v/>
      </c>
      <c r="P355" t="str">
        <f>IF(N355=1,IF(O355&lt;=SIM_COMBINACIONES!$B$5,1,0),"")</f>
        <v/>
      </c>
      <c r="Q355" t="str">
        <f>IF(N355=1,IF(P355=1,-M355,100)+O355+ROW()*0.000000000001,"")</f>
        <v/>
      </c>
    </row>
    <row r="356" spans="12:17" x14ac:dyDescent="0.3">
      <c r="L356">
        <v>19</v>
      </c>
      <c r="M356">
        <v>3</v>
      </c>
      <c r="N356">
        <f>IF(L356+M356-1&lt;=$J$2,1,0)</f>
        <v>0</v>
      </c>
      <c r="O356" t="str">
        <f>IF(N356=1,_xlfn.STDEV.S(INDEX($J$5:$J$34,L356):INDEX($J$5:$J$34,L356+M356-1))/AVERAGE(INDEX($J$5:$J$34,L356):INDEX($J$5:$J$34,L356+M356-1)),"")</f>
        <v/>
      </c>
      <c r="P356" t="str">
        <f>IF(N356=1,IF(O356&lt;=SIM_COMBINACIONES!$B$5,1,0),"")</f>
        <v/>
      </c>
      <c r="Q356" t="str">
        <f>IF(N356=1,IF(P356=1,-M356,100)+O356+ROW()*0.000000000001,"")</f>
        <v/>
      </c>
    </row>
    <row r="357" spans="12:17" x14ac:dyDescent="0.3">
      <c r="L357">
        <v>19</v>
      </c>
      <c r="M357">
        <v>4</v>
      </c>
      <c r="N357">
        <f>IF(L357+M357-1&lt;=$J$2,1,0)</f>
        <v>0</v>
      </c>
      <c r="O357" t="str">
        <f>IF(N357=1,_xlfn.STDEV.S(INDEX($J$5:$J$34,L357):INDEX($J$5:$J$34,L357+M357-1))/AVERAGE(INDEX($J$5:$J$34,L357):INDEX($J$5:$J$34,L357+M357-1)),"")</f>
        <v/>
      </c>
      <c r="P357" t="str">
        <f>IF(N357=1,IF(O357&lt;=SIM_COMBINACIONES!$B$5,1,0),"")</f>
        <v/>
      </c>
      <c r="Q357" t="str">
        <f>IF(N357=1,IF(P357=1,-M357,100)+O357+ROW()*0.000000000001,"")</f>
        <v/>
      </c>
    </row>
    <row r="358" spans="12:17" x14ac:dyDescent="0.3">
      <c r="L358">
        <v>19</v>
      </c>
      <c r="M358">
        <v>5</v>
      </c>
      <c r="N358">
        <f>IF(L358+M358-1&lt;=$J$2,1,0)</f>
        <v>0</v>
      </c>
      <c r="O358" t="str">
        <f>IF(N358=1,_xlfn.STDEV.S(INDEX($J$5:$J$34,L358):INDEX($J$5:$J$34,L358+M358-1))/AVERAGE(INDEX($J$5:$J$34,L358):INDEX($J$5:$J$34,L358+M358-1)),"")</f>
        <v/>
      </c>
      <c r="P358" t="str">
        <f>IF(N358=1,IF(O358&lt;=SIM_COMBINACIONES!$B$5,1,0),"")</f>
        <v/>
      </c>
      <c r="Q358" t="str">
        <f>IF(N358=1,IF(P358=1,-M358,100)+O358+ROW()*0.000000000001,"")</f>
        <v/>
      </c>
    </row>
    <row r="359" spans="12:17" x14ac:dyDescent="0.3">
      <c r="L359">
        <v>19</v>
      </c>
      <c r="M359">
        <v>6</v>
      </c>
      <c r="N359">
        <f>IF(L359+M359-1&lt;=$J$2,1,0)</f>
        <v>0</v>
      </c>
      <c r="O359" t="str">
        <f>IF(N359=1,_xlfn.STDEV.S(INDEX($J$5:$J$34,L359):INDEX($J$5:$J$34,L359+M359-1))/AVERAGE(INDEX($J$5:$J$34,L359):INDEX($J$5:$J$34,L359+M359-1)),"")</f>
        <v/>
      </c>
      <c r="P359" t="str">
        <f>IF(N359=1,IF(O359&lt;=SIM_COMBINACIONES!$B$5,1,0),"")</f>
        <v/>
      </c>
      <c r="Q359" t="str">
        <f>IF(N359=1,IF(P359=1,-M359,100)+O359+ROW()*0.000000000001,"")</f>
        <v/>
      </c>
    </row>
    <row r="360" spans="12:17" x14ac:dyDescent="0.3">
      <c r="L360">
        <v>19</v>
      </c>
      <c r="M360">
        <v>7</v>
      </c>
      <c r="N360">
        <f>IF(L360+M360-1&lt;=$J$2,1,0)</f>
        <v>0</v>
      </c>
      <c r="O360" t="str">
        <f>IF(N360=1,_xlfn.STDEV.S(INDEX($J$5:$J$34,L360):INDEX($J$5:$J$34,L360+M360-1))/AVERAGE(INDEX($J$5:$J$34,L360):INDEX($J$5:$J$34,L360+M360-1)),"")</f>
        <v/>
      </c>
      <c r="P360" t="str">
        <f>IF(N360=1,IF(O360&lt;=SIM_COMBINACIONES!$B$5,1,0),"")</f>
        <v/>
      </c>
      <c r="Q360" t="str">
        <f>IF(N360=1,IF(P360=1,-M360,100)+O360+ROW()*0.000000000001,"")</f>
        <v/>
      </c>
    </row>
    <row r="361" spans="12:17" x14ac:dyDescent="0.3">
      <c r="L361">
        <v>19</v>
      </c>
      <c r="M361">
        <v>8</v>
      </c>
      <c r="N361">
        <f>IF(L361+M361-1&lt;=$J$2,1,0)</f>
        <v>0</v>
      </c>
      <c r="O361" t="str">
        <f>IF(N361=1,_xlfn.STDEV.S(INDEX($J$5:$J$34,L361):INDEX($J$5:$J$34,L361+M361-1))/AVERAGE(INDEX($J$5:$J$34,L361):INDEX($J$5:$J$34,L361+M361-1)),"")</f>
        <v/>
      </c>
      <c r="P361" t="str">
        <f>IF(N361=1,IF(O361&lt;=SIM_COMBINACIONES!$B$5,1,0),"")</f>
        <v/>
      </c>
      <c r="Q361" t="str">
        <f>IF(N361=1,IF(P361=1,-M361,100)+O361+ROW()*0.000000000001,"")</f>
        <v/>
      </c>
    </row>
    <row r="362" spans="12:17" x14ac:dyDescent="0.3">
      <c r="L362">
        <v>19</v>
      </c>
      <c r="M362">
        <v>9</v>
      </c>
      <c r="N362">
        <f>IF(L362+M362-1&lt;=$J$2,1,0)</f>
        <v>0</v>
      </c>
      <c r="O362" t="str">
        <f>IF(N362=1,_xlfn.STDEV.S(INDEX($J$5:$J$34,L362):INDEX($J$5:$J$34,L362+M362-1))/AVERAGE(INDEX($J$5:$J$34,L362):INDEX($J$5:$J$34,L362+M362-1)),"")</f>
        <v/>
      </c>
      <c r="P362" t="str">
        <f>IF(N362=1,IF(O362&lt;=SIM_COMBINACIONES!$B$5,1,0),"")</f>
        <v/>
      </c>
      <c r="Q362" t="str">
        <f>IF(N362=1,IF(P362=1,-M362,100)+O362+ROW()*0.000000000001,"")</f>
        <v/>
      </c>
    </row>
    <row r="363" spans="12:17" x14ac:dyDescent="0.3">
      <c r="L363">
        <v>19</v>
      </c>
      <c r="M363">
        <v>10</v>
      </c>
      <c r="N363">
        <f>IF(L363+M363-1&lt;=$J$2,1,0)</f>
        <v>0</v>
      </c>
      <c r="O363" t="str">
        <f>IF(N363=1,_xlfn.STDEV.S(INDEX($J$5:$J$34,L363):INDEX($J$5:$J$34,L363+M363-1))/AVERAGE(INDEX($J$5:$J$34,L363):INDEX($J$5:$J$34,L363+M363-1)),"")</f>
        <v/>
      </c>
      <c r="P363" t="str">
        <f>IF(N363=1,IF(O363&lt;=SIM_COMBINACIONES!$B$5,1,0),"")</f>
        <v/>
      </c>
      <c r="Q363" t="str">
        <f>IF(N363=1,IF(P363=1,-M363,100)+O363+ROW()*0.000000000001,"")</f>
        <v/>
      </c>
    </row>
    <row r="364" spans="12:17" x14ac:dyDescent="0.3">
      <c r="L364">
        <v>19</v>
      </c>
      <c r="M364">
        <v>11</v>
      </c>
      <c r="N364">
        <f>IF(L364+M364-1&lt;=$J$2,1,0)</f>
        <v>0</v>
      </c>
      <c r="O364" t="str">
        <f>IF(N364=1,_xlfn.STDEV.S(INDEX($J$5:$J$34,L364):INDEX($J$5:$J$34,L364+M364-1))/AVERAGE(INDEX($J$5:$J$34,L364):INDEX($J$5:$J$34,L364+M364-1)),"")</f>
        <v/>
      </c>
      <c r="P364" t="str">
        <f>IF(N364=1,IF(O364&lt;=SIM_COMBINACIONES!$B$5,1,0),"")</f>
        <v/>
      </c>
      <c r="Q364" t="str">
        <f>IF(N364=1,IF(P364=1,-M364,100)+O364+ROW()*0.000000000001,"")</f>
        <v/>
      </c>
    </row>
    <row r="365" spans="12:17" x14ac:dyDescent="0.3">
      <c r="L365">
        <v>19</v>
      </c>
      <c r="M365">
        <v>12</v>
      </c>
      <c r="N365">
        <f>IF(L365+M365-1&lt;=$J$2,1,0)</f>
        <v>0</v>
      </c>
      <c r="O365" t="str">
        <f>IF(N365=1,_xlfn.STDEV.S(INDEX($J$5:$J$34,L365):INDEX($J$5:$J$34,L365+M365-1))/AVERAGE(INDEX($J$5:$J$34,L365):INDEX($J$5:$J$34,L365+M365-1)),"")</f>
        <v/>
      </c>
      <c r="P365" t="str">
        <f>IF(N365=1,IF(O365&lt;=SIM_COMBINACIONES!$B$5,1,0),"")</f>
        <v/>
      </c>
      <c r="Q365" t="str">
        <f>IF(N365=1,IF(P365=1,-M365,100)+O365+ROW()*0.000000000001,"")</f>
        <v/>
      </c>
    </row>
    <row r="366" spans="12:17" x14ac:dyDescent="0.3">
      <c r="L366">
        <v>20</v>
      </c>
      <c r="M366">
        <v>3</v>
      </c>
      <c r="N366">
        <f>IF(L366+M366-1&lt;=$J$2,1,0)</f>
        <v>0</v>
      </c>
      <c r="O366" t="str">
        <f>IF(N366=1,_xlfn.STDEV.S(INDEX($J$5:$J$34,L366):INDEX($J$5:$J$34,L366+M366-1))/AVERAGE(INDEX($J$5:$J$34,L366):INDEX($J$5:$J$34,L366+M366-1)),"")</f>
        <v/>
      </c>
      <c r="P366" t="str">
        <f>IF(N366=1,IF(O366&lt;=SIM_COMBINACIONES!$B$5,1,0),"")</f>
        <v/>
      </c>
      <c r="Q366" t="str">
        <f>IF(N366=1,IF(P366=1,-M366,100)+O366+ROW()*0.000000000001,"")</f>
        <v/>
      </c>
    </row>
    <row r="367" spans="12:17" x14ac:dyDescent="0.3">
      <c r="L367">
        <v>20</v>
      </c>
      <c r="M367">
        <v>4</v>
      </c>
      <c r="N367">
        <f>IF(L367+M367-1&lt;=$J$2,1,0)</f>
        <v>0</v>
      </c>
      <c r="O367" t="str">
        <f>IF(N367=1,_xlfn.STDEV.S(INDEX($J$5:$J$34,L367):INDEX($J$5:$J$34,L367+M367-1))/AVERAGE(INDEX($J$5:$J$34,L367):INDEX($J$5:$J$34,L367+M367-1)),"")</f>
        <v/>
      </c>
      <c r="P367" t="str">
        <f>IF(N367=1,IF(O367&lt;=SIM_COMBINACIONES!$B$5,1,0),"")</f>
        <v/>
      </c>
      <c r="Q367" t="str">
        <f>IF(N367=1,IF(P367=1,-M367,100)+O367+ROW()*0.000000000001,"")</f>
        <v/>
      </c>
    </row>
    <row r="368" spans="12:17" x14ac:dyDescent="0.3">
      <c r="L368">
        <v>20</v>
      </c>
      <c r="M368">
        <v>5</v>
      </c>
      <c r="N368">
        <f>IF(L368+M368-1&lt;=$J$2,1,0)</f>
        <v>0</v>
      </c>
      <c r="O368" t="str">
        <f>IF(N368=1,_xlfn.STDEV.S(INDEX($J$5:$J$34,L368):INDEX($J$5:$J$34,L368+M368-1))/AVERAGE(INDEX($J$5:$J$34,L368):INDEX($J$5:$J$34,L368+M368-1)),"")</f>
        <v/>
      </c>
      <c r="P368" t="str">
        <f>IF(N368=1,IF(O368&lt;=SIM_COMBINACIONES!$B$5,1,0),"")</f>
        <v/>
      </c>
      <c r="Q368" t="str">
        <f>IF(N368=1,IF(P368=1,-M368,100)+O368+ROW()*0.000000000001,"")</f>
        <v/>
      </c>
    </row>
    <row r="369" spans="12:17" x14ac:dyDescent="0.3">
      <c r="L369">
        <v>20</v>
      </c>
      <c r="M369">
        <v>6</v>
      </c>
      <c r="N369">
        <f>IF(L369+M369-1&lt;=$J$2,1,0)</f>
        <v>0</v>
      </c>
      <c r="O369" t="str">
        <f>IF(N369=1,_xlfn.STDEV.S(INDEX($J$5:$J$34,L369):INDEX($J$5:$J$34,L369+M369-1))/AVERAGE(INDEX($J$5:$J$34,L369):INDEX($J$5:$J$34,L369+M369-1)),"")</f>
        <v/>
      </c>
      <c r="P369" t="str">
        <f>IF(N369=1,IF(O369&lt;=SIM_COMBINACIONES!$B$5,1,0),"")</f>
        <v/>
      </c>
      <c r="Q369" t="str">
        <f>IF(N369=1,IF(P369=1,-M369,100)+O369+ROW()*0.000000000001,"")</f>
        <v/>
      </c>
    </row>
    <row r="370" spans="12:17" x14ac:dyDescent="0.3">
      <c r="L370">
        <v>20</v>
      </c>
      <c r="M370">
        <v>7</v>
      </c>
      <c r="N370">
        <f>IF(L370+M370-1&lt;=$J$2,1,0)</f>
        <v>0</v>
      </c>
      <c r="O370" t="str">
        <f>IF(N370=1,_xlfn.STDEV.S(INDEX($J$5:$J$34,L370):INDEX($J$5:$J$34,L370+M370-1))/AVERAGE(INDEX($J$5:$J$34,L370):INDEX($J$5:$J$34,L370+M370-1)),"")</f>
        <v/>
      </c>
      <c r="P370" t="str">
        <f>IF(N370=1,IF(O370&lt;=SIM_COMBINACIONES!$B$5,1,0),"")</f>
        <v/>
      </c>
      <c r="Q370" t="str">
        <f>IF(N370=1,IF(P370=1,-M370,100)+O370+ROW()*0.000000000001,"")</f>
        <v/>
      </c>
    </row>
    <row r="371" spans="12:17" x14ac:dyDescent="0.3">
      <c r="L371">
        <v>20</v>
      </c>
      <c r="M371">
        <v>8</v>
      </c>
      <c r="N371">
        <f>IF(L371+M371-1&lt;=$J$2,1,0)</f>
        <v>0</v>
      </c>
      <c r="O371" t="str">
        <f>IF(N371=1,_xlfn.STDEV.S(INDEX($J$5:$J$34,L371):INDEX($J$5:$J$34,L371+M371-1))/AVERAGE(INDEX($J$5:$J$34,L371):INDEX($J$5:$J$34,L371+M371-1)),"")</f>
        <v/>
      </c>
      <c r="P371" t="str">
        <f>IF(N371=1,IF(O371&lt;=SIM_COMBINACIONES!$B$5,1,0),"")</f>
        <v/>
      </c>
      <c r="Q371" t="str">
        <f>IF(N371=1,IF(P371=1,-M371,100)+O371+ROW()*0.000000000001,"")</f>
        <v/>
      </c>
    </row>
    <row r="372" spans="12:17" x14ac:dyDescent="0.3">
      <c r="L372">
        <v>20</v>
      </c>
      <c r="M372">
        <v>9</v>
      </c>
      <c r="N372">
        <f>IF(L372+M372-1&lt;=$J$2,1,0)</f>
        <v>0</v>
      </c>
      <c r="O372" t="str">
        <f>IF(N372=1,_xlfn.STDEV.S(INDEX($J$5:$J$34,L372):INDEX($J$5:$J$34,L372+M372-1))/AVERAGE(INDEX($J$5:$J$34,L372):INDEX($J$5:$J$34,L372+M372-1)),"")</f>
        <v/>
      </c>
      <c r="P372" t="str">
        <f>IF(N372=1,IF(O372&lt;=SIM_COMBINACIONES!$B$5,1,0),"")</f>
        <v/>
      </c>
      <c r="Q372" t="str">
        <f>IF(N372=1,IF(P372=1,-M372,100)+O372+ROW()*0.000000000001,"")</f>
        <v/>
      </c>
    </row>
    <row r="373" spans="12:17" x14ac:dyDescent="0.3">
      <c r="L373">
        <v>20</v>
      </c>
      <c r="M373">
        <v>10</v>
      </c>
      <c r="N373">
        <f>IF(L373+M373-1&lt;=$J$2,1,0)</f>
        <v>0</v>
      </c>
      <c r="O373" t="str">
        <f>IF(N373=1,_xlfn.STDEV.S(INDEX($J$5:$J$34,L373):INDEX($J$5:$J$34,L373+M373-1))/AVERAGE(INDEX($J$5:$J$34,L373):INDEX($J$5:$J$34,L373+M373-1)),"")</f>
        <v/>
      </c>
      <c r="P373" t="str">
        <f>IF(N373=1,IF(O373&lt;=SIM_COMBINACIONES!$B$5,1,0),"")</f>
        <v/>
      </c>
      <c r="Q373" t="str">
        <f>IF(N373=1,IF(P373=1,-M373,100)+O373+ROW()*0.000000000001,"")</f>
        <v/>
      </c>
    </row>
    <row r="374" spans="12:17" x14ac:dyDescent="0.3">
      <c r="L374">
        <v>20</v>
      </c>
      <c r="M374">
        <v>11</v>
      </c>
      <c r="N374">
        <f>IF(L374+M374-1&lt;=$J$2,1,0)</f>
        <v>0</v>
      </c>
      <c r="O374" t="str">
        <f>IF(N374=1,_xlfn.STDEV.S(INDEX($J$5:$J$34,L374):INDEX($J$5:$J$34,L374+M374-1))/AVERAGE(INDEX($J$5:$J$34,L374):INDEX($J$5:$J$34,L374+M374-1)),"")</f>
        <v/>
      </c>
      <c r="P374" t="str">
        <f>IF(N374=1,IF(O374&lt;=SIM_COMBINACIONES!$B$5,1,0),"")</f>
        <v/>
      </c>
      <c r="Q374" t="str">
        <f>IF(N374=1,IF(P374=1,-M374,100)+O374+ROW()*0.000000000001,"")</f>
        <v/>
      </c>
    </row>
    <row r="375" spans="12:17" x14ac:dyDescent="0.3">
      <c r="L375">
        <v>21</v>
      </c>
      <c r="M375">
        <v>3</v>
      </c>
      <c r="N375">
        <f>IF(L375+M375-1&lt;=$J$2,1,0)</f>
        <v>0</v>
      </c>
      <c r="O375" t="str">
        <f>IF(N375=1,_xlfn.STDEV.S(INDEX($J$5:$J$34,L375):INDEX($J$5:$J$34,L375+M375-1))/AVERAGE(INDEX($J$5:$J$34,L375):INDEX($J$5:$J$34,L375+M375-1)),"")</f>
        <v/>
      </c>
      <c r="P375" t="str">
        <f>IF(N375=1,IF(O375&lt;=SIM_COMBINACIONES!$B$5,1,0),"")</f>
        <v/>
      </c>
      <c r="Q375" t="str">
        <f>IF(N375=1,IF(P375=1,-M375,100)+O375+ROW()*0.000000000001,"")</f>
        <v/>
      </c>
    </row>
    <row r="376" spans="12:17" x14ac:dyDescent="0.3">
      <c r="L376">
        <v>21</v>
      </c>
      <c r="M376">
        <v>4</v>
      </c>
      <c r="N376">
        <f>IF(L376+M376-1&lt;=$J$2,1,0)</f>
        <v>0</v>
      </c>
      <c r="O376" t="str">
        <f>IF(N376=1,_xlfn.STDEV.S(INDEX($J$5:$J$34,L376):INDEX($J$5:$J$34,L376+M376-1))/AVERAGE(INDEX($J$5:$J$34,L376):INDEX($J$5:$J$34,L376+M376-1)),"")</f>
        <v/>
      </c>
      <c r="P376" t="str">
        <f>IF(N376=1,IF(O376&lt;=SIM_COMBINACIONES!$B$5,1,0),"")</f>
        <v/>
      </c>
      <c r="Q376" t="str">
        <f>IF(N376=1,IF(P376=1,-M376,100)+O376+ROW()*0.000000000001,"")</f>
        <v/>
      </c>
    </row>
    <row r="377" spans="12:17" x14ac:dyDescent="0.3">
      <c r="L377">
        <v>21</v>
      </c>
      <c r="M377">
        <v>5</v>
      </c>
      <c r="N377">
        <f>IF(L377+M377-1&lt;=$J$2,1,0)</f>
        <v>0</v>
      </c>
      <c r="O377" t="str">
        <f>IF(N377=1,_xlfn.STDEV.S(INDEX($J$5:$J$34,L377):INDEX($J$5:$J$34,L377+M377-1))/AVERAGE(INDEX($J$5:$J$34,L377):INDEX($J$5:$J$34,L377+M377-1)),"")</f>
        <v/>
      </c>
      <c r="P377" t="str">
        <f>IF(N377=1,IF(O377&lt;=SIM_COMBINACIONES!$B$5,1,0),"")</f>
        <v/>
      </c>
      <c r="Q377" t="str">
        <f>IF(N377=1,IF(P377=1,-M377,100)+O377+ROW()*0.000000000001,"")</f>
        <v/>
      </c>
    </row>
    <row r="378" spans="12:17" x14ac:dyDescent="0.3">
      <c r="L378">
        <v>21</v>
      </c>
      <c r="M378">
        <v>6</v>
      </c>
      <c r="N378">
        <f>IF(L378+M378-1&lt;=$J$2,1,0)</f>
        <v>0</v>
      </c>
      <c r="O378" t="str">
        <f>IF(N378=1,_xlfn.STDEV.S(INDEX($J$5:$J$34,L378):INDEX($J$5:$J$34,L378+M378-1))/AVERAGE(INDEX($J$5:$J$34,L378):INDEX($J$5:$J$34,L378+M378-1)),"")</f>
        <v/>
      </c>
      <c r="P378" t="str">
        <f>IF(N378=1,IF(O378&lt;=SIM_COMBINACIONES!$B$5,1,0),"")</f>
        <v/>
      </c>
      <c r="Q378" t="str">
        <f>IF(N378=1,IF(P378=1,-M378,100)+O378+ROW()*0.000000000001,"")</f>
        <v/>
      </c>
    </row>
    <row r="379" spans="12:17" x14ac:dyDescent="0.3">
      <c r="L379">
        <v>21</v>
      </c>
      <c r="M379">
        <v>7</v>
      </c>
      <c r="N379">
        <f>IF(L379+M379-1&lt;=$J$2,1,0)</f>
        <v>0</v>
      </c>
      <c r="O379" t="str">
        <f>IF(N379=1,_xlfn.STDEV.S(INDEX($J$5:$J$34,L379):INDEX($J$5:$J$34,L379+M379-1))/AVERAGE(INDEX($J$5:$J$34,L379):INDEX($J$5:$J$34,L379+M379-1)),"")</f>
        <v/>
      </c>
      <c r="P379" t="str">
        <f>IF(N379=1,IF(O379&lt;=SIM_COMBINACIONES!$B$5,1,0),"")</f>
        <v/>
      </c>
      <c r="Q379" t="str">
        <f>IF(N379=1,IF(P379=1,-M379,100)+O379+ROW()*0.000000000001,"")</f>
        <v/>
      </c>
    </row>
    <row r="380" spans="12:17" x14ac:dyDescent="0.3">
      <c r="L380">
        <v>21</v>
      </c>
      <c r="M380">
        <v>8</v>
      </c>
      <c r="N380">
        <f>IF(L380+M380-1&lt;=$J$2,1,0)</f>
        <v>0</v>
      </c>
      <c r="O380" t="str">
        <f>IF(N380=1,_xlfn.STDEV.S(INDEX($J$5:$J$34,L380):INDEX($J$5:$J$34,L380+M380-1))/AVERAGE(INDEX($J$5:$J$34,L380):INDEX($J$5:$J$34,L380+M380-1)),"")</f>
        <v/>
      </c>
      <c r="P380" t="str">
        <f>IF(N380=1,IF(O380&lt;=SIM_COMBINACIONES!$B$5,1,0),"")</f>
        <v/>
      </c>
      <c r="Q380" t="str">
        <f>IF(N380=1,IF(P380=1,-M380,100)+O380+ROW()*0.000000000001,"")</f>
        <v/>
      </c>
    </row>
    <row r="381" spans="12:17" x14ac:dyDescent="0.3">
      <c r="L381">
        <v>21</v>
      </c>
      <c r="M381">
        <v>9</v>
      </c>
      <c r="N381">
        <f>IF(L381+M381-1&lt;=$J$2,1,0)</f>
        <v>0</v>
      </c>
      <c r="O381" t="str">
        <f>IF(N381=1,_xlfn.STDEV.S(INDEX($J$5:$J$34,L381):INDEX($J$5:$J$34,L381+M381-1))/AVERAGE(INDEX($J$5:$J$34,L381):INDEX($J$5:$J$34,L381+M381-1)),"")</f>
        <v/>
      </c>
      <c r="P381" t="str">
        <f>IF(N381=1,IF(O381&lt;=SIM_COMBINACIONES!$B$5,1,0),"")</f>
        <v/>
      </c>
      <c r="Q381" t="str">
        <f>IF(N381=1,IF(P381=1,-M381,100)+O381+ROW()*0.000000000001,"")</f>
        <v/>
      </c>
    </row>
    <row r="382" spans="12:17" x14ac:dyDescent="0.3">
      <c r="L382">
        <v>21</v>
      </c>
      <c r="M382">
        <v>10</v>
      </c>
      <c r="N382">
        <f>IF(L382+M382-1&lt;=$J$2,1,0)</f>
        <v>0</v>
      </c>
      <c r="O382" t="str">
        <f>IF(N382=1,_xlfn.STDEV.S(INDEX($J$5:$J$34,L382):INDEX($J$5:$J$34,L382+M382-1))/AVERAGE(INDEX($J$5:$J$34,L382):INDEX($J$5:$J$34,L382+M382-1)),"")</f>
        <v/>
      </c>
      <c r="P382" t="str">
        <f>IF(N382=1,IF(O382&lt;=SIM_COMBINACIONES!$B$5,1,0),"")</f>
        <v/>
      </c>
      <c r="Q382" t="str">
        <f>IF(N382=1,IF(P382=1,-M382,100)+O382+ROW()*0.000000000001,"")</f>
        <v/>
      </c>
    </row>
    <row r="383" spans="12:17" x14ac:dyDescent="0.3">
      <c r="L383">
        <v>22</v>
      </c>
      <c r="M383">
        <v>3</v>
      </c>
      <c r="N383">
        <f>IF(L383+M383-1&lt;=$J$2,1,0)</f>
        <v>0</v>
      </c>
      <c r="O383" t="str">
        <f>IF(N383=1,_xlfn.STDEV.S(INDEX($J$5:$J$34,L383):INDEX($J$5:$J$34,L383+M383-1))/AVERAGE(INDEX($J$5:$J$34,L383):INDEX($J$5:$J$34,L383+M383-1)),"")</f>
        <v/>
      </c>
      <c r="P383" t="str">
        <f>IF(N383=1,IF(O383&lt;=SIM_COMBINACIONES!$B$5,1,0),"")</f>
        <v/>
      </c>
      <c r="Q383" t="str">
        <f>IF(N383=1,IF(P383=1,-M383,100)+O383+ROW()*0.000000000001,"")</f>
        <v/>
      </c>
    </row>
    <row r="384" spans="12:17" x14ac:dyDescent="0.3">
      <c r="L384">
        <v>22</v>
      </c>
      <c r="M384">
        <v>4</v>
      </c>
      <c r="N384">
        <f>IF(L384+M384-1&lt;=$J$2,1,0)</f>
        <v>0</v>
      </c>
      <c r="O384" t="str">
        <f>IF(N384=1,_xlfn.STDEV.S(INDEX($J$5:$J$34,L384):INDEX($J$5:$J$34,L384+M384-1))/AVERAGE(INDEX($J$5:$J$34,L384):INDEX($J$5:$J$34,L384+M384-1)),"")</f>
        <v/>
      </c>
      <c r="P384" t="str">
        <f>IF(N384=1,IF(O384&lt;=SIM_COMBINACIONES!$B$5,1,0),"")</f>
        <v/>
      </c>
      <c r="Q384" t="str">
        <f>IF(N384=1,IF(P384=1,-M384,100)+O384+ROW()*0.000000000001,"")</f>
        <v/>
      </c>
    </row>
    <row r="385" spans="12:17" x14ac:dyDescent="0.3">
      <c r="L385">
        <v>22</v>
      </c>
      <c r="M385">
        <v>5</v>
      </c>
      <c r="N385">
        <f>IF(L385+M385-1&lt;=$J$2,1,0)</f>
        <v>0</v>
      </c>
      <c r="O385" t="str">
        <f>IF(N385=1,_xlfn.STDEV.S(INDEX($J$5:$J$34,L385):INDEX($J$5:$J$34,L385+M385-1))/AVERAGE(INDEX($J$5:$J$34,L385):INDEX($J$5:$J$34,L385+M385-1)),"")</f>
        <v/>
      </c>
      <c r="P385" t="str">
        <f>IF(N385=1,IF(O385&lt;=SIM_COMBINACIONES!$B$5,1,0),"")</f>
        <v/>
      </c>
      <c r="Q385" t="str">
        <f>IF(N385=1,IF(P385=1,-M385,100)+O385+ROW()*0.000000000001,"")</f>
        <v/>
      </c>
    </row>
    <row r="386" spans="12:17" x14ac:dyDescent="0.3">
      <c r="L386">
        <v>22</v>
      </c>
      <c r="M386">
        <v>6</v>
      </c>
      <c r="N386">
        <f>IF(L386+M386-1&lt;=$J$2,1,0)</f>
        <v>0</v>
      </c>
      <c r="O386" t="str">
        <f>IF(N386=1,_xlfn.STDEV.S(INDEX($J$5:$J$34,L386):INDEX($J$5:$J$34,L386+M386-1))/AVERAGE(INDEX($J$5:$J$34,L386):INDEX($J$5:$J$34,L386+M386-1)),"")</f>
        <v/>
      </c>
      <c r="P386" t="str">
        <f>IF(N386=1,IF(O386&lt;=SIM_COMBINACIONES!$B$5,1,0),"")</f>
        <v/>
      </c>
      <c r="Q386" t="str">
        <f>IF(N386=1,IF(P386=1,-M386,100)+O386+ROW()*0.000000000001,"")</f>
        <v/>
      </c>
    </row>
    <row r="387" spans="12:17" x14ac:dyDescent="0.3">
      <c r="L387">
        <v>22</v>
      </c>
      <c r="M387">
        <v>7</v>
      </c>
      <c r="N387">
        <f>IF(L387+M387-1&lt;=$J$2,1,0)</f>
        <v>0</v>
      </c>
      <c r="O387" t="str">
        <f>IF(N387=1,_xlfn.STDEV.S(INDEX($J$5:$J$34,L387):INDEX($J$5:$J$34,L387+M387-1))/AVERAGE(INDEX($J$5:$J$34,L387):INDEX($J$5:$J$34,L387+M387-1)),"")</f>
        <v/>
      </c>
      <c r="P387" t="str">
        <f>IF(N387=1,IF(O387&lt;=SIM_COMBINACIONES!$B$5,1,0),"")</f>
        <v/>
      </c>
      <c r="Q387" t="str">
        <f>IF(N387=1,IF(P387=1,-M387,100)+O387+ROW()*0.000000000001,"")</f>
        <v/>
      </c>
    </row>
    <row r="388" spans="12:17" x14ac:dyDescent="0.3">
      <c r="L388">
        <v>22</v>
      </c>
      <c r="M388">
        <v>8</v>
      </c>
      <c r="N388">
        <f>IF(L388+M388-1&lt;=$J$2,1,0)</f>
        <v>0</v>
      </c>
      <c r="O388" t="str">
        <f>IF(N388=1,_xlfn.STDEV.S(INDEX($J$5:$J$34,L388):INDEX($J$5:$J$34,L388+M388-1))/AVERAGE(INDEX($J$5:$J$34,L388):INDEX($J$5:$J$34,L388+M388-1)),"")</f>
        <v/>
      </c>
      <c r="P388" t="str">
        <f>IF(N388=1,IF(O388&lt;=SIM_COMBINACIONES!$B$5,1,0),"")</f>
        <v/>
      </c>
      <c r="Q388" t="str">
        <f>IF(N388=1,IF(P388=1,-M388,100)+O388+ROW()*0.000000000001,"")</f>
        <v/>
      </c>
    </row>
    <row r="389" spans="12:17" x14ac:dyDescent="0.3">
      <c r="L389">
        <v>22</v>
      </c>
      <c r="M389">
        <v>9</v>
      </c>
      <c r="N389">
        <f>IF(L389+M389-1&lt;=$J$2,1,0)</f>
        <v>0</v>
      </c>
      <c r="O389" t="str">
        <f>IF(N389=1,_xlfn.STDEV.S(INDEX($J$5:$J$34,L389):INDEX($J$5:$J$34,L389+M389-1))/AVERAGE(INDEX($J$5:$J$34,L389):INDEX($J$5:$J$34,L389+M389-1)),"")</f>
        <v/>
      </c>
      <c r="P389" t="str">
        <f>IF(N389=1,IF(O389&lt;=SIM_COMBINACIONES!$B$5,1,0),"")</f>
        <v/>
      </c>
      <c r="Q389" t="str">
        <f>IF(N389=1,IF(P389=1,-M389,100)+O389+ROW()*0.000000000001,"")</f>
        <v/>
      </c>
    </row>
    <row r="390" spans="12:17" x14ac:dyDescent="0.3">
      <c r="L390">
        <v>23</v>
      </c>
      <c r="M390">
        <v>3</v>
      </c>
      <c r="N390">
        <f>IF(L390+M390-1&lt;=$J$2,1,0)</f>
        <v>0</v>
      </c>
      <c r="O390" t="str">
        <f>IF(N390=1,_xlfn.STDEV.S(INDEX($J$5:$J$34,L390):INDEX($J$5:$J$34,L390+M390-1))/AVERAGE(INDEX($J$5:$J$34,L390):INDEX($J$5:$J$34,L390+M390-1)),"")</f>
        <v/>
      </c>
      <c r="P390" t="str">
        <f>IF(N390=1,IF(O390&lt;=SIM_COMBINACIONES!$B$5,1,0),"")</f>
        <v/>
      </c>
      <c r="Q390" t="str">
        <f>IF(N390=1,IF(P390=1,-M390,100)+O390+ROW()*0.000000000001,"")</f>
        <v/>
      </c>
    </row>
    <row r="391" spans="12:17" x14ac:dyDescent="0.3">
      <c r="L391">
        <v>23</v>
      </c>
      <c r="M391">
        <v>4</v>
      </c>
      <c r="N391">
        <f>IF(L391+M391-1&lt;=$J$2,1,0)</f>
        <v>0</v>
      </c>
      <c r="O391" t="str">
        <f>IF(N391=1,_xlfn.STDEV.S(INDEX($J$5:$J$34,L391):INDEX($J$5:$J$34,L391+M391-1))/AVERAGE(INDEX($J$5:$J$34,L391):INDEX($J$5:$J$34,L391+M391-1)),"")</f>
        <v/>
      </c>
      <c r="P391" t="str">
        <f>IF(N391=1,IF(O391&lt;=SIM_COMBINACIONES!$B$5,1,0),"")</f>
        <v/>
      </c>
      <c r="Q391" t="str">
        <f>IF(N391=1,IF(P391=1,-M391,100)+O391+ROW()*0.000000000001,"")</f>
        <v/>
      </c>
    </row>
    <row r="392" spans="12:17" x14ac:dyDescent="0.3">
      <c r="L392">
        <v>23</v>
      </c>
      <c r="M392">
        <v>5</v>
      </c>
      <c r="N392">
        <f>IF(L392+M392-1&lt;=$J$2,1,0)</f>
        <v>0</v>
      </c>
      <c r="O392" t="str">
        <f>IF(N392=1,_xlfn.STDEV.S(INDEX($J$5:$J$34,L392):INDEX($J$5:$J$34,L392+M392-1))/AVERAGE(INDEX($J$5:$J$34,L392):INDEX($J$5:$J$34,L392+M392-1)),"")</f>
        <v/>
      </c>
      <c r="P392" t="str">
        <f>IF(N392=1,IF(O392&lt;=SIM_COMBINACIONES!$B$5,1,0),"")</f>
        <v/>
      </c>
      <c r="Q392" t="str">
        <f>IF(N392=1,IF(P392=1,-M392,100)+O392+ROW()*0.000000000001,"")</f>
        <v/>
      </c>
    </row>
    <row r="393" spans="12:17" x14ac:dyDescent="0.3">
      <c r="L393">
        <v>23</v>
      </c>
      <c r="M393">
        <v>6</v>
      </c>
      <c r="N393">
        <f>IF(L393+M393-1&lt;=$J$2,1,0)</f>
        <v>0</v>
      </c>
      <c r="O393" t="str">
        <f>IF(N393=1,_xlfn.STDEV.S(INDEX($J$5:$J$34,L393):INDEX($J$5:$J$34,L393+M393-1))/AVERAGE(INDEX($J$5:$J$34,L393):INDEX($J$5:$J$34,L393+M393-1)),"")</f>
        <v/>
      </c>
      <c r="P393" t="str">
        <f>IF(N393=1,IF(O393&lt;=SIM_COMBINACIONES!$B$5,1,0),"")</f>
        <v/>
      </c>
      <c r="Q393" t="str">
        <f>IF(N393=1,IF(P393=1,-M393,100)+O393+ROW()*0.000000000001,"")</f>
        <v/>
      </c>
    </row>
    <row r="394" spans="12:17" x14ac:dyDescent="0.3">
      <c r="L394">
        <v>23</v>
      </c>
      <c r="M394">
        <v>7</v>
      </c>
      <c r="N394">
        <f>IF(L394+M394-1&lt;=$J$2,1,0)</f>
        <v>0</v>
      </c>
      <c r="O394" t="str">
        <f>IF(N394=1,_xlfn.STDEV.S(INDEX($J$5:$J$34,L394):INDEX($J$5:$J$34,L394+M394-1))/AVERAGE(INDEX($J$5:$J$34,L394):INDEX($J$5:$J$34,L394+M394-1)),"")</f>
        <v/>
      </c>
      <c r="P394" t="str">
        <f>IF(N394=1,IF(O394&lt;=SIM_COMBINACIONES!$B$5,1,0),"")</f>
        <v/>
      </c>
      <c r="Q394" t="str">
        <f>IF(N394=1,IF(P394=1,-M394,100)+O394+ROW()*0.000000000001,"")</f>
        <v/>
      </c>
    </row>
    <row r="395" spans="12:17" x14ac:dyDescent="0.3">
      <c r="L395">
        <v>23</v>
      </c>
      <c r="M395">
        <v>8</v>
      </c>
      <c r="N395">
        <f>IF(L395+M395-1&lt;=$J$2,1,0)</f>
        <v>0</v>
      </c>
      <c r="O395" t="str">
        <f>IF(N395=1,_xlfn.STDEV.S(INDEX($J$5:$J$34,L395):INDEX($J$5:$J$34,L395+M395-1))/AVERAGE(INDEX($J$5:$J$34,L395):INDEX($J$5:$J$34,L395+M395-1)),"")</f>
        <v/>
      </c>
      <c r="P395" t="str">
        <f>IF(N395=1,IF(O395&lt;=SIM_COMBINACIONES!$B$5,1,0),"")</f>
        <v/>
      </c>
      <c r="Q395" t="str">
        <f>IF(N395=1,IF(P395=1,-M395,100)+O395+ROW()*0.000000000001,"")</f>
        <v/>
      </c>
    </row>
    <row r="396" spans="12:17" x14ac:dyDescent="0.3">
      <c r="L396">
        <v>24</v>
      </c>
      <c r="M396">
        <v>3</v>
      </c>
      <c r="N396">
        <f>IF(L396+M396-1&lt;=$J$2,1,0)</f>
        <v>0</v>
      </c>
      <c r="O396" t="str">
        <f>IF(N396=1,_xlfn.STDEV.S(INDEX($J$5:$J$34,L396):INDEX($J$5:$J$34,L396+M396-1))/AVERAGE(INDEX($J$5:$J$34,L396):INDEX($J$5:$J$34,L396+M396-1)),"")</f>
        <v/>
      </c>
      <c r="P396" t="str">
        <f>IF(N396=1,IF(O396&lt;=SIM_COMBINACIONES!$B$5,1,0),"")</f>
        <v/>
      </c>
      <c r="Q396" t="str">
        <f>IF(N396=1,IF(P396=1,-M396,100)+O396+ROW()*0.000000000001,"")</f>
        <v/>
      </c>
    </row>
    <row r="397" spans="12:17" x14ac:dyDescent="0.3">
      <c r="L397">
        <v>24</v>
      </c>
      <c r="M397">
        <v>4</v>
      </c>
      <c r="N397">
        <f>IF(L397+M397-1&lt;=$J$2,1,0)</f>
        <v>0</v>
      </c>
      <c r="O397" t="str">
        <f>IF(N397=1,_xlfn.STDEV.S(INDEX($J$5:$J$34,L397):INDEX($J$5:$J$34,L397+M397-1))/AVERAGE(INDEX($J$5:$J$34,L397):INDEX($J$5:$J$34,L397+M397-1)),"")</f>
        <v/>
      </c>
      <c r="P397" t="str">
        <f>IF(N397=1,IF(O397&lt;=SIM_COMBINACIONES!$B$5,1,0),"")</f>
        <v/>
      </c>
      <c r="Q397" t="str">
        <f>IF(N397=1,IF(P397=1,-M397,100)+O397+ROW()*0.000000000001,"")</f>
        <v/>
      </c>
    </row>
    <row r="398" spans="12:17" x14ac:dyDescent="0.3">
      <c r="L398">
        <v>24</v>
      </c>
      <c r="M398">
        <v>5</v>
      </c>
      <c r="N398">
        <f>IF(L398+M398-1&lt;=$J$2,1,0)</f>
        <v>0</v>
      </c>
      <c r="O398" t="str">
        <f>IF(N398=1,_xlfn.STDEV.S(INDEX($J$5:$J$34,L398):INDEX($J$5:$J$34,L398+M398-1))/AVERAGE(INDEX($J$5:$J$34,L398):INDEX($J$5:$J$34,L398+M398-1)),"")</f>
        <v/>
      </c>
      <c r="P398" t="str">
        <f>IF(N398=1,IF(O398&lt;=SIM_COMBINACIONES!$B$5,1,0),"")</f>
        <v/>
      </c>
      <c r="Q398" t="str">
        <f>IF(N398=1,IF(P398=1,-M398,100)+O398+ROW()*0.000000000001,"")</f>
        <v/>
      </c>
    </row>
    <row r="399" spans="12:17" x14ac:dyDescent="0.3">
      <c r="L399">
        <v>24</v>
      </c>
      <c r="M399">
        <v>6</v>
      </c>
      <c r="N399">
        <f>IF(L399+M399-1&lt;=$J$2,1,0)</f>
        <v>0</v>
      </c>
      <c r="O399" t="str">
        <f>IF(N399=1,_xlfn.STDEV.S(INDEX($J$5:$J$34,L399):INDEX($J$5:$J$34,L399+M399-1))/AVERAGE(INDEX($J$5:$J$34,L399):INDEX($J$5:$J$34,L399+M399-1)),"")</f>
        <v/>
      </c>
      <c r="P399" t="str">
        <f>IF(N399=1,IF(O399&lt;=SIM_COMBINACIONES!$B$5,1,0),"")</f>
        <v/>
      </c>
      <c r="Q399" t="str">
        <f>IF(N399=1,IF(P399=1,-M399,100)+O399+ROW()*0.000000000001,"")</f>
        <v/>
      </c>
    </row>
    <row r="400" spans="12:17" x14ac:dyDescent="0.3">
      <c r="L400">
        <v>24</v>
      </c>
      <c r="M400">
        <v>7</v>
      </c>
      <c r="N400">
        <f>IF(L400+M400-1&lt;=$J$2,1,0)</f>
        <v>0</v>
      </c>
      <c r="O400" t="str">
        <f>IF(N400=1,_xlfn.STDEV.S(INDEX($J$5:$J$34,L400):INDEX($J$5:$J$34,L400+M400-1))/AVERAGE(INDEX($J$5:$J$34,L400):INDEX($J$5:$J$34,L400+M400-1)),"")</f>
        <v/>
      </c>
      <c r="P400" t="str">
        <f>IF(N400=1,IF(O400&lt;=SIM_COMBINACIONES!$B$5,1,0),"")</f>
        <v/>
      </c>
      <c r="Q400" t="str">
        <f>IF(N400=1,IF(P400=1,-M400,100)+O400+ROW()*0.000000000001,"")</f>
        <v/>
      </c>
    </row>
    <row r="401" spans="12:17" x14ac:dyDescent="0.3">
      <c r="L401">
        <v>25</v>
      </c>
      <c r="M401">
        <v>3</v>
      </c>
      <c r="N401">
        <f>IF(L401+M401-1&lt;=$J$2,1,0)</f>
        <v>0</v>
      </c>
      <c r="O401" t="str">
        <f>IF(N401=1,_xlfn.STDEV.S(INDEX($J$5:$J$34,L401):INDEX($J$5:$J$34,L401+M401-1))/AVERAGE(INDEX($J$5:$J$34,L401):INDEX($J$5:$J$34,L401+M401-1)),"")</f>
        <v/>
      </c>
      <c r="P401" t="str">
        <f>IF(N401=1,IF(O401&lt;=SIM_COMBINACIONES!$B$5,1,0),"")</f>
        <v/>
      </c>
      <c r="Q401" t="str">
        <f>IF(N401=1,IF(P401=1,-M401,100)+O401+ROW()*0.000000000001,"")</f>
        <v/>
      </c>
    </row>
    <row r="402" spans="12:17" x14ac:dyDescent="0.3">
      <c r="L402">
        <v>25</v>
      </c>
      <c r="M402">
        <v>4</v>
      </c>
      <c r="N402">
        <f>IF(L402+M402-1&lt;=$J$2,1,0)</f>
        <v>0</v>
      </c>
      <c r="O402" t="str">
        <f>IF(N402=1,_xlfn.STDEV.S(INDEX($J$5:$J$34,L402):INDEX($J$5:$J$34,L402+M402-1))/AVERAGE(INDEX($J$5:$J$34,L402):INDEX($J$5:$J$34,L402+M402-1)),"")</f>
        <v/>
      </c>
      <c r="P402" t="str">
        <f>IF(N402=1,IF(O402&lt;=SIM_COMBINACIONES!$B$5,1,0),"")</f>
        <v/>
      </c>
      <c r="Q402" t="str">
        <f>IF(N402=1,IF(P402=1,-M402,100)+O402+ROW()*0.000000000001,"")</f>
        <v/>
      </c>
    </row>
    <row r="403" spans="12:17" x14ac:dyDescent="0.3">
      <c r="L403">
        <v>25</v>
      </c>
      <c r="M403">
        <v>5</v>
      </c>
      <c r="N403">
        <f>IF(L403+M403-1&lt;=$J$2,1,0)</f>
        <v>0</v>
      </c>
      <c r="O403" t="str">
        <f>IF(N403=1,_xlfn.STDEV.S(INDEX($J$5:$J$34,L403):INDEX($J$5:$J$34,L403+M403-1))/AVERAGE(INDEX($J$5:$J$34,L403):INDEX($J$5:$J$34,L403+M403-1)),"")</f>
        <v/>
      </c>
      <c r="P403" t="str">
        <f>IF(N403=1,IF(O403&lt;=SIM_COMBINACIONES!$B$5,1,0),"")</f>
        <v/>
      </c>
      <c r="Q403" t="str">
        <f>IF(N403=1,IF(P403=1,-M403,100)+O403+ROW()*0.000000000001,"")</f>
        <v/>
      </c>
    </row>
    <row r="404" spans="12:17" x14ac:dyDescent="0.3">
      <c r="L404">
        <v>25</v>
      </c>
      <c r="M404">
        <v>6</v>
      </c>
      <c r="N404">
        <f>IF(L404+M404-1&lt;=$J$2,1,0)</f>
        <v>0</v>
      </c>
      <c r="O404" t="str">
        <f>IF(N404=1,_xlfn.STDEV.S(INDEX($J$5:$J$34,L404):INDEX($J$5:$J$34,L404+M404-1))/AVERAGE(INDEX($J$5:$J$34,L404):INDEX($J$5:$J$34,L404+M404-1)),"")</f>
        <v/>
      </c>
      <c r="P404" t="str">
        <f>IF(N404=1,IF(O404&lt;=SIM_COMBINACIONES!$B$5,1,0),"")</f>
        <v/>
      </c>
      <c r="Q404" t="str">
        <f>IF(N404=1,IF(P404=1,-M404,100)+O404+ROW()*0.000000000001,"")</f>
        <v/>
      </c>
    </row>
    <row r="405" spans="12:17" x14ac:dyDescent="0.3">
      <c r="L405">
        <v>26</v>
      </c>
      <c r="M405">
        <v>3</v>
      </c>
      <c r="N405">
        <f>IF(L405+M405-1&lt;=$J$2,1,0)</f>
        <v>0</v>
      </c>
      <c r="O405" t="str">
        <f>IF(N405=1,_xlfn.STDEV.S(INDEX($J$5:$J$34,L405):INDEX($J$5:$J$34,L405+M405-1))/AVERAGE(INDEX($J$5:$J$34,L405):INDEX($J$5:$J$34,L405+M405-1)),"")</f>
        <v/>
      </c>
      <c r="P405" t="str">
        <f>IF(N405=1,IF(O405&lt;=SIM_COMBINACIONES!$B$5,1,0),"")</f>
        <v/>
      </c>
      <c r="Q405" t="str">
        <f>IF(N405=1,IF(P405=1,-M405,100)+O405+ROW()*0.000000000001,"")</f>
        <v/>
      </c>
    </row>
    <row r="406" spans="12:17" x14ac:dyDescent="0.3">
      <c r="L406">
        <v>26</v>
      </c>
      <c r="M406">
        <v>4</v>
      </c>
      <c r="N406">
        <f>IF(L406+M406-1&lt;=$J$2,1,0)</f>
        <v>0</v>
      </c>
      <c r="O406" t="str">
        <f>IF(N406=1,_xlfn.STDEV.S(INDEX($J$5:$J$34,L406):INDEX($J$5:$J$34,L406+M406-1))/AVERAGE(INDEX($J$5:$J$34,L406):INDEX($J$5:$J$34,L406+M406-1)),"")</f>
        <v/>
      </c>
      <c r="P406" t="str">
        <f>IF(N406=1,IF(O406&lt;=SIM_COMBINACIONES!$B$5,1,0),"")</f>
        <v/>
      </c>
      <c r="Q406" t="str">
        <f>IF(N406=1,IF(P406=1,-M406,100)+O406+ROW()*0.000000000001,"")</f>
        <v/>
      </c>
    </row>
    <row r="407" spans="12:17" x14ac:dyDescent="0.3">
      <c r="L407">
        <v>26</v>
      </c>
      <c r="M407">
        <v>5</v>
      </c>
      <c r="N407">
        <f>IF(L407+M407-1&lt;=$J$2,1,0)</f>
        <v>0</v>
      </c>
      <c r="O407" t="str">
        <f>IF(N407=1,_xlfn.STDEV.S(INDEX($J$5:$J$34,L407):INDEX($J$5:$J$34,L407+M407-1))/AVERAGE(INDEX($J$5:$J$34,L407):INDEX($J$5:$J$34,L407+M407-1)),"")</f>
        <v/>
      </c>
      <c r="P407" t="str">
        <f>IF(N407=1,IF(O407&lt;=SIM_COMBINACIONES!$B$5,1,0),"")</f>
        <v/>
      </c>
      <c r="Q407" t="str">
        <f>IF(N407=1,IF(P407=1,-M407,100)+O407+ROW()*0.000000000001,"")</f>
        <v/>
      </c>
    </row>
    <row r="408" spans="12:17" x14ac:dyDescent="0.3">
      <c r="L408">
        <v>27</v>
      </c>
      <c r="M408">
        <v>3</v>
      </c>
      <c r="N408">
        <f>IF(L408+M408-1&lt;=$J$2,1,0)</f>
        <v>0</v>
      </c>
      <c r="O408" t="str">
        <f>IF(N408=1,_xlfn.STDEV.S(INDEX($J$5:$J$34,L408):INDEX($J$5:$J$34,L408+M408-1))/AVERAGE(INDEX($J$5:$J$34,L408):INDEX($J$5:$J$34,L408+M408-1)),"")</f>
        <v/>
      </c>
      <c r="P408" t="str">
        <f>IF(N408=1,IF(O408&lt;=SIM_COMBINACIONES!$B$5,1,0),"")</f>
        <v/>
      </c>
      <c r="Q408" t="str">
        <f>IF(N408=1,IF(P408=1,-M408,100)+O408+ROW()*0.000000000001,"")</f>
        <v/>
      </c>
    </row>
    <row r="409" spans="12:17" x14ac:dyDescent="0.3">
      <c r="L409">
        <v>27</v>
      </c>
      <c r="M409">
        <v>4</v>
      </c>
      <c r="N409">
        <f>IF(L409+M409-1&lt;=$J$2,1,0)</f>
        <v>0</v>
      </c>
      <c r="O409" t="str">
        <f>IF(N409=1,_xlfn.STDEV.S(INDEX($J$5:$J$34,L409):INDEX($J$5:$J$34,L409+M409-1))/AVERAGE(INDEX($J$5:$J$34,L409):INDEX($J$5:$J$34,L409+M409-1)),"")</f>
        <v/>
      </c>
      <c r="P409" t="str">
        <f>IF(N409=1,IF(O409&lt;=SIM_COMBINACIONES!$B$5,1,0),"")</f>
        <v/>
      </c>
      <c r="Q409" t="str">
        <f>IF(N409=1,IF(P409=1,-M409,100)+O409+ROW()*0.000000000001,"")</f>
        <v/>
      </c>
    </row>
    <row r="410" spans="12:17" x14ac:dyDescent="0.3">
      <c r="L410">
        <v>28</v>
      </c>
      <c r="M410">
        <v>3</v>
      </c>
      <c r="N410">
        <f>IF(L410+M410-1&lt;=$J$2,1,0)</f>
        <v>0</v>
      </c>
      <c r="O410" t="str">
        <f>IF(N410=1,_xlfn.STDEV.S(INDEX($J$5:$J$34,L410):INDEX($J$5:$J$34,L410+M410-1))/AVERAGE(INDEX($J$5:$J$34,L410):INDEX($J$5:$J$34,L410+M410-1)),"")</f>
        <v/>
      </c>
      <c r="P410" t="str">
        <f>IF(N410=1,IF(O410&lt;=SIM_COMBINACIONES!$B$5,1,0),"")</f>
        <v/>
      </c>
      <c r="Q410" t="str">
        <f>IF(N410=1,IF(P410=1,-M410,100)+O410+ROW()*0.000000000001,"")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GUÍA</vt:lpstr>
      <vt:lpstr>MERCADO RURAL</vt:lpstr>
      <vt:lpstr>KML_OFERTAS</vt:lpstr>
      <vt:lpstr>COMBINACIONES</vt:lpstr>
      <vt:lpstr>DEPRECIACIÓN</vt:lpstr>
      <vt:lpstr>LIQUIDACIÓN</vt:lpstr>
      <vt:lpstr>AUX_COMBINACIONES</vt:lpstr>
      <vt:lpstr>PROYECCIÓN</vt:lpstr>
      <vt:lpstr>SIM_MERCADO</vt:lpstr>
      <vt:lpstr>SIM_COMBINACIONES</vt:lpstr>
      <vt:lpstr>SIM_DEPRECIACIÓN</vt:lpstr>
      <vt:lpstr>SIM_LIQUIDACIÓN</vt:lpstr>
      <vt:lpstr>SIM_PROYECCIÓN</vt:lpstr>
      <vt:lpstr>SIM_AUX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rreyes</dc:creator>
  <cp:lastModifiedBy>Andrés Cuartas</cp:lastModifiedBy>
  <cp:lastPrinted>2009-02-02T20:40:50Z</cp:lastPrinted>
  <dcterms:created xsi:type="dcterms:W3CDTF">2008-10-17T19:13:21Z</dcterms:created>
  <dcterms:modified xsi:type="dcterms:W3CDTF">2026-10-02T00:59:19Z</dcterms:modified>
</cp:coreProperties>
</file>