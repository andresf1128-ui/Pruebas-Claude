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1000" firstSheet="1" activeTab="5" autoFilterDateGrouping="1"/>
  </bookViews>
  <sheets>
    <sheet name="GUÍA" sheetId="1" state="visible" r:id="rId1"/>
    <sheet name="DATOS" sheetId="2" state="visible" r:id="rId2"/>
    <sheet name="MERCADO NPH" sheetId="3" state="visible" r:id="rId3"/>
    <sheet name="MERCADO CASAS 1-2-3" sheetId="4" state="visible" r:id="rId4"/>
    <sheet name="COMBINACIONES BELLO" sheetId="5" state="visible" r:id="rId5"/>
    <sheet name="OFERTAS CASA-APTO BELLO" sheetId="6" state="visible" r:id="rId6"/>
    <sheet name="COMBINACIONES_NPH" sheetId="7" state="visible" r:id="rId7"/>
    <sheet name="DEPRECIACIÓN" sheetId="8" state="visible" r:id="rId8"/>
    <sheet name="LIQUIDACIÓN_NPH" sheetId="9" state="visible" r:id="rId9"/>
    <sheet name="AUX_NPH" sheetId="10" state="visible" r:id="rId10"/>
    <sheet name="MERCADO PH" sheetId="11" state="visible" r:id="rId11"/>
    <sheet name="COMBINACIONES_PH" sheetId="12" state="visible" r:id="rId12"/>
    <sheet name="LIQUIDACIÓN_PH" sheetId="13" state="visible" r:id="rId13"/>
    <sheet name="CHEQUEOS" sheetId="14" state="visible" r:id="rId14"/>
    <sheet name="KML_OFERTAS" sheetId="15" state="visible" r:id="rId15"/>
    <sheet name="AUX_PH" sheetId="16" state="visible" r:id="rId16"/>
    <sheet name="OFERTAS RETIRADAS (PH)" sheetId="17" state="visible" r:id="rId17"/>
  </sheets>
  <definedNames>
    <definedName name="_xlnm._FilterDatabase" localSheetId="4" hidden="1">'COMBINACIONES BELLO'!$A$8:$N$165</definedName>
  </definedNames>
  <calcPr calcId="191029" fullCalcOnLoad="1" iterateDelta="0.0001"/>
</workbook>
</file>

<file path=xl/styles.xml><?xml version="1.0" encoding="utf-8"?>
<styleSheet xmlns="http://schemas.openxmlformats.org/spreadsheetml/2006/main">
  <numFmts count="8">
    <numFmt numFmtId="164" formatCode="dd/mm/yyyy"/>
    <numFmt numFmtId="165" formatCode="0.0%"/>
    <numFmt numFmtId="166" formatCode="&quot;$ &quot;#,##0"/>
    <numFmt numFmtId="167" formatCode="0.000"/>
    <numFmt numFmtId="168" formatCode="0.0000"/>
    <numFmt numFmtId="169" formatCode="0.000%"/>
    <numFmt numFmtId="170" formatCode="&quot;$&quot;\ #,##0"/>
    <numFmt numFmtId="171" formatCode="yyyy-mm-dd h:mm:ss"/>
  </numFmts>
  <fonts count="39">
    <font>
      <name val="Calibri"/>
      <charset val="1"/>
      <family val="2"/>
      <color theme="1"/>
      <sz val="11"/>
    </font>
    <font>
      <name val="Arial"/>
      <charset val="1"/>
      <b val="1"/>
      <color rgb="FF1F3864"/>
      <sz val="13"/>
    </font>
    <font>
      <name val="Arial"/>
      <charset val="1"/>
      <b val="1"/>
      <color rgb="FFFFFFFF"/>
      <sz val="9"/>
    </font>
    <font>
      <name val="Arial"/>
      <charset val="1"/>
      <b val="1"/>
      <sz val="9"/>
    </font>
    <font>
      <name val="Arial"/>
      <charset val="1"/>
      <sz val="9"/>
    </font>
    <font>
      <name val="Arial"/>
      <charset val="1"/>
      <i val="1"/>
      <color rgb="FF595959"/>
      <sz val="8"/>
    </font>
    <font>
      <name val="Arial"/>
      <charset val="1"/>
      <color rgb="FF008000"/>
      <sz val="9"/>
    </font>
    <font>
      <name val="Arial"/>
      <charset val="1"/>
      <color rgb="FF0563C1"/>
      <sz val="9"/>
      <u val="single"/>
    </font>
    <font>
      <name val="Arial"/>
      <charset val="1"/>
      <b val="1"/>
      <sz val="10"/>
    </font>
    <font>
      <name val="Arial"/>
      <charset val="1"/>
      <b val="1"/>
      <color rgb="FFC00000"/>
      <sz val="9"/>
    </font>
    <font>
      <name val="Tahoma"/>
      <charset val="1"/>
      <family val="2"/>
      <b val="1"/>
      <color rgb="FF000000"/>
      <sz val="8"/>
    </font>
    <font>
      <name val="Tahoma"/>
      <charset val="1"/>
      <color theme="1"/>
      <sz val="8"/>
    </font>
    <font>
      <name val="Calibri"/>
      <charset val="1"/>
      <family val="2"/>
      <color theme="10"/>
      <sz val="11"/>
      <u val="single"/>
    </font>
    <font>
      <name val="Arial"/>
      <charset val="1"/>
      <color rgb="FF000000"/>
      <sz val="9"/>
    </font>
    <font>
      <name val="Tahoma"/>
      <charset val="1"/>
      <color rgb="FF000000"/>
      <sz val="8"/>
    </font>
    <font>
      <name val="Arial"/>
      <family val="2"/>
      <b val="1"/>
      <color rgb="FF000000"/>
      <sz val="9"/>
    </font>
    <font>
      <name val="Calibri"/>
      <charset val="1"/>
      <family val="2"/>
      <color rgb="FF0563C1"/>
      <sz val="11"/>
      <u val="single"/>
    </font>
    <font>
      <name val="Arial"/>
      <family val="2"/>
      <color rgb="FF000000"/>
      <sz val="9"/>
    </font>
    <font>
      <name val="Arial"/>
      <family val="2"/>
      <b val="1"/>
      <color rgb="FF1F3864"/>
      <sz val="12"/>
    </font>
    <font>
      <name val="Arial"/>
      <family val="2"/>
      <i val="1"/>
      <color rgb="FF595959"/>
      <sz val="9"/>
    </font>
    <font>
      <name val="Arial"/>
      <family val="2"/>
      <b val="1"/>
      <color rgb="FFFFFFFF"/>
      <sz val="9"/>
    </font>
    <font>
      <name val="Arial"/>
      <family val="2"/>
      <color rgb="FF0563C1"/>
      <sz val="9"/>
      <u val="single"/>
    </font>
    <font>
      <name val="Calibri"/>
      <charset val="1"/>
      <family val="2"/>
      <b val="1"/>
      <color rgb="FFFFFFFF"/>
      <sz val="11"/>
    </font>
    <font>
      <name val="Arial"/>
      <color rgb="FF000000"/>
      <sz val="9"/>
    </font>
    <font>
      <name val="Arial"/>
      <color theme="1"/>
      <sz val="9"/>
    </font>
    <font>
      <name val="Arial"/>
      <b val="1"/>
      <color rgb="FF000000"/>
      <sz val="9"/>
    </font>
    <font>
      <name val="Arial"/>
      <b val="1"/>
      <color rgb="FF1F3864"/>
      <sz val="11"/>
    </font>
    <font>
      <name val="Arial"/>
      <b val="1"/>
      <color rgb="FFFFFFFF"/>
      <sz val="9"/>
    </font>
    <font>
      <name val="Arial"/>
      <i val="1"/>
      <color rgb="FF595959"/>
      <sz val="9"/>
    </font>
    <font>
      <name val="Arial"/>
      <b val="1"/>
      <i val="1"/>
      <color rgb="FF595959"/>
      <sz val="8"/>
    </font>
    <font>
      <name val="Arial"/>
      <b val="1"/>
      <color rgb="FF1F3864"/>
      <sz val="12"/>
    </font>
    <font>
      <name val="Arial"/>
      <color rgb="FF595959"/>
      <sz val="9"/>
    </font>
    <font>
      <name val="Arial"/>
      <i val="1"/>
      <color rgb="FF595959"/>
      <sz val="8"/>
    </font>
    <font>
      <name val="Arial"/>
      <b val="1"/>
      <color rgb="FF595959"/>
      <sz val="9"/>
    </font>
    <font>
      <name val="Arial"/>
      <color rgb="FF008000"/>
      <sz val="9"/>
    </font>
    <font>
      <name val="Arial"/>
      <family val="2"/>
      <sz val="10"/>
    </font>
    <font>
      <name val="Calibri"/>
      <charset val="1"/>
      <family val="2"/>
      <sz val="10"/>
      <u val="single"/>
    </font>
    <font>
      <name val="Calibri"/>
      <charset val="1"/>
      <family val="2"/>
      <sz val="10"/>
    </font>
    <font>
      <b val="1"/>
    </font>
  </fonts>
  <fills count="12">
    <fill>
      <patternFill/>
    </fill>
    <fill>
      <patternFill patternType="gray125"/>
    </fill>
    <fill>
      <patternFill patternType="solid">
        <fgColor rgb="FF1F3864"/>
        <bgColor rgb="FF333333"/>
      </patternFill>
    </fill>
    <fill>
      <patternFill patternType="solid">
        <fgColor rgb="FFDDEBF7"/>
        <bgColor rgb="FFE2EFDA"/>
      </patternFill>
    </fill>
    <fill>
      <patternFill patternType="solid">
        <fgColor rgb="FFFFF2CC"/>
        <bgColor rgb="FFFCE4D6"/>
      </patternFill>
    </fill>
    <fill>
      <patternFill patternType="solid">
        <fgColor rgb="FFE2EFDA"/>
        <bgColor rgb="FFDDEBF7"/>
      </patternFill>
    </fill>
    <fill>
      <patternFill patternType="solid">
        <fgColor rgb="FFFFFF00"/>
        <bgColor indexed="64"/>
      </patternFill>
    </fill>
    <fill>
      <patternFill patternType="solid">
        <fgColor rgb="FF1F3864"/>
        <bgColor indexed="64"/>
      </patternFill>
    </fill>
    <fill>
      <patternFill patternType="solid">
        <fgColor rgb="FFDDEBF7"/>
        <bgColor indexed="64"/>
      </patternFill>
    </fill>
    <fill>
      <patternFill patternType="solid">
        <fgColor rgb="FFE2EFDA"/>
        <bgColor indexed="64"/>
      </patternFill>
    </fill>
    <fill>
      <patternFill patternType="solid">
        <fgColor rgb="FF595959"/>
        <bgColor indexed="64"/>
      </patternFill>
    </fill>
    <fill>
      <patternFill patternType="solid">
        <fgColor rgb="FFFFF2CC"/>
        <bgColor indexed="64"/>
      </patternFill>
    </fill>
  </fills>
  <borders count="14">
    <border>
      <left/>
      <right/>
      <top/>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style="thin">
        <color rgb="FFA6A6A6"/>
      </left>
      <right/>
      <top style="thin">
        <color rgb="FFA6A6A6"/>
      </top>
      <bottom/>
      <diagonal/>
    </border>
    <border>
      <left style="thin">
        <color rgb="FFA6A6A6"/>
      </left>
      <right style="thin">
        <color rgb="FFA6A6A6"/>
      </right>
      <top style="thin">
        <color rgb="FFA6A6A6"/>
      </top>
      <bottom/>
      <diagonal/>
    </border>
    <border>
      <left style="thin">
        <color indexed="64"/>
      </left>
      <right style="thin">
        <color indexed="64"/>
      </right>
      <top style="thin">
        <color indexed="64"/>
      </top>
      <bottom style="thin">
        <color indexed="64"/>
      </bottom>
      <diagonal/>
    </border>
    <border>
      <left style="thin">
        <color rgb="FFA6A6A6"/>
      </left>
      <right style="thin">
        <color rgb="FFA6A6A6"/>
      </right>
      <top/>
      <bottom style="thin">
        <color rgb="FFA6A6A6"/>
      </bottom>
      <diagonal/>
    </border>
    <border>
      <left style="thin">
        <color rgb="FFD9D9D9"/>
      </left>
      <right style="thin">
        <color rgb="FFD9D9D9"/>
      </right>
      <top style="thin">
        <color rgb="FFD9D9D9"/>
      </top>
      <bottom style="thin">
        <color rgb="FFD9D9D9"/>
      </bottom>
      <diagonal/>
    </border>
    <border>
      <left/>
      <right/>
      <top style="thin">
        <color rgb="FFA6A6A6"/>
      </top>
      <bottom/>
      <diagonal/>
    </border>
    <border>
      <left style="thin">
        <color rgb="FFA6A6A6"/>
      </left>
      <right/>
      <top/>
      <bottom/>
      <diagonal/>
    </border>
    <border>
      <left/>
      <right/>
      <top style="thin">
        <color rgb="FFA6A6A6"/>
      </top>
      <bottom style="thin">
        <color rgb="FFA6A6A6"/>
      </bottom>
      <diagonal/>
    </border>
    <border>
      <left/>
      <right style="thin">
        <color rgb="FFA6A6A6"/>
      </right>
      <top style="thin">
        <color rgb="FFA6A6A6"/>
      </top>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s>
  <cellStyleXfs count="2">
    <xf numFmtId="0" fontId="0" fillId="0" borderId="0"/>
    <xf numFmtId="0" fontId="12" fillId="0" borderId="0"/>
  </cellStyleXfs>
  <cellXfs count="219">
    <xf numFmtId="0" fontId="0" fillId="0" borderId="0" pivotButton="0" quotePrefix="0" xfId="0"/>
    <xf numFmtId="0" fontId="3" fillId="3" borderId="1" applyAlignment="1" pivotButton="0" quotePrefix="0" xfId="0">
      <alignment horizontal="left" vertical="center" wrapText="1"/>
    </xf>
    <xf numFmtId="0" fontId="9" fillId="0" borderId="0" applyAlignment="1" pivotButton="0" quotePrefix="0" xfId="0">
      <alignment vertical="top" wrapText="1"/>
    </xf>
    <xf numFmtId="0" fontId="5" fillId="0" borderId="3" applyAlignment="1" pivotButton="0" quotePrefix="0" xfId="0">
      <alignment horizontal="left" vertical="top" wrapText="1"/>
    </xf>
    <xf numFmtId="0" fontId="5" fillId="0" borderId="0" applyAlignment="1" pivotButton="0" quotePrefix="0" xfId="0">
      <alignment horizontal="left" vertical="center" wrapText="1"/>
    </xf>
    <xf numFmtId="0" fontId="6" fillId="0" borderId="2" applyAlignment="1" pivotButton="0" quotePrefix="0" xfId="0">
      <alignment horizontal="left" vertical="center" wrapText="1"/>
    </xf>
    <xf numFmtId="0" fontId="3" fillId="3" borderId="2" applyAlignment="1" pivotButton="0" quotePrefix="0" xfId="0">
      <alignment horizontal="left" vertical="center" wrapText="1"/>
    </xf>
    <xf numFmtId="10" fontId="6" fillId="0" borderId="2" applyAlignment="1" pivotButton="0" quotePrefix="0" xfId="0">
      <alignment horizontal="center" vertical="center" wrapText="1"/>
    </xf>
    <xf numFmtId="164" fontId="6" fillId="0" borderId="2"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top" wrapText="1"/>
    </xf>
    <xf numFmtId="0" fontId="1" fillId="0" borderId="0" applyAlignment="1" pivotButton="0" quotePrefix="0" xfId="0">
      <alignment horizontal="center" vertical="center"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left" vertical="center" wrapText="1"/>
    </xf>
    <xf numFmtId="0" fontId="5" fillId="0" borderId="0" pivotButton="0" quotePrefix="0" xfId="0"/>
    <xf numFmtId="0" fontId="2" fillId="2" borderId="1" applyAlignment="1" pivotButton="0" quotePrefix="0" xfId="0">
      <alignment horizontal="left" vertical="center" wrapText="1"/>
    </xf>
    <xf numFmtId="0" fontId="5" fillId="0" borderId="0" applyAlignment="1" pivotButton="0" quotePrefix="0" xfId="0">
      <alignment horizontal="left" vertical="center" wrapText="1"/>
    </xf>
    <xf numFmtId="0" fontId="3" fillId="3" borderId="1" applyAlignment="1" pivotButton="0" quotePrefix="0" xfId="0">
      <alignment horizontal="center" vertical="center" wrapText="1"/>
    </xf>
    <xf numFmtId="10"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6" fontId="4" fillId="0" borderId="1" applyAlignment="1" pivotButton="0" quotePrefix="0" xfId="0">
      <alignment horizontal="left" vertical="center" wrapText="1"/>
    </xf>
    <xf numFmtId="166" fontId="6" fillId="0" borderId="1" applyAlignment="1" pivotButton="0" quotePrefix="0" xfId="0">
      <alignment horizontal="left" vertical="center" wrapText="1"/>
    </xf>
    <xf numFmtId="0"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166" fontId="8" fillId="5" borderId="1" applyAlignment="1" pivotButton="0" quotePrefix="0" xfId="0">
      <alignment horizontal="center" vertical="center" wrapText="1"/>
    </xf>
    <xf numFmtId="166" fontId="4" fillId="0" borderId="1" applyAlignment="1" pivotButton="0" quotePrefix="0" xfId="0">
      <alignment horizontal="center" vertical="center" wrapText="1"/>
    </xf>
    <xf numFmtId="10" fontId="8" fillId="5" borderId="1" applyAlignment="1" pivotButton="0" quotePrefix="0" xfId="0">
      <alignment horizontal="center" vertical="center" wrapText="1"/>
    </xf>
    <xf numFmtId="167" fontId="4" fillId="0" borderId="1" applyAlignment="1" pivotButton="0" quotePrefix="0" xfId="0">
      <alignment horizontal="center" vertical="center" wrapText="1"/>
    </xf>
    <xf numFmtId="166" fontId="4" fillId="5" borderId="1" applyAlignment="1" pivotButton="0" quotePrefix="0" xfId="0">
      <alignment horizontal="center" vertical="center" wrapText="1"/>
    </xf>
    <xf numFmtId="168" fontId="4" fillId="0" borderId="1" applyAlignment="1" pivotButton="0" quotePrefix="0" xfId="0">
      <alignment horizontal="center" vertical="center" wrapText="1"/>
    </xf>
    <xf numFmtId="10" fontId="4" fillId="0" borderId="1" applyAlignment="1" pivotButton="0" quotePrefix="0" xfId="0">
      <alignment horizontal="center" vertical="center" wrapText="1"/>
    </xf>
    <xf numFmtId="169" fontId="4" fillId="0" borderId="1" applyAlignment="1" pivotButton="0" quotePrefix="0" xfId="0">
      <alignment horizontal="center" vertical="center" wrapText="1"/>
    </xf>
    <xf numFmtId="166"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10" fontId="4"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3" fillId="0" borderId="0" pivotButton="0" quotePrefix="0" xfId="0"/>
    <xf numFmtId="0" fontId="10" fillId="0" borderId="0" pivotButton="0" quotePrefix="0" xfId="0"/>
    <xf numFmtId="0" fontId="11" fillId="0" borderId="0" pivotButton="0" quotePrefix="0" xfId="0"/>
    <xf numFmtId="3" fontId="11" fillId="0" borderId="0" pivotButton="0" quotePrefix="0" xfId="0"/>
    <xf numFmtId="0" fontId="6" fillId="0" borderId="1" applyAlignment="1" pivotButton="0" quotePrefix="0" xfId="0">
      <alignment horizontal="left" vertical="center" wrapText="1"/>
    </xf>
    <xf numFmtId="4" fontId="4" fillId="0" borderId="1" applyAlignment="1" pivotButton="0" quotePrefix="0" xfId="0">
      <alignment horizontal="center" vertical="center" wrapText="1"/>
    </xf>
    <xf numFmtId="166" fontId="3" fillId="0" borderId="1" applyAlignment="1" pivotButton="0" quotePrefix="0" xfId="0">
      <alignment horizontal="center" vertical="center" wrapText="1"/>
    </xf>
    <xf numFmtId="166" fontId="5" fillId="0" borderId="1" applyAlignment="1" pivotButton="0" quotePrefix="0" xfId="0">
      <alignment horizontal="center" vertical="center" wrapText="1"/>
    </xf>
    <xf numFmtId="4" fontId="4" fillId="0" borderId="1" applyAlignment="1" pivotButton="0" quotePrefix="0" xfId="0">
      <alignment horizontal="left" vertical="center" wrapText="1"/>
    </xf>
    <xf numFmtId="4" fontId="5" fillId="0" borderId="1" applyAlignment="1" pivotButton="0" quotePrefix="0" xfId="0">
      <alignment horizontal="center" vertical="center" wrapText="1"/>
    </xf>
    <xf numFmtId="1" fontId="8" fillId="5" borderId="1" applyAlignment="1" pivotButton="0" quotePrefix="0" xfId="0">
      <alignment horizontal="center" vertical="center" wrapText="1"/>
    </xf>
    <xf numFmtId="0" fontId="3" fillId="0" borderId="1" applyAlignment="1" pivotButton="0" quotePrefix="0" xfId="0">
      <alignment horizontal="center" vertical="center" wrapText="1"/>
    </xf>
    <xf numFmtId="10" fontId="0" fillId="0" borderId="0" pivotButton="0" quotePrefix="0" xfId="0"/>
    <xf numFmtId="166" fontId="0" fillId="0" borderId="0" pivotButton="0" quotePrefix="0" xfId="0"/>
    <xf numFmtId="0" fontId="0" fillId="0" borderId="0" pivotButton="0" quotePrefix="0" xfId="0"/>
    <xf numFmtId="0" fontId="3" fillId="0" borderId="1" applyAlignment="1" pivotButton="0" quotePrefix="0" xfId="0">
      <alignment horizontal="left" vertical="center" wrapText="1"/>
    </xf>
    <xf numFmtId="0" fontId="3" fillId="0" borderId="3" applyAlignment="1" pivotButton="0" quotePrefix="0" xfId="0">
      <alignment horizontal="left" vertical="top" wrapText="1"/>
    </xf>
    <xf numFmtId="0" fontId="6" fillId="0" borderId="2" applyAlignment="1" pivotButton="0" quotePrefix="0" xfId="0">
      <alignment horizontal="center" vertical="center" wrapText="1"/>
    </xf>
    <xf numFmtId="0" fontId="2" fillId="2" borderId="2" applyAlignment="1" pivotButton="0" quotePrefix="0" xfId="0">
      <alignment horizontal="center" vertical="center" wrapText="1"/>
    </xf>
    <xf numFmtId="0" fontId="5" fillId="0" borderId="2" applyAlignment="1" pivotButton="0" quotePrefix="0" xfId="0">
      <alignment horizontal="left" vertical="center" wrapText="1"/>
    </xf>
    <xf numFmtId="0" fontId="8" fillId="5" borderId="2" applyAlignment="1" pivotButton="0" quotePrefix="0" xfId="0">
      <alignment horizontal="left" vertical="center" wrapText="1"/>
    </xf>
    <xf numFmtId="0" fontId="3" fillId="3" borderId="4" applyAlignment="1" pivotButton="0" quotePrefix="0" xfId="0">
      <alignment horizontal="left" vertical="center" wrapText="1"/>
    </xf>
    <xf numFmtId="0" fontId="3" fillId="0" borderId="3" applyAlignment="1" pivotButton="0" quotePrefix="0" xfId="0">
      <alignment horizontal="center" vertical="center" wrapText="1"/>
    </xf>
    <xf numFmtId="0" fontId="4" fillId="0" borderId="2" applyAlignment="1" pivotButton="0" quotePrefix="0" xfId="0">
      <alignment horizontal="left" vertical="center" wrapText="1"/>
    </xf>
    <xf numFmtId="0" fontId="13" fillId="4" borderId="1" applyAlignment="1" pivotButton="0" quotePrefix="0" xfId="0">
      <alignment horizontal="left" vertical="center" wrapText="1"/>
    </xf>
    <xf numFmtId="164" fontId="13" fillId="4" borderId="1" applyAlignment="1" pivotButton="0" quotePrefix="0" xfId="0">
      <alignment horizontal="left" vertical="center" wrapText="1"/>
    </xf>
    <xf numFmtId="10" fontId="13" fillId="4" borderId="1" applyAlignment="1" pivotButton="0" quotePrefix="0" xfId="0">
      <alignment horizontal="center" vertical="center" wrapText="1"/>
    </xf>
    <xf numFmtId="1" fontId="13" fillId="4" borderId="1" applyAlignment="1" pivotButton="0" quotePrefix="0" xfId="0">
      <alignment horizontal="center" vertical="center" wrapText="1"/>
    </xf>
    <xf numFmtId="0" fontId="13" fillId="4" borderId="1" applyAlignment="1" pivotButton="0" quotePrefix="0" xfId="0">
      <alignment horizontal="center" vertical="center" wrapText="1"/>
    </xf>
    <xf numFmtId="166" fontId="13" fillId="4" borderId="1" applyAlignment="1" pivotButton="0" quotePrefix="0" xfId="0">
      <alignment horizontal="center" vertical="center" wrapText="1"/>
    </xf>
    <xf numFmtId="0" fontId="13" fillId="0" borderId="1" applyAlignment="1" pivotButton="0" quotePrefix="0" xfId="0">
      <alignment horizontal="left" vertical="center" wrapText="1"/>
    </xf>
    <xf numFmtId="164" fontId="13" fillId="0" borderId="1" applyAlignment="1" pivotButton="0" quotePrefix="0" xfId="0">
      <alignment horizontal="left" vertical="center" wrapText="1"/>
    </xf>
    <xf numFmtId="166" fontId="13" fillId="0" borderId="1" applyAlignment="1" pivotButton="0" quotePrefix="0" xfId="0">
      <alignment horizontal="left" vertical="center" wrapText="1"/>
    </xf>
    <xf numFmtId="4" fontId="13" fillId="0" borderId="1" applyAlignment="1" pivotButton="0" quotePrefix="0" xfId="0">
      <alignment horizontal="left" vertical="center" wrapText="1"/>
    </xf>
    <xf numFmtId="0"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4" fontId="13" fillId="0" borderId="1" applyAlignment="1" pivotButton="0" quotePrefix="0" xfId="0">
      <alignment horizontal="center" vertical="center" wrapText="1"/>
    </xf>
    <xf numFmtId="0" fontId="13" fillId="4" borderId="1" applyAlignment="1" pivotButton="0" quotePrefix="0" xfId="0">
      <alignment horizontal="center" vertical="center" wrapText="1"/>
    </xf>
    <xf numFmtId="4" fontId="13" fillId="4" borderId="1" applyAlignment="1" pivotButton="0" quotePrefix="0" xfId="0">
      <alignment horizontal="center" vertical="center" wrapText="1"/>
    </xf>
    <xf numFmtId="0" fontId="14" fillId="0" borderId="0" pivotButton="0" quotePrefix="0" xfId="0"/>
    <xf numFmtId="0" fontId="16" fillId="0" borderId="1" applyAlignment="1" pivotButton="0" quotePrefix="0" xfId="1">
      <alignment horizontal="left" vertical="center" wrapText="1"/>
    </xf>
    <xf numFmtId="0" fontId="15" fillId="0" borderId="6" applyAlignment="1" pivotButton="0" quotePrefix="0" xfId="0">
      <alignment horizontal="center" vertical="center" wrapText="1"/>
    </xf>
    <xf numFmtId="164" fontId="13" fillId="0" borderId="6" applyAlignment="1" pivotButton="0" quotePrefix="0" xfId="0">
      <alignment horizontal="center" vertical="center" wrapText="1"/>
    </xf>
    <xf numFmtId="0" fontId="13" fillId="0" borderId="6" applyAlignment="1" pivotButton="0" quotePrefix="0" xfId="0">
      <alignment horizontal="center" vertical="center" wrapText="1"/>
    </xf>
    <xf numFmtId="166" fontId="13" fillId="0" borderId="6" applyAlignment="1" pivotButton="0" quotePrefix="0" xfId="0">
      <alignment horizontal="center" vertical="center" wrapText="1"/>
    </xf>
    <xf numFmtId="165" fontId="6" fillId="0" borderId="6" applyAlignment="1" pivotButton="0" quotePrefix="0" xfId="0">
      <alignment horizontal="center" vertical="center" wrapText="1"/>
    </xf>
    <xf numFmtId="166" fontId="4" fillId="0" borderId="6" applyAlignment="1" pivotButton="0" quotePrefix="0" xfId="0">
      <alignment horizontal="center" vertical="center" wrapText="1"/>
    </xf>
    <xf numFmtId="4" fontId="13" fillId="0" borderId="6" applyAlignment="1" pivotButton="0" quotePrefix="0" xfId="0">
      <alignment horizontal="center" vertical="center" wrapText="1"/>
    </xf>
    <xf numFmtId="166" fontId="6" fillId="0" borderId="6" applyAlignment="1" pivotButton="0" quotePrefix="0" xfId="0">
      <alignment horizontal="center" vertical="center" wrapText="1"/>
    </xf>
    <xf numFmtId="0" fontId="16" fillId="0" borderId="6" applyAlignment="1" pivotButton="0" quotePrefix="0" xfId="1">
      <alignment horizontal="center" vertical="center" wrapText="1"/>
    </xf>
    <xf numFmtId="0" fontId="4" fillId="0" borderId="6" applyAlignment="1" pivotButton="0" quotePrefix="0" xfId="0">
      <alignment horizontal="center" vertical="center" wrapText="1"/>
    </xf>
    <xf numFmtId="0" fontId="2" fillId="2" borderId="5" applyAlignment="1" pivotButton="0" quotePrefix="0" xfId="0">
      <alignment horizontal="center" vertical="center" wrapText="1"/>
    </xf>
    <xf numFmtId="0" fontId="15" fillId="0" borderId="5" applyAlignment="1" pivotButton="0" quotePrefix="0" xfId="0">
      <alignment horizontal="center" vertical="center" wrapText="1"/>
    </xf>
    <xf numFmtId="164" fontId="13" fillId="0" borderId="5" applyAlignment="1" pivotButton="0" quotePrefix="0" xfId="0">
      <alignment horizontal="center" vertical="center" wrapText="1"/>
    </xf>
    <xf numFmtId="0" fontId="13" fillId="0" borderId="5" applyAlignment="1" pivotButton="0" quotePrefix="0" xfId="0">
      <alignment horizontal="center" vertical="center" wrapText="1"/>
    </xf>
    <xf numFmtId="166" fontId="13" fillId="0" borderId="5" applyAlignment="1" pivotButton="0" quotePrefix="0" xfId="0">
      <alignment horizontal="center" vertical="center" wrapText="1"/>
    </xf>
    <xf numFmtId="165" fontId="6" fillId="0" borderId="5" applyAlignment="1" pivotButton="0" quotePrefix="0" xfId="0">
      <alignment horizontal="center" vertical="center" wrapText="1"/>
    </xf>
    <xf numFmtId="166" fontId="4" fillId="0" borderId="5" applyAlignment="1" pivotButton="0" quotePrefix="0" xfId="0">
      <alignment horizontal="center" vertical="center" wrapText="1"/>
    </xf>
    <xf numFmtId="4" fontId="13" fillId="0" borderId="5" applyAlignment="1" pivotButton="0" quotePrefix="0" xfId="0">
      <alignment horizontal="center" vertical="center" wrapText="1"/>
    </xf>
    <xf numFmtId="166" fontId="6" fillId="0" borderId="5" applyAlignment="1" pivotButton="0" quotePrefix="0" xfId="0">
      <alignment horizontal="center" vertical="center" wrapText="1"/>
    </xf>
    <xf numFmtId="0" fontId="7" fillId="0" borderId="5" applyAlignment="1" pivotButton="0" quotePrefix="0" xfId="0">
      <alignment horizontal="center" vertical="center" wrapText="1"/>
    </xf>
    <xf numFmtId="0" fontId="4" fillId="0" borderId="5" applyAlignment="1" pivotButton="0" quotePrefix="0" xfId="0">
      <alignment horizontal="center" vertical="center" wrapText="1"/>
    </xf>
    <xf numFmtId="0" fontId="16" fillId="0" borderId="5" applyAlignment="1" pivotButton="0" quotePrefix="0" xfId="1">
      <alignment horizontal="center" vertical="center" wrapText="1"/>
    </xf>
    <xf numFmtId="0" fontId="15" fillId="6" borderId="5" applyAlignment="1" pivotButton="0" quotePrefix="0" xfId="0">
      <alignment horizontal="center" vertical="center" wrapText="1"/>
    </xf>
    <xf numFmtId="0" fontId="17" fillId="0" borderId="0" pivotButton="0" quotePrefix="0" xfId="0"/>
    <xf numFmtId="0" fontId="18" fillId="0" borderId="0" pivotButton="0" quotePrefix="0" xfId="0"/>
    <xf numFmtId="0" fontId="19" fillId="0" borderId="0" pivotButton="0" quotePrefix="0" xfId="0"/>
    <xf numFmtId="0" fontId="20" fillId="7" borderId="1" applyAlignment="1" pivotButton="0" quotePrefix="0" xfId="0">
      <alignment horizontal="center" vertical="center" wrapText="1"/>
    </xf>
    <xf numFmtId="0" fontId="17" fillId="0" borderId="1" applyAlignment="1" pivotButton="0" quotePrefix="0" xfId="0">
      <alignment vertical="top" wrapText="1"/>
    </xf>
    <xf numFmtId="164" fontId="17" fillId="0" borderId="1" applyAlignment="1" pivotButton="0" quotePrefix="0" xfId="0">
      <alignment vertical="top" wrapText="1"/>
    </xf>
    <xf numFmtId="170" fontId="17" fillId="0" borderId="1" applyAlignment="1" pivotButton="0" quotePrefix="0" xfId="0">
      <alignment vertical="top" wrapText="1"/>
    </xf>
    <xf numFmtId="165" fontId="17" fillId="0" borderId="1" applyAlignment="1" pivotButton="0" quotePrefix="0" xfId="0">
      <alignment vertical="top" wrapText="1"/>
    </xf>
    <xf numFmtId="4" fontId="17" fillId="0" borderId="1" applyAlignment="1" pivotButton="0" quotePrefix="0" xfId="0">
      <alignment vertical="top" wrapText="1"/>
    </xf>
    <xf numFmtId="0" fontId="21" fillId="0" borderId="1" applyAlignment="1" pivotButton="0" quotePrefix="0" xfId="1">
      <alignment vertical="top" wrapText="1"/>
    </xf>
    <xf numFmtId="0" fontId="24" fillId="0" borderId="0" pivotButton="0" quotePrefix="0" xfId="0"/>
    <xf numFmtId="0" fontId="23" fillId="0" borderId="0" pivotButton="0" quotePrefix="0" xfId="0"/>
    <xf numFmtId="0" fontId="23" fillId="0" borderId="0" applyAlignment="1" pivotButton="0" quotePrefix="0" xfId="0">
      <alignment vertical="center"/>
    </xf>
    <xf numFmtId="0" fontId="26" fillId="0" borderId="0" applyAlignment="1" pivotButton="0" quotePrefix="0" xfId="0">
      <alignment vertical="center" wrapText="1"/>
    </xf>
    <xf numFmtId="0" fontId="25" fillId="8" borderId="0" applyAlignment="1" pivotButton="0" quotePrefix="0" xfId="0">
      <alignment vertical="center"/>
    </xf>
    <xf numFmtId="0" fontId="25" fillId="0" borderId="0" applyAlignment="1" pivotButton="0" quotePrefix="0" xfId="0">
      <alignment vertical="center"/>
    </xf>
    <xf numFmtId="0" fontId="23" fillId="0" borderId="0" applyAlignment="1" pivotButton="0" quotePrefix="0" xfId="0">
      <alignment horizontal="right" vertical="center"/>
    </xf>
    <xf numFmtId="0" fontId="27" fillId="7" borderId="1" applyAlignment="1" pivotButton="0" quotePrefix="0" xfId="0">
      <alignment horizontal="center" vertical="center"/>
    </xf>
    <xf numFmtId="0" fontId="25" fillId="8" borderId="1" applyAlignment="1" pivotButton="0" quotePrefix="0" xfId="0">
      <alignment vertical="center"/>
    </xf>
    <xf numFmtId="1" fontId="23" fillId="0" borderId="1" applyAlignment="1" pivotButton="0" quotePrefix="0" xfId="0">
      <alignment horizontal="right" vertical="center"/>
    </xf>
    <xf numFmtId="170" fontId="23" fillId="0" borderId="1" applyAlignment="1" pivotButton="0" quotePrefix="0" xfId="0">
      <alignment horizontal="right" vertical="center"/>
    </xf>
    <xf numFmtId="10" fontId="23" fillId="0" borderId="1" applyAlignment="1" pivotButton="0" quotePrefix="0" xfId="0">
      <alignment horizontal="right" vertical="center"/>
    </xf>
    <xf numFmtId="167" fontId="23" fillId="0" borderId="1" applyAlignment="1" pivotButton="0" quotePrefix="0" xfId="0">
      <alignment horizontal="right" vertical="center"/>
    </xf>
    <xf numFmtId="0" fontId="23" fillId="0" borderId="1" applyAlignment="1" pivotButton="0" quotePrefix="0" xfId="0">
      <alignment horizontal="right" vertical="center"/>
    </xf>
    <xf numFmtId="0" fontId="27" fillId="7" borderId="1" applyAlignment="1" pivotButton="0" quotePrefix="0" xfId="0">
      <alignment vertical="center"/>
    </xf>
    <xf numFmtId="0" fontId="27" fillId="7" borderId="1" applyAlignment="1" pivotButton="0" quotePrefix="0" xfId="0">
      <alignment horizontal="right" vertical="center"/>
    </xf>
    <xf numFmtId="0" fontId="25" fillId="9" borderId="1" applyAlignment="1" pivotButton="0" quotePrefix="0" xfId="0">
      <alignment vertical="center"/>
    </xf>
    <xf numFmtId="170" fontId="25" fillId="9" borderId="1" applyAlignment="1" pivotButton="0" quotePrefix="0" xfId="0">
      <alignment horizontal="right" vertical="center"/>
    </xf>
    <xf numFmtId="0" fontId="23" fillId="0" borderId="1" applyAlignment="1" pivotButton="0" quotePrefix="0" xfId="0">
      <alignment horizontal="left" vertical="top" wrapText="1"/>
    </xf>
    <xf numFmtId="0" fontId="27" fillId="10" borderId="0" applyAlignment="1" pivotButton="0" quotePrefix="0" xfId="0">
      <alignment horizontal="center" wrapText="1"/>
    </xf>
    <xf numFmtId="0" fontId="28" fillId="0" borderId="0" pivotButton="0" quotePrefix="0" xfId="0"/>
    <xf numFmtId="170" fontId="23" fillId="0" borderId="0" pivotButton="0" quotePrefix="0" xfId="0"/>
    <xf numFmtId="0" fontId="29" fillId="8" borderId="0" applyAlignment="1" pivotButton="0" quotePrefix="0" xfId="0">
      <alignment vertical="top" wrapText="1"/>
    </xf>
    <xf numFmtId="0" fontId="30" fillId="0" borderId="0" pivotButton="0" quotePrefix="0" xfId="0"/>
    <xf numFmtId="0" fontId="28" fillId="0" borderId="0" applyAlignment="1" pivotButton="0" quotePrefix="0" xfId="0">
      <alignment vertical="top" wrapText="1"/>
    </xf>
    <xf numFmtId="0" fontId="25" fillId="0" borderId="0" pivotButton="0" quotePrefix="0" xfId="0"/>
    <xf numFmtId="165" fontId="23" fillId="0" borderId="0" applyAlignment="1" pivotButton="0" quotePrefix="0" xfId="0">
      <alignment horizontal="right"/>
    </xf>
    <xf numFmtId="1" fontId="23" fillId="0" borderId="0" applyAlignment="1" pivotButton="0" quotePrefix="0" xfId="0">
      <alignment horizontal="right"/>
    </xf>
    <xf numFmtId="0" fontId="27" fillId="7" borderId="1" applyAlignment="1" pivotButton="0" quotePrefix="0" xfId="0">
      <alignment horizontal="center"/>
    </xf>
    <xf numFmtId="0" fontId="23" fillId="0" borderId="1" applyAlignment="1" pivotButton="0" quotePrefix="0" xfId="0">
      <alignment horizontal="right"/>
    </xf>
    <xf numFmtId="10" fontId="23" fillId="0" borderId="1" applyAlignment="1" pivotButton="0" quotePrefix="0" xfId="0">
      <alignment horizontal="right"/>
    </xf>
    <xf numFmtId="0" fontId="32" fillId="0" borderId="0" applyAlignment="1" pivotButton="0" quotePrefix="0" xfId="0">
      <alignment horizontal="right"/>
    </xf>
    <xf numFmtId="0" fontId="32" fillId="0" borderId="0" applyAlignment="1" pivotButton="0" quotePrefix="0" xfId="0">
      <alignment horizontal="center"/>
    </xf>
    <xf numFmtId="3" fontId="32" fillId="0" borderId="0" pivotButton="0" quotePrefix="0" xfId="0"/>
    <xf numFmtId="0" fontId="27" fillId="7" borderId="7" applyAlignment="1" pivotButton="0" quotePrefix="0" xfId="0">
      <alignment horizontal="center" vertical="center" wrapText="1"/>
    </xf>
    <xf numFmtId="0" fontId="23" fillId="0" borderId="7" pivotButton="0" quotePrefix="0" xfId="0"/>
    <xf numFmtId="0" fontId="23" fillId="0" borderId="7" applyAlignment="1" pivotButton="0" quotePrefix="0" xfId="0">
      <alignment horizontal="center"/>
    </xf>
    <xf numFmtId="170" fontId="23" fillId="0" borderId="7" pivotButton="0" quotePrefix="0" xfId="0"/>
    <xf numFmtId="10" fontId="23" fillId="0" borderId="7" pivotButton="0" quotePrefix="0" xfId="0"/>
    <xf numFmtId="0" fontId="31" fillId="0" borderId="7" applyAlignment="1" pivotButton="0" quotePrefix="0" xfId="0">
      <alignment horizontal="center"/>
    </xf>
    <xf numFmtId="0" fontId="23" fillId="11" borderId="7" pivotButton="0" quotePrefix="0" xfId="0"/>
    <xf numFmtId="0" fontId="23" fillId="11" borderId="7" applyAlignment="1" pivotButton="0" quotePrefix="0" xfId="0">
      <alignment horizontal="center"/>
    </xf>
    <xf numFmtId="170" fontId="23" fillId="11" borderId="7" pivotButton="0" quotePrefix="0" xfId="0"/>
    <xf numFmtId="10" fontId="23" fillId="11" borderId="7" pivotButton="0" quotePrefix="0" xfId="0"/>
    <xf numFmtId="0" fontId="23" fillId="9" borderId="7" pivotButton="0" quotePrefix="0" xfId="0"/>
    <xf numFmtId="0" fontId="23" fillId="9" borderId="7" applyAlignment="1" pivotButton="0" quotePrefix="0" xfId="0">
      <alignment horizontal="center"/>
    </xf>
    <xf numFmtId="170" fontId="23" fillId="9" borderId="7" pivotButton="0" quotePrefix="0" xfId="0"/>
    <xf numFmtId="10" fontId="23" fillId="9" borderId="7" pivotButton="0" quotePrefix="0" xfId="0"/>
    <xf numFmtId="0" fontId="23" fillId="11" borderId="7" pivotButton="0" quotePrefix="0" xfId="0"/>
    <xf numFmtId="0" fontId="23" fillId="9" borderId="7" pivotButton="0" quotePrefix="0" xfId="0"/>
    <xf numFmtId="0" fontId="23" fillId="0" borderId="7" pivotButton="0" quotePrefix="0" xfId="0"/>
    <xf numFmtId="0" fontId="25" fillId="8" borderId="1" applyAlignment="1" pivotButton="0" quotePrefix="0" xfId="0">
      <alignment vertical="center" wrapText="1"/>
    </xf>
    <xf numFmtId="0" fontId="30" fillId="0" borderId="0" applyAlignment="1" pivotButton="0" quotePrefix="0" xfId="0">
      <alignment vertical="center" wrapText="1"/>
    </xf>
    <xf numFmtId="0" fontId="33" fillId="0" borderId="0" applyAlignment="1" pivotButton="0" quotePrefix="0" xfId="0">
      <alignment vertical="center"/>
    </xf>
    <xf numFmtId="0" fontId="23" fillId="0" borderId="0" applyAlignment="1" pivotButton="0" quotePrefix="0" xfId="0">
      <alignment horizontal="left" vertical="center"/>
    </xf>
    <xf numFmtId="10" fontId="23" fillId="0" borderId="0" applyAlignment="1" pivotButton="0" quotePrefix="0" xfId="0">
      <alignment horizontal="left" vertical="center"/>
    </xf>
    <xf numFmtId="165" fontId="23" fillId="0" borderId="0" applyAlignment="1" pivotButton="0" quotePrefix="0" xfId="0">
      <alignment horizontal="left" vertical="center"/>
    </xf>
    <xf numFmtId="0" fontId="27" fillId="7" borderId="1" applyAlignment="1" pivotButton="0" quotePrefix="0" xfId="0">
      <alignment horizontal="center" vertical="center" wrapText="1"/>
    </xf>
    <xf numFmtId="0" fontId="25" fillId="0" borderId="0" applyAlignment="1" pivotButton="0" quotePrefix="0" xfId="0">
      <alignment horizontal="left" vertical="top" wrapText="1"/>
    </xf>
    <xf numFmtId="3" fontId="23" fillId="0" borderId="1" applyAlignment="1" pivotButton="0" quotePrefix="0" xfId="0">
      <alignment horizontal="right" vertical="center"/>
    </xf>
    <xf numFmtId="10" fontId="34" fillId="0" borderId="1" applyAlignment="1" pivotButton="0" quotePrefix="0" xfId="0">
      <alignment horizontal="right" vertical="center"/>
    </xf>
    <xf numFmtId="1" fontId="34" fillId="0" borderId="1" applyAlignment="1" pivotButton="0" quotePrefix="0" xfId="0">
      <alignment horizontal="right" vertical="center"/>
    </xf>
    <xf numFmtId="0" fontId="22" fillId="7" borderId="1" applyAlignment="1" pivotButton="0" quotePrefix="0" xfId="0">
      <alignment horizontal="center" wrapText="1"/>
    </xf>
    <xf numFmtId="0" fontId="26" fillId="0" borderId="0" applyAlignment="1" pivotButton="0" quotePrefix="0" xfId="0">
      <alignment vertical="center"/>
    </xf>
    <xf numFmtId="0" fontId="35" fillId="0" borderId="1" applyAlignment="1" pivotButton="0" quotePrefix="0" xfId="0">
      <alignment horizontal="center" vertical="center" wrapText="1"/>
    </xf>
    <xf numFmtId="164" fontId="35" fillId="0" borderId="1" applyAlignment="1" pivotButton="0" quotePrefix="0" xfId="0">
      <alignment horizontal="center" vertical="center" wrapText="1"/>
    </xf>
    <xf numFmtId="170" fontId="35" fillId="0" borderId="1" applyAlignment="1" pivotButton="0" quotePrefix="0" xfId="0">
      <alignment horizontal="center" vertical="center" wrapText="1"/>
    </xf>
    <xf numFmtId="165" fontId="35" fillId="0" borderId="1" applyAlignment="1" pivotButton="0" quotePrefix="0" xfId="0">
      <alignment horizontal="center" vertical="center" wrapText="1"/>
    </xf>
    <xf numFmtId="4" fontId="35" fillId="0" borderId="1" applyAlignment="1" pivotButton="0" quotePrefix="0" xfId="0">
      <alignment horizontal="center" vertical="center" wrapText="1"/>
    </xf>
    <xf numFmtId="170" fontId="35" fillId="8" borderId="1" applyAlignment="1" pivotButton="0" quotePrefix="0" xfId="0">
      <alignment horizontal="center" vertical="center" wrapText="1"/>
    </xf>
    <xf numFmtId="0" fontId="36" fillId="0" borderId="1" applyAlignment="1" pivotButton="0" quotePrefix="0" xfId="1">
      <alignment horizontal="center" vertical="center" wrapText="1"/>
    </xf>
    <xf numFmtId="10" fontId="35" fillId="0" borderId="1" applyAlignment="1" pivotButton="0" quotePrefix="0" xfId="0">
      <alignment horizontal="center" vertical="center" wrapText="1"/>
    </xf>
    <xf numFmtId="0" fontId="37" fillId="0" borderId="0" applyAlignment="1" pivotButton="0" quotePrefix="0" xfId="0">
      <alignment horizontal="center" vertical="center"/>
    </xf>
    <xf numFmtId="166" fontId="13" fillId="4" borderId="1" applyAlignment="1" pivotButton="0" quotePrefix="0" xfId="0">
      <alignment horizontal="center" vertical="center" wrapText="1"/>
    </xf>
    <xf numFmtId="0" fontId="0" fillId="0" borderId="10" pivotButton="0" quotePrefix="0" xfId="0"/>
    <xf numFmtId="166" fontId="13" fillId="0" borderId="5" applyAlignment="1" pivotButton="0" quotePrefix="0" xfId="0">
      <alignment horizontal="center" vertical="center" wrapText="1"/>
    </xf>
    <xf numFmtId="165" fontId="6" fillId="0" borderId="5" applyAlignment="1" pivotButton="0" quotePrefix="0" xfId="0">
      <alignment horizontal="center" vertical="center" wrapText="1"/>
    </xf>
    <xf numFmtId="166" fontId="4" fillId="0" borderId="5" applyAlignment="1" pivotButton="0" quotePrefix="0" xfId="0">
      <alignment horizontal="center" vertical="center" wrapText="1"/>
    </xf>
    <xf numFmtId="166" fontId="6" fillId="0" borderId="5" applyAlignment="1" pivotButton="0" quotePrefix="0" xfId="0">
      <alignment horizontal="center" vertical="center" wrapText="1"/>
    </xf>
    <xf numFmtId="166" fontId="13" fillId="0" borderId="6" applyAlignment="1" pivotButton="0" quotePrefix="0" xfId="0">
      <alignment horizontal="center" vertical="center" wrapText="1"/>
    </xf>
    <xf numFmtId="165" fontId="6" fillId="0" borderId="6" applyAlignment="1" pivotButton="0" quotePrefix="0" xfId="0">
      <alignment horizontal="center" vertical="center" wrapText="1"/>
    </xf>
    <xf numFmtId="166" fontId="4" fillId="0" borderId="6" applyAlignment="1" pivotButton="0" quotePrefix="0" xfId="0">
      <alignment horizontal="center" vertical="center" wrapText="1"/>
    </xf>
    <xf numFmtId="166" fontId="6" fillId="0" borderId="6" applyAlignment="1" pivotButton="0" quotePrefix="0" xfId="0">
      <alignment horizontal="center" vertical="center" wrapText="1"/>
    </xf>
    <xf numFmtId="166" fontId="13" fillId="0" borderId="1" applyAlignment="1" pivotButton="0" quotePrefix="0" xfId="0">
      <alignment horizontal="left" vertical="center" wrapText="1"/>
    </xf>
    <xf numFmtId="165" fontId="6" fillId="0" borderId="1" applyAlignment="1" pivotButton="0" quotePrefix="0" xfId="0">
      <alignment horizontal="center" vertical="center" wrapText="1"/>
    </xf>
    <xf numFmtId="166" fontId="4" fillId="0" borderId="1" applyAlignment="1" pivotButton="0" quotePrefix="0" xfId="0">
      <alignment horizontal="left" vertical="center" wrapText="1"/>
    </xf>
    <xf numFmtId="166" fontId="6" fillId="0" borderId="1" applyAlignment="1" pivotButton="0" quotePrefix="0" xfId="0">
      <alignment horizontal="left" vertical="center" wrapText="1"/>
    </xf>
    <xf numFmtId="166" fontId="8" fillId="5" borderId="1" applyAlignment="1" pivotButton="0" quotePrefix="0" xfId="0">
      <alignment horizontal="center" vertical="center" wrapText="1"/>
    </xf>
    <xf numFmtId="166" fontId="4" fillId="0" borderId="1" applyAlignment="1" pivotButton="0" quotePrefix="0" xfId="0">
      <alignment horizontal="center" vertical="center" wrapText="1"/>
    </xf>
    <xf numFmtId="166" fontId="4" fillId="5" borderId="1" applyAlignment="1" pivotButton="0" quotePrefix="0" xfId="0">
      <alignment horizontal="center" vertical="center" wrapText="1"/>
    </xf>
    <xf numFmtId="0" fontId="0" fillId="0" borderId="8" pivotButton="0" quotePrefix="0" xfId="0"/>
    <xf numFmtId="0" fontId="0" fillId="0" borderId="9" pivotButton="0" quotePrefix="0" xfId="0"/>
    <xf numFmtId="165" fontId="23" fillId="0" borderId="0" applyAlignment="1" pivotButton="0" quotePrefix="0" xfId="0">
      <alignment horizontal="left" vertical="center"/>
    </xf>
    <xf numFmtId="165" fontId="35" fillId="0" borderId="1" applyAlignment="1" pivotButton="0" quotePrefix="0" xfId="0">
      <alignment horizontal="center" vertical="center" wrapText="1"/>
    </xf>
    <xf numFmtId="165" fontId="23" fillId="0" borderId="0" applyAlignment="1" pivotButton="0" quotePrefix="0" xfId="0">
      <alignment horizontal="right"/>
    </xf>
    <xf numFmtId="165" fontId="17" fillId="0" borderId="1" applyAlignment="1" pivotButton="0" quotePrefix="0" xfId="0">
      <alignment vertical="top" wrapText="1"/>
    </xf>
    <xf numFmtId="166" fontId="6" fillId="0" borderId="1" applyAlignment="1" pivotButton="0" quotePrefix="0" xfId="0">
      <alignment horizontal="center" vertical="center" wrapText="1"/>
    </xf>
    <xf numFmtId="0" fontId="0" fillId="0" borderId="12" pivotButton="0" quotePrefix="0" xfId="0"/>
    <xf numFmtId="166" fontId="13" fillId="0" borderId="1" applyAlignment="1" pivotButton="0" quotePrefix="0" xfId="0">
      <alignment horizontal="center" vertical="center" wrapText="1"/>
    </xf>
    <xf numFmtId="166" fontId="3" fillId="0" borderId="1" applyAlignment="1" pivotButton="0" quotePrefix="0" xfId="0">
      <alignment horizontal="center" vertical="center" wrapText="1"/>
    </xf>
    <xf numFmtId="166" fontId="5" fillId="0" borderId="1" applyAlignment="1" pivotButton="0" quotePrefix="0" xfId="0">
      <alignment horizontal="center" vertical="center" wrapText="1"/>
    </xf>
    <xf numFmtId="0" fontId="0" fillId="0" borderId="13" pivotButton="0" quotePrefix="0" xfId="0"/>
    <xf numFmtId="166" fontId="0" fillId="0" borderId="0" pivotButton="0" quotePrefix="0" xfId="0"/>
    <xf numFmtId="0" fontId="38" fillId="0" borderId="0" pivotButton="0" quotePrefix="0" xfId="0"/>
    <xf numFmtId="171" fontId="0" fillId="0" borderId="0" pivotButton="0" quotePrefix="0" xfId="0"/>
  </cellXfs>
  <cellStyles count="2">
    <cellStyle name="Normal" xfId="0" builtinId="0"/>
    <cellStyle name="Hipervínculo" xfId="1" builtinId="8"/>
  </cellStyles>
  <dxfs count="20">
    <dxf>
      <fill>
        <patternFill>
          <bgColor rgb="FFC6EFCE"/>
        </patternFill>
      </fill>
    </dxf>
    <dxf>
      <fill>
        <patternFill>
          <bgColor rgb="FFFCE4D6"/>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C6EFCE"/>
        </patternFill>
      </fill>
    </dxf>
    <dxf>
      <fill>
        <patternFill>
          <bgColor rgb="FFFCE4D6"/>
        </patternFill>
      </fill>
    </dxf>
    <dxf>
      <fill>
        <patternFill>
          <bgColor rgb="FFC6EFCE"/>
        </patternFill>
      </fill>
    </dxf>
    <dxf>
      <fill>
        <patternFill>
          <bgColor rgb="FFF8CBAD"/>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C6EFCE"/>
        </patternFill>
      </fill>
    </dxf>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4F81BD"/>
      <rgbColor rgb="FFC0C0C0"/>
      <rgbColor rgb="FF878787"/>
      <rgbColor rgb="FF9999FF"/>
      <rgbColor rgb="FF7030A0"/>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EFDA"/>
      <rgbColor rgb="FFC6EFCE"/>
      <rgbColor rgb="FFFCE4D6"/>
      <rgbColor rgb="FF99CCFF"/>
      <rgbColor rgb="FFFF99CC"/>
      <rgbColor rgb="FFCC99FF"/>
      <rgbColor rgb="FFF8CBAD"/>
      <rgbColor rgb="FF2E75B6"/>
      <rgbColor rgb="FF33CCCC"/>
      <rgbColor rgb="FF99CC00"/>
      <rgbColor rgb="FFFFCC00"/>
      <rgbColor rgb="FFFF9900"/>
      <rgbColor rgb="FFC55A11"/>
      <rgbColor rgb="FF595959"/>
      <rgbColor rgb="FFA6A6A6"/>
      <rgbColor rgb="FF1F3864"/>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s-CO" sz="1800" b="1" strike="noStrike" spc="-1">
                <a:solidFill>
                  <a:srgbClr val="000000"/>
                </a:solidFill>
                <a:latin typeface="Calibri"/>
              </a:rPr>
              <a:t>Ofertas incluidas, ordenadas por valor unitario ($/m²)</a:t>
            </a:r>
          </a:p>
        </rich>
      </tx>
      <overlay val="0"/>
      <spPr>
        <a:noFill/>
        <a:ln w="0">
          <a:noFill/>
          <a:prstDash val="solid"/>
        </a:ln>
      </spPr>
    </title>
    <plotArea>
      <layout/>
      <barChart>
        <barDir val="col"/>
        <grouping val="clustered"/>
        <varyColors val="0"/>
        <ser>
          <idx val="0"/>
          <order val="0"/>
          <tx>
            <strRef>
              <f>AUX_NPH!$J$4</f>
              <strCache>
                <ptCount val="1"/>
              </strCache>
            </strRef>
          </tx>
          <spPr>
            <a:solidFill>
              <a:srgbClr val="4F81BD"/>
            </a:solidFill>
            <a:ln w="0">
              <a:noFill/>
              <a:prstDash val="solid"/>
            </a:ln>
          </spPr>
          <invertIfNegative val="0"/>
          <dLbls>
            <spPr>
              <a:noFill/>
              <a:ln>
                <a:noFill/>
                <a:prstDash val="solid"/>
              </a:ln>
            </spPr>
            <txPr>
              <a:bodyPr/>
              <a:lstStyle/>
              <a:p>
                <a:pPr>
                  <a:defRPr sz="1000" b="0" strike="noStrike" spc="-1">
                    <a:latin typeface="Arial"/>
                  </a:defRPr>
                </a:pPr>
                <a:r>
                  <a:t>None</a:t>
                </a:r>
                <a:endParaRPr lang="es-CO"/>
              </a:p>
            </txPr>
            <showLegendKey val="0"/>
            <showVal val="0"/>
            <showCatName val="0"/>
            <showSerName val="0"/>
            <showPercent val="0"/>
            <showBubbleSize val="1"/>
            <showLeaderLines val="0"/>
          </dLbls>
          <cat>
            <strRef>
              <f>AUX_NPH!$H$5:$H$34</f>
              <strCache>
                <ptCount val="3"/>
                <pt idx="0">
                  <v>1</v>
                </pt>
                <pt idx="1">
                  <v>3</v>
                </pt>
                <pt idx="2">
                  <v>2</v>
                </pt>
              </strCache>
            </strRef>
          </cat>
          <val>
            <numRef>
              <f>AUX_NPH!$J$5:$J$34</f>
              <numCache>
                <formatCode>"$ "#,##0</formatCode>
                <ptCount val="30"/>
                <pt idx="0">
                  <v>3641666.666666667</v>
                </pt>
                <pt idx="1">
                  <v>3780612.244897959</v>
                </pt>
                <pt idx="2">
                  <formatCode>General</formatCode>
                  <v>3911764.705882353</v>
                </pt>
                <pt idx="3">
                  <formatCode>General</formatCode>
                  <v>0</v>
                </pt>
                <pt idx="4">
                  <formatCode>General</formatCode>
                  <v>0</v>
                </pt>
                <pt idx="5">
                  <formatCode>General</formatCode>
                  <v>0</v>
                </pt>
                <pt idx="6">
                  <formatCode>General</formatCode>
                  <v>0</v>
                </pt>
                <pt idx="7">
                  <formatCode>General</formatCode>
                  <v>0</v>
                </pt>
                <pt idx="8">
                  <formatCode>General</formatCode>
                  <v>0</v>
                </pt>
                <pt idx="9">
                  <formatCode>General</formatCode>
                  <v>0</v>
                </pt>
                <pt idx="10">
                  <formatCode>General</formatCode>
                  <v>0</v>
                </pt>
                <pt idx="11">
                  <formatCode>General</formatCode>
                  <v>0</v>
                </pt>
                <pt idx="12">
                  <formatCode>General</formatCode>
                  <v>0</v>
                </pt>
                <pt idx="13">
                  <formatCode>General</formatCode>
                  <v>0</v>
                </pt>
                <pt idx="14">
                  <formatCode>General</formatCode>
                  <v>0</v>
                </pt>
                <pt idx="15">
                  <formatCode>General</formatCode>
                  <v>0</v>
                </pt>
                <pt idx="16">
                  <formatCode>General</formatCode>
                  <v>0</v>
                </pt>
                <pt idx="17">
                  <formatCode>General</formatCode>
                  <v>0</v>
                </pt>
                <pt idx="18">
                  <formatCode>General</formatCode>
                  <v>0</v>
                </pt>
                <pt idx="19">
                  <formatCode>General</formatCode>
                  <v>0</v>
                </pt>
                <pt idx="20">
                  <formatCode>General</formatCode>
                  <v>0</v>
                </pt>
                <pt idx="21">
                  <formatCode>General</formatCode>
                  <v>0</v>
                </pt>
                <pt idx="22">
                  <formatCode>General</formatCode>
                  <v>0</v>
                </pt>
                <pt idx="23">
                  <formatCode>General</formatCode>
                  <v>0</v>
                </pt>
                <pt idx="24">
                  <formatCode>General</formatCode>
                  <v>0</v>
                </pt>
                <pt idx="25">
                  <formatCode>General</formatCode>
                  <v>0</v>
                </pt>
                <pt idx="26">
                  <formatCode>General</formatCode>
                  <v>0</v>
                </pt>
                <pt idx="27">
                  <formatCode>General</formatCode>
                  <v>0</v>
                </pt>
                <pt idx="28">
                  <formatCode>General</formatCode>
                  <v>0</v>
                </pt>
                <pt idx="29">
                  <formatCode>General</formatCode>
                  <v>0</v>
                </pt>
              </numCache>
            </numRef>
          </val>
        </ser>
        <dLbls>
          <showLegendKey val="0"/>
          <showVal val="0"/>
          <showCatName val="0"/>
          <showSerName val="0"/>
          <showPercent val="0"/>
          <showBubbleSize val="0"/>
        </dLbls>
        <gapWidth val="150"/>
        <axId val="43277148"/>
        <axId val="74801393"/>
      </barChart>
      <catAx>
        <axId val="43277148"/>
        <scaling>
          <orientation val="minMax"/>
        </scaling>
        <delete val="0"/>
        <axPos val="b"/>
        <title>
          <tx>
            <rich>
              <a:bodyPr rot="0"/>
              <a:lstStyle/>
              <a:p>
                <a:pPr>
                  <a:defRPr sz="1000" b="1" strike="noStrike" spc="-1">
                    <a:solidFill>
                      <a:srgbClr val="000000"/>
                    </a:solidFill>
                    <a:latin typeface="Calibri"/>
                  </a:defRPr>
                </a:pPr>
                <a:r>
                  <a:rPr lang="es-CO" sz="1000" b="1" strike="noStrike" spc="-1">
                    <a:solidFill>
                      <a:srgbClr val="000000"/>
                    </a:solidFill>
                    <a:latin typeface="Calibri"/>
                  </a:rPr>
                  <a:t>No. oferta</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s-CO"/>
          </a:p>
        </txPr>
        <crossAx val="74801393"/>
        <crosses val="autoZero"/>
        <auto val="1"/>
        <lblAlgn val="ctr"/>
        <lblOffset val="100"/>
        <noMultiLvlLbl val="0"/>
      </catAx>
      <valAx>
        <axId val="74801393"/>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lang="es-CO" sz="1000" b="1" strike="noStrike" spc="-1">
                    <a:solidFill>
                      <a:srgbClr val="000000"/>
                    </a:solidFill>
                    <a:latin typeface="Calibri"/>
                  </a:rPr>
                  <a:t>$/m²</a:t>
                </a:r>
              </a:p>
            </rich>
          </tx>
          <overlay val="0"/>
          <spPr>
            <a:noFill/>
            <a:ln w="0">
              <a:noFill/>
              <a:prstDash val="solid"/>
            </a:ln>
          </spPr>
        </title>
        <numFmt formatCode="&quot;$ &quot;#,##0"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s-CO"/>
          </a:p>
        </txPr>
        <crossAx val="43277148"/>
        <crosses val="autoZero"/>
        <crossBetween val="between"/>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s-CO" sz="1800" b="1" strike="noStrike" spc="-1">
                <a:solidFill>
                  <a:srgbClr val="000000"/>
                </a:solidFill>
                <a:latin typeface="Calibri"/>
              </a:rPr>
              <a:t>Ofertas incluidas, ordenadas por valor unitario ($/m²)</a:t>
            </a:r>
          </a:p>
        </rich>
      </tx>
      <overlay val="0"/>
      <spPr>
        <a:noFill/>
        <a:ln w="0">
          <a:noFill/>
          <a:prstDash val="solid"/>
        </a:ln>
      </spPr>
    </title>
    <plotArea>
      <layout/>
      <barChart>
        <barDir val="col"/>
        <grouping val="clustered"/>
        <varyColors val="0"/>
        <ser>
          <idx val="0"/>
          <order val="0"/>
          <tx>
            <strRef>
              <f>AUX_PH!$J$4</f>
              <strCache>
                <ptCount val="1"/>
              </strCache>
            </strRef>
          </tx>
          <spPr>
            <a:solidFill>
              <a:srgbClr val="4F81BD"/>
            </a:solidFill>
            <a:ln w="0">
              <a:noFill/>
              <a:prstDash val="solid"/>
            </a:ln>
          </spPr>
          <invertIfNegative val="0"/>
          <dLbls>
            <spPr>
              <a:noFill/>
              <a:ln>
                <a:noFill/>
                <a:prstDash val="solid"/>
              </a:ln>
            </spPr>
            <txPr>
              <a:bodyPr/>
              <a:lstStyle/>
              <a:p>
                <a:pPr>
                  <a:defRPr sz="1000" b="0" strike="noStrike" spc="-1">
                    <a:latin typeface="Arial"/>
                  </a:defRPr>
                </a:pPr>
                <a:r>
                  <a:t>None</a:t>
                </a:r>
                <a:endParaRPr lang="es-CO"/>
              </a:p>
            </txPr>
            <showLegendKey val="0"/>
            <showVal val="0"/>
            <showCatName val="0"/>
            <showSerName val="0"/>
            <showPercent val="0"/>
            <showBubbleSize val="1"/>
            <showLeaderLines val="0"/>
          </dLbls>
          <cat>
            <strRef>
              <f>AUX_PH!$H$5:$H$34</f>
              <strCache>
                <ptCount val="5"/>
                <pt idx="0">
                  <v>1</v>
                </pt>
                <pt idx="1">
                  <v>5</v>
                </pt>
                <pt idx="2">
                  <v>2</v>
                </pt>
                <pt idx="3">
                  <v>3</v>
                </pt>
                <pt idx="4">
                  <v>8</v>
                </pt>
              </strCache>
            </strRef>
          </cat>
          <val>
            <numRef>
              <f>AUX_PH!$J$5:$J$34</f>
              <numCache>
                <formatCode>General</formatCode>
                <ptCount val="30"/>
                <pt idx="0">
                  <v>4681159.420289855</v>
                </pt>
                <pt idx="1">
                  <v>4813333.333333333</v>
                </pt>
                <pt idx="2">
                  <v>4969230.769230769</v>
                </pt>
                <pt idx="3">
                  <v>5334615.384615385</v>
                </pt>
                <pt idx="4">
                  <v>5516129.032258064</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numCache>
            </numRef>
          </val>
        </ser>
        <dLbls>
          <showLegendKey val="0"/>
          <showVal val="0"/>
          <showCatName val="0"/>
          <showSerName val="0"/>
          <showPercent val="0"/>
          <showBubbleSize val="0"/>
        </dLbls>
        <gapWidth val="150"/>
        <axId val="75392800"/>
        <axId val="92108145"/>
      </barChart>
      <catAx>
        <axId val="75392800"/>
        <scaling>
          <orientation val="minMax"/>
        </scaling>
        <delete val="0"/>
        <axPos val="b"/>
        <title>
          <tx>
            <rich>
              <a:bodyPr rot="0"/>
              <a:lstStyle/>
              <a:p>
                <a:pPr>
                  <a:defRPr sz="1000" b="1" strike="noStrike" spc="-1">
                    <a:solidFill>
                      <a:srgbClr val="000000"/>
                    </a:solidFill>
                    <a:latin typeface="Calibri"/>
                  </a:defRPr>
                </a:pPr>
                <a:r>
                  <a:rPr lang="es-CO" sz="1000" b="1" strike="noStrike" spc="-1">
                    <a:solidFill>
                      <a:srgbClr val="000000"/>
                    </a:solidFill>
                    <a:latin typeface="Calibri"/>
                  </a:rPr>
                  <a:t>No. oferta</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s-CO"/>
          </a:p>
        </txPr>
        <crossAx val="92108145"/>
        <crosses val="autoZero"/>
        <auto val="1"/>
        <lblAlgn val="ctr"/>
        <lblOffset val="100"/>
        <noMultiLvlLbl val="0"/>
      </catAx>
      <valAx>
        <axId val="92108145"/>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lang="es-CO" sz="1000" b="1" strike="noStrike" spc="-1">
                    <a:solidFill>
                      <a:srgbClr val="000000"/>
                    </a:solidFill>
                    <a:latin typeface="Calibri"/>
                  </a:rPr>
                  <a:t>$/m²</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s-CO"/>
          </a:p>
        </txPr>
        <crossAx val="75392800"/>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29</row>
      <rowOff>82440</rowOff>
    </from>
    <to>
      <col>3</col>
      <colOff>377640</colOff>
      <row>44</row>
      <rowOff>104760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29</row>
      <rowOff>82440</rowOff>
    </from>
    <to>
      <col>3</col>
      <colOff>377640</colOff>
      <row>44</row>
      <rowOff>104760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doomos.com.co/propiedad/lote-casa-en-venta-en-bello-cod-6662" TargetMode="External" Id="rId1" /><Relationship Type="http://schemas.openxmlformats.org/officeDocument/2006/relationships/hyperlink" Target="https://casa.mercadolibre.com.co/MCO-2237453771-casa-lote-en-venta-niquia-bello-_JM" TargetMode="External" Id="rId2" /><Relationship Type="http://schemas.openxmlformats.org/officeDocument/2006/relationships/hyperlink" Target="https://casa.mercadolibre.com.co/MCO-2237592443-casa-lote-en-venta-en-barrio-nuevo-bello-_JM" TargetMode="External" Id="rId3" /><Relationship Type="http://schemas.openxmlformats.org/officeDocument/2006/relationships/hyperlink" Target="https://casa.mercadolibre.com.co/MCO-4493777078-vendo-casa-lote-obra-2000-barrio-mesa-bello-_JM" TargetMode="External" Id="rId4" /><Relationship Type="http://schemas.openxmlformats.org/officeDocument/2006/relationships/hyperlink" Target="https://casa.mercadolibre.com.co/MCO-4221795790-se-vende-hermosa-casa-de-4-niveles-en-santa-ana-bello-de-168-mts-_JM" TargetMode="External" Id="rId5" /></Relationships>
</file>

<file path=xl/worksheets/_rels/sheet4.xml.rels><Relationships xmlns="http://schemas.openxmlformats.org/package/2006/relationships"><Relationship Type="http://schemas.openxmlformats.org/officeDocument/2006/relationships/hyperlink" Target="https://www.fincaraiz.com.co/venta/altos-de-niquia/bello" TargetMode="External" Id="rId1" /><Relationship Type="http://schemas.openxmlformats.org/officeDocument/2006/relationships/hyperlink" Target="https://www.fincaraiz.com.co/venta/altos-de-niquia/bello" TargetMode="External" Id="rId2" /><Relationship Type="http://schemas.openxmlformats.org/officeDocument/2006/relationships/hyperlink" Target="https://www.fincaraiz.com.co/venta/casas/niquia/bello" TargetMode="External" Id="rId3" /></Relationships>
</file>

<file path=xl/worksheets/_rels/sheet6.xml.rels><Relationships xmlns="http://schemas.openxmlformats.org/package/2006/relationships"><Relationship Type="http://schemas.openxmlformats.org/officeDocument/2006/relationships/hyperlink" Target="https://www.fincaraiz.com.co/casa-en-venta-en-bello/192592199" TargetMode="External" Id="rId1" /></Relationships>
</file>

<file path=xl/worksheets/_rels/sheet7.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hyperlink" Target="https://www.fincaraiz.com.co/venta/niquia/bello" TargetMode="External" Id="rId1" /><Relationship Type="http://schemas.openxmlformats.org/officeDocument/2006/relationships/hyperlink" Target="https://www.fincaraiz.com.co/venta/urbanizacion-nogales/bello" TargetMode="External" Id="rId2" /><Relationship Type="http://schemas.openxmlformats.org/officeDocument/2006/relationships/hyperlink" Target="https://www.fincaraiz.com.co/venta/casas/bello/antioquia" TargetMode="External" Id="rId3" /><Relationship Type="http://schemas.openxmlformats.org/officeDocument/2006/relationships/hyperlink" Target="https://casas.mitula.com.co/casas/bello-niquia" TargetMode="External" Id="rId4" /><Relationship Type="http://schemas.openxmlformats.org/officeDocument/2006/relationships/hyperlink" Target="https://casas.mitula.com.co/casas/bello-niquia" TargetMode="External" Id="rId5" /><Relationship Type="http://schemas.openxmlformats.org/officeDocument/2006/relationships/hyperlink" Target="https://colombia.slideprop.com/venta/casa/antioquia/bello/niquia" TargetMode="External" Id="rId6" /><Relationship Type="http://schemas.openxmlformats.org/officeDocument/2006/relationships/hyperlink" Target="https://casas.trovit.com.co/casa-niquia" TargetMode="External" Id="rId7" /><Relationship Type="http://schemas.openxmlformats.org/officeDocument/2006/relationships/hyperlink" Target="https://www.metrocuadrado.com/apartamentos/bello/niquia/" TargetMode="External" Id="rId8" /></Relationships>
</file>

<file path=xl/worksheets/_rels/sheet1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FF000000"/>
    <outlinePr summaryBelow="1" summaryRight="1"/>
    <pageSetUpPr/>
  </sheetPr>
  <dimension ref="B1:C23"/>
  <sheetViews>
    <sheetView showGridLines="0" zoomScaleNormal="100" workbookViewId="0">
      <selection activeCell="A1" sqref="A1"/>
    </sheetView>
  </sheetViews>
  <sheetFormatPr baseColWidth="10" defaultColWidth="8.6640625" defaultRowHeight="14.4"/>
  <cols>
    <col width="2" customWidth="1" style="54" min="1" max="1"/>
    <col width="34" customWidth="1" style="54" min="2" max="2"/>
    <col width="120" customWidth="1" style="54" min="3" max="3"/>
  </cols>
  <sheetData>
    <row r="1" ht="16.8" customHeight="1" s="54">
      <c r="B1" s="12" t="inlineStr">
        <is>
          <t>GUÍA – FORMATO COMPARACIÓN DE MERCADO URBANO (NPH y PH) · Res. IGAC 941 de 2026</t>
        </is>
      </c>
    </row>
    <row r="3">
      <c r="B3" s="13" t="inlineStr">
        <is>
          <t>Paso</t>
        </is>
      </c>
      <c r="C3" s="13" t="inlineStr">
        <is>
          <t>Qué hacer</t>
        </is>
      </c>
    </row>
    <row r="4" ht="31.5" customHeight="1" s="54">
      <c r="B4" s="55" t="inlineStr">
        <is>
          <t>1. DATOS</t>
        </is>
      </c>
      <c r="C4" s="15" t="inlineStr">
        <is>
          <t>Diligencie los datos del inmueble objeto y revise los parámetros: CV máximo urbano 7,5 % (Art. 21), % de negociación por defecto (sustentado), vigencia de ofertas y mínimo de ofertas por combinación.</t>
        </is>
      </c>
    </row>
    <row r="5" ht="31.5" customHeight="1" s="54">
      <c r="B5" s="55" t="inlineStr">
        <is>
          <t>2. Mercado NPH</t>
        </is>
      </c>
      <c r="C5" s="15" t="inlineStr">
        <is>
          <t>Lotes, casas, casalotes, edificios, locales y bodegas no sometidos a PH. Una oferta por fila (capacidad 30). Escriba solo en columnas azules. El valor unitario de terreno = (valor negociado − construcciones depreciadas) / área de terreno.</t>
        </is>
      </c>
    </row>
    <row r="6" ht="31.5" customHeight="1" s="54">
      <c r="B6" s="55" t="inlineStr">
        <is>
          <t>3. Depreciación</t>
        </is>
      </c>
      <c r="C6" s="15" t="inlineStr">
        <is>
          <t>Para ofertas NPH con construcción, registre cada construcción en DEPRECIACIÓN con el No. de la oferta (edad, vida útil, calificación Heidecke, valor de reposición $/m² y área). Sin No. de oferta = construcción del inmueble objeto.</t>
        </is>
      </c>
    </row>
    <row r="7" ht="31.5" customHeight="1" s="54">
      <c r="B7" s="55" t="inlineStr">
        <is>
          <t>4. Mercado PH</t>
        </is>
      </c>
      <c r="C7" s="15" t="inlineStr">
        <is>
          <t>Apartamentos, oficinas, locales y demás unidades en PH. Registre área privada construida y libre, parqueaderos y depósitos (solo si son unidades privadas independientes). Valor integral = valor depurado / área privada construida.</t>
        </is>
      </c>
    </row>
    <row r="8" ht="31.5" customHeight="1" s="54">
      <c r="B8" s="55" t="inlineStr">
        <is>
          <t>5. Depuración</t>
        </is>
      </c>
      <c r="C8" s="15" t="inlineStr">
        <is>
          <t>Use la columna ¿INCLUIR? (SÍ/NO) para excluir ofertas no comparables sin borrarlas y sustente en COMPARABILIDAD. No se aplican factores de homogenización (Anexo, num. 2.1, Nota 2). Revise la columna ALERTAS.</t>
        </is>
      </c>
    </row>
    <row r="9" ht="31.5" customHeight="1" s="54">
      <c r="B9" s="55" t="inlineStr">
        <is>
          <t>6. Combinaciones</t>
        </is>
      </c>
      <c r="C9" s="15" t="inlineStr">
        <is>
          <t>COMBINACIONES_NPH y COMBINACIONES_PH ordenan las ofertas incluidas y evalúan grupos consecutivos; muestran las 3 mejores. Elija en la celda amarilla B18 la fuente del valor adoptado; el dictamen indica si cumple el Art. 21.</t>
        </is>
      </c>
    </row>
    <row r="10" ht="31.5" customHeight="1" s="54">
      <c r="B10" s="55" t="inlineStr">
        <is>
          <t>7. Liquidación</t>
        </is>
      </c>
      <c r="C10" s="15" t="inlineStr">
        <is>
          <t>Digite el área del objeto en la celda amarilla de LIQUIDACIÓN_NPH o LIQUIDACIÓN_PH según el régimen. El valor en letras se genera solo.</t>
        </is>
      </c>
    </row>
    <row r="11" ht="31.5" customHeight="1" s="54">
      <c r="B11" s="55" t="inlineStr">
        <is>
          <t>8. Google Earth</t>
        </is>
      </c>
      <c r="C11" s="15" t="inlineStr">
        <is>
          <t>Escriba coordenadas como «lat, lon». KML_OFERTAS genera el código: copie la columna A a un archivo .kml.</t>
        </is>
      </c>
    </row>
    <row r="12" ht="31.5" customHeight="1" s="54">
      <c r="B12" s="55" t="inlineStr">
        <is>
          <t>9. Chequeos</t>
        </is>
      </c>
      <c r="C12" s="15" t="inlineStr">
        <is>
          <t>La hoja CHEQUEOS recalcula promedio, desviación, CV, valores negociados, vínculo con DEPRECIACIÓN y totales de liquidación. Todo debe quedar en OK.</t>
        </is>
      </c>
    </row>
    <row r="13" ht="31.5" customHeight="1" s="54">
      <c r="B13" s="55" t="inlineStr">
        <is>
          <t>Colores</t>
        </is>
      </c>
      <c r="C13" s="15" t="inlineStr">
        <is>
          <t>Azul = dato editable · Amarillo = celda de entrada · Verde (texto) = vínculo a otra hoja · Negro = fórmula · Verde claro = resultado clave · Pestañas grises = cálculo auxiliar (no editar).</t>
        </is>
      </c>
    </row>
    <row r="15">
      <c r="B15" s="13" t="inlineStr">
        <is>
          <t>PANEL DE CONTROL</t>
        </is>
      </c>
      <c r="C15" s="13" t="inlineStr">
        <is>
          <t>Estado (se actualiza solo)</t>
        </is>
      </c>
    </row>
    <row r="16" ht="30" customHeight="1" s="54">
      <c r="B16" s="16" t="inlineStr">
        <is>
          <t>Régimen del inmueble objeto</t>
        </is>
      </c>
      <c r="C16" s="15">
        <f>DATOS!C11&amp;IF(DATOS!C11="PH"," – use MERCADO PH y LIQUIDACIÓN_PH"," – use MERCADO NPH y LIQUIDACIÓN_NPH")</f>
        <v/>
      </c>
    </row>
    <row r="17" ht="30" customHeight="1" s="54">
      <c r="B17" s="16" t="inlineStr">
        <is>
          <t>Ofertas NPH incluidas / registradas</t>
        </is>
      </c>
      <c r="C17" s="15">
        <f>COUNT('MERCADO NPH'!AA9:AA38)&amp;" de "&amp;COUNT('MERCADO NPH'!A9:A38)</f>
        <v/>
      </c>
    </row>
    <row r="18" ht="30" customHeight="1" s="54">
      <c r="B18" s="16" t="inlineStr">
        <is>
          <t>Dictamen NPH (Art. 21)</t>
        </is>
      </c>
      <c r="C18" s="15">
        <f>COMBINACIONES_NPH!B24</f>
        <v/>
      </c>
    </row>
    <row r="19" ht="30" customHeight="1" s="54">
      <c r="B19" s="16" t="inlineStr">
        <is>
          <t>Ofertas PH incluidas / registradas</t>
        </is>
      </c>
      <c r="C19" s="15">
        <f>COUNT('MERCADO PH'!AM9:AM38)&amp;" de "&amp;COUNT('MERCADO PH'!A9:A38)</f>
        <v/>
      </c>
    </row>
    <row r="20" ht="30" customHeight="1" s="54">
      <c r="B20" s="16" t="inlineStr">
        <is>
          <t>Dictamen PH (Art. 21)</t>
        </is>
      </c>
      <c r="C20" s="15">
        <f>COMBINACIONES_PH!B24</f>
        <v/>
      </c>
    </row>
    <row r="21" ht="30" customHeight="1" s="54">
      <c r="B21" s="16" t="inlineStr">
        <is>
          <t>Ofertas NPH con alertas</t>
        </is>
      </c>
      <c r="C21" s="15">
        <f>COUNTIFS('MERCADO NPH'!AB9:AB38,"&lt;&gt;OK",'MERCADO NPH'!A9:A38,"&lt;&gt;")&amp;" oferta(s) – ver columna ALERTAS"</f>
        <v/>
      </c>
    </row>
    <row r="22" ht="30" customHeight="1" s="54">
      <c r="B22" s="16" t="inlineStr">
        <is>
          <t>Ofertas PH con alertas</t>
        </is>
      </c>
      <c r="C22" s="15">
        <f>COUNTIFS('MERCADO PH'!AN9:AN38,"&lt;&gt;OK",'MERCADO PH'!A9:A38,"&lt;&gt;")&amp;" oferta(s) – ver columna ALERTAS"</f>
        <v/>
      </c>
    </row>
    <row r="23" ht="30" customHeight="1" s="54">
      <c r="B23" s="16" t="inlineStr">
        <is>
          <t>Chequeos</t>
        </is>
      </c>
      <c r="C23" s="15">
        <f>IF(CHEQUEOS!C4=0,"OK – "&amp;CHEQUEOS!C3&amp;" verificaciones coinciden","ALERTA: "&amp;CHEQUEOS!C4&amp;" verificación(es) con diferencia – ver CHEQUEOS")</f>
        <v/>
      </c>
    </row>
  </sheetData>
  <mergeCells count="1">
    <mergeCell ref="B1:C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F3864"/>
    <outlinePr summaryBelow="1" summaryRight="1"/>
    <pageSetUpPr/>
  </sheetPr>
  <dimension ref="B1:D28"/>
  <sheetViews>
    <sheetView showGridLines="0" zoomScaleNormal="100" workbookViewId="0">
      <selection activeCell="A1" sqref="A1"/>
    </sheetView>
  </sheetViews>
  <sheetFormatPr baseColWidth="10" defaultColWidth="8.6640625" defaultRowHeight="14.4"/>
  <cols>
    <col width="2" customWidth="1" style="54" min="1" max="1"/>
    <col width="52" customWidth="1" style="54" min="2" max="2"/>
    <col width="48" customWidth="1" style="54" min="3" max="3"/>
    <col width="70" customWidth="1" style="54" min="4" max="4"/>
  </cols>
  <sheetData>
    <row r="1" ht="16.2" customHeight="1" s="54">
      <c r="B1" s="11" t="inlineStr">
        <is>
          <t>DATOS GENERALES Y PARÁMETROS DEL ESTUDIO DE MERCADO URBANO</t>
        </is>
      </c>
    </row>
    <row r="2">
      <c r="B2" s="17" t="inlineStr">
        <is>
          <t>Resolución IGAC 941 de 2026 y su Anexo técnico · Celdas amarillas = entrada</t>
        </is>
      </c>
    </row>
    <row r="4" ht="30" customHeight="1" s="54">
      <c r="B4" s="55" t="inlineStr">
        <is>
          <t>Solicitante / entidad</t>
        </is>
      </c>
      <c r="C4" s="64" t="inlineStr">
        <is>
          <t>(Por definir)</t>
        </is>
      </c>
      <c r="D4" s="17" t="n"/>
    </row>
    <row r="5" ht="30" customHeight="1" s="54">
      <c r="B5" s="55" t="inlineStr">
        <is>
          <t>NIT o C.C.</t>
        </is>
      </c>
      <c r="C5" s="64" t="n"/>
      <c r="D5" s="17" t="n"/>
    </row>
    <row r="6" ht="30" customHeight="1" s="54">
      <c r="B6" s="55" t="inlineStr">
        <is>
          <t>Dirección o identificación del inmueble objeto</t>
        </is>
      </c>
      <c r="C6" s="64" t="inlineStr">
        <is>
          <t>Lote urbano – Bello (referencia: farmacia en el nivel inferior)</t>
        </is>
      </c>
      <c r="D6" s="17" t="n"/>
    </row>
    <row r="7" ht="30" customHeight="1" s="54">
      <c r="B7" s="55" t="inlineStr">
        <is>
          <t>Municipio – Departamento</t>
        </is>
      </c>
      <c r="C7" s="64" t="inlineStr">
        <is>
          <t>Bello – Antioquia</t>
        </is>
      </c>
      <c r="D7" s="17" t="n"/>
    </row>
    <row r="8" ht="30" customHeight="1" s="54">
      <c r="B8" s="55" t="inlineStr">
        <is>
          <t>Comuna / barrio</t>
        </is>
      </c>
      <c r="C8" s="64" t="inlineStr">
        <is>
          <t>Sector Niquía / Bellavista (confirmar con número predial)</t>
        </is>
      </c>
      <c r="D8" s="17" t="n"/>
    </row>
    <row r="9" ht="30" customHeight="1" s="54">
      <c r="B9" s="55" t="inlineStr">
        <is>
          <t>Coordenadas del inmueble objeto (lat, lon)</t>
        </is>
      </c>
      <c r="C9" s="64" t="inlineStr">
        <is>
          <t>6.348283, -75.552109</t>
        </is>
      </c>
      <c r="D9" s="17" t="inlineStr">
        <is>
          <t>Formato: 6.2442, -75.5812</t>
        </is>
      </c>
    </row>
    <row r="10" ht="30" customHeight="1" s="54">
      <c r="B10" s="55" t="inlineStr">
        <is>
          <t>Tipo de inmueble objeto</t>
        </is>
      </c>
      <c r="C10" s="64" t="inlineStr">
        <is>
          <t>Lote</t>
        </is>
      </c>
      <c r="D10" s="17" t="n"/>
    </row>
    <row r="11" ht="30" customHeight="1" s="54">
      <c r="B11" s="55" t="inlineStr">
        <is>
          <t>Régimen jurídico (NPH / PH)</t>
        </is>
      </c>
      <c r="C11" s="64" t="inlineStr">
        <is>
          <t>NPH</t>
        </is>
      </c>
      <c r="D11" s="17" t="inlineStr">
        <is>
          <t>Define qué hoja de liquidación aplica</t>
        </is>
      </c>
    </row>
    <row r="12" ht="30" customHeight="1" s="54">
      <c r="B12" s="55" t="inlineStr">
        <is>
          <t>Fecha del estudio de mercado</t>
        </is>
      </c>
      <c r="C12" s="65" t="n">
        <v>46297</v>
      </c>
      <c r="D12" s="17" t="inlineStr">
        <is>
          <t>Base para calcular la antigüedad de las ofertas</t>
        </is>
      </c>
    </row>
    <row r="13" ht="30" customHeight="1" s="54">
      <c r="B13" s="55" t="inlineStr">
        <is>
          <t>Clase de suelo</t>
        </is>
      </c>
      <c r="C13" s="64" t="inlineStr">
        <is>
          <t>Urbano</t>
        </is>
      </c>
      <c r="D13" s="17" t="inlineStr">
        <is>
          <t>Urbano o suburbano</t>
        </is>
      </c>
    </row>
    <row r="14" ht="30" customHeight="1" s="54">
      <c r="B14" s="55" t="inlineStr">
        <is>
          <t>Avaluador – RAA</t>
        </is>
      </c>
      <c r="C14" s="64" t="inlineStr">
        <is>
          <t>Andrés Felipe Cuartas Montoya – RAA (N.º por diligenciar)</t>
        </is>
      </c>
      <c r="D14" s="17" t="n"/>
    </row>
    <row r="15" ht="30" customHeight="1" s="54">
      <c r="B15" s="18" t="inlineStr">
        <is>
          <t>PARÁMETROS TÉCNICOS</t>
        </is>
      </c>
      <c r="C15" s="13" t="inlineStr">
        <is>
          <t>Valor</t>
        </is>
      </c>
      <c r="D15" s="18" t="inlineStr">
        <is>
          <t>Sustento</t>
        </is>
      </c>
    </row>
    <row r="16" ht="30" customHeight="1" s="54">
      <c r="B16" s="55" t="inlineStr">
        <is>
          <t>Coeficiente de variación máximo – inmuebles urbanos</t>
        </is>
      </c>
      <c r="C16" s="66" t="n">
        <v>0.075</v>
      </c>
      <c r="D16" s="19" t="inlineStr">
        <is>
          <t>Res. 941 de 2026, Art. 21: inmuebles urbanos hasta 7,5 % (rurales hasta 10 %).</t>
        </is>
      </c>
    </row>
    <row r="17" ht="30" customHeight="1" s="54">
      <c r="B17" s="55" t="inlineStr">
        <is>
          <t>% de negociación por defecto (editable oferta por oferta)</t>
        </is>
      </c>
      <c r="C17" s="66" t="n">
        <v>0.05</v>
      </c>
      <c r="D17" s="19" t="inlineStr">
        <is>
          <t>Referencia: Lonja de Propiedad Raíz de Medellín (MLS), vivienda usada: descuento promedio 4,51 %; zona Norte 4,10 %; Centro 6,13 %. Ajustar con indagación directa.</t>
        </is>
      </c>
    </row>
    <row r="18" ht="30" customHeight="1" s="54">
      <c r="B18" s="55" t="inlineStr">
        <is>
          <t>Vigencia máxima de una oferta (meses) – alerta</t>
        </is>
      </c>
      <c r="C18" s="67" t="n">
        <v>12</v>
      </c>
      <c r="D18" s="19" t="inlineStr">
        <is>
          <t>Criterio del avaluador para marcar ofertas desactualizadas (Art. 17, fecha de captura).</t>
        </is>
      </c>
    </row>
    <row r="19" ht="30" customHeight="1" s="54">
      <c r="B19" s="55" t="inlineStr">
        <is>
          <t>Mínimo de ofertas por combinación</t>
        </is>
      </c>
      <c r="C19" s="67" t="n">
        <v>3</v>
      </c>
      <c r="D19" s="19" t="inlineStr">
        <is>
          <t>Muestra mínima para el análisis estadístico.</t>
        </is>
      </c>
    </row>
    <row r="20" ht="30" customHeight="1" s="54">
      <c r="B20" s="55" t="inlineStr">
        <is>
          <t>Filtrar por límites (promedio ± desviación) si la muestra completa no cumple (SÍ/NO)</t>
        </is>
      </c>
      <c r="C20" s="77" t="inlineStr">
        <is>
          <t>SÍ</t>
        </is>
      </c>
      <c r="D20" s="19" t="inlineStr">
        <is>
          <t>Depuración de atípicos antes de combinar.</t>
        </is>
      </c>
    </row>
    <row r="21" ht="30" customHeight="1" s="54">
      <c r="B21" s="55" t="inlineStr">
        <is>
          <t>Valor unitario de referencia – parqueadero privado (PH)</t>
        </is>
      </c>
      <c r="C21" s="187" t="n">
        <v>0</v>
      </c>
      <c r="D21" s="19" t="inlineStr">
        <is>
          <t>Solo si el parqueadero es unidad privada independiente (folio propio). Sustentar con mercado.</t>
        </is>
      </c>
    </row>
    <row r="22" ht="30" customHeight="1" s="54">
      <c r="B22" s="55" t="inlineStr">
        <is>
          <t>Valor unitario de referencia – cuarto útil / depósito privado (PH)</t>
        </is>
      </c>
      <c r="C22" s="187" t="n">
        <v>0</v>
      </c>
      <c r="D22" s="19" t="inlineStr">
        <is>
          <t>Ídem.</t>
        </is>
      </c>
    </row>
    <row r="23" ht="54.75" customHeight="1" s="54">
      <c r="B23" s="55" t="inlineStr">
        <is>
          <t>Coeficiente del área privada libre (balcón / terraza) respecto al $/m² del área privada construida</t>
        </is>
      </c>
      <c r="C23" s="66" t="n">
        <v>0.333333333333333</v>
      </c>
      <c r="D23" s="19" t="inlineStr">
        <is>
          <t>Práctica valuatoria («regla del tercio»): las áreas libres descubiertas se ponderan entre 25 % y 50 % del m² cubierto; 1/3 como valor central. No es parámetro normativo de la Res. 941: sustentar y ajustar (p. ej. 50 % si es cubierta/semicubierta y habitable).</t>
        </is>
      </c>
    </row>
    <row r="24" ht="54.75" customHeight="1" s="54">
      <c r="B24" s="55" t="inlineStr">
        <is>
          <t>Divisor del valor integral PH</t>
        </is>
      </c>
      <c r="C24" s="77" t="inlineStr">
        <is>
          <t>ÁREA EQUIVALENTE</t>
        </is>
      </c>
      <c r="D24" s="19" t="inlineStr">
        <is>
          <t>ÁREA EQUIVALENTE = privada construida + coef. × privada libre (coherente con la liquidación del balcón). ÁREA PRIVADA CONSTRUIDA = lectura literal del Anexo; en ese modo el balcón del objeto no se liquida aparte.</t>
        </is>
      </c>
    </row>
    <row r="26" ht="15" customHeight="1" s="54">
      <c r="B26" s="10" t="inlineStr">
        <is>
          <t>Nota metodológica: el Anexo de la Res. 941 de 2026 (num. 2.1, Nota 2) establece que la homogenización u homologación mediante factores NO es aplicable. Este libro no aplica factores: la muestra se depura, clasifica y analiza; las ofertas no comparables se excluyen con la columna «¿Incluir?».</t>
        </is>
      </c>
    </row>
    <row r="27"/>
    <row r="28"/>
  </sheetData>
  <mergeCells count="2">
    <mergeCell ref="B1:D1"/>
    <mergeCell ref="B26:D28"/>
  </mergeCells>
  <dataValidations count="4">
    <dataValidation sqref="C11" showDropDown="0" showInputMessage="0" showErrorMessage="0" allowBlank="1" type="list">
      <formula1>"NPH,PH"</formula1>
      <formula2>0</formula2>
    </dataValidation>
    <dataValidation sqref="C13" showDropDown="0" showInputMessage="0" showErrorMessage="0" allowBlank="1" type="list">
      <formula1>"Urbano,Suburbano"</formula1>
      <formula2>0</formula2>
    </dataValidation>
    <dataValidation sqref="C20" showDropDown="0" showInputMessage="0" showErrorMessage="0" allowBlank="1" type="list">
      <formula1>"SÍ,NO"</formula1>
      <formula2>0</formula2>
    </dataValidation>
    <dataValidation sqref="C24" showDropDown="0" showInputMessage="0" showErrorMessage="0" allowBlank="1" type="list">
      <formula1>"ÁREA EQUIVALENTE,ÁREA PRIVADA CONSTRUIDA"</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2E75B6"/>
    <outlinePr summaryBelow="1" summaryRight="1"/>
    <pageSetUpPr/>
  </sheetPr>
  <dimension ref="A1:AD64"/>
  <sheetViews>
    <sheetView showGridLines="0" zoomScaleNormal="100" workbookViewId="0">
      <pane xSplit="2" ySplit="8" topLeftCell="C9" activePane="bottomRight" state="frozen"/>
      <selection pane="topRight" activeCell="C1" sqref="C1"/>
      <selection pane="bottomLeft" activeCell="A9" sqref="A9"/>
      <selection pane="bottomRight" activeCell="I21" sqref="I21"/>
    </sheetView>
  </sheetViews>
  <sheetFormatPr baseColWidth="10" defaultColWidth="8.6640625" defaultRowHeight="14.4"/>
  <cols>
    <col width="5" customWidth="1" style="54" min="1" max="1"/>
    <col width="11" customWidth="1" style="54" min="2" max="5"/>
    <col width="16" customWidth="1" style="54" min="6" max="6"/>
    <col width="22" customWidth="1" style="54" min="7" max="7"/>
    <col width="14.88671875" customWidth="1" style="54" min="8" max="8"/>
    <col width="15" customWidth="1" style="54" min="9" max="9"/>
    <col width="7" customWidth="1" style="54" min="10" max="10"/>
    <col width="15" customWidth="1" style="54" min="11" max="11"/>
    <col width="10" customWidth="1" style="54" min="12" max="13"/>
    <col width="15" customWidth="1" style="54" min="14" max="16"/>
    <col width="14" customWidth="1" style="54" min="17" max="18"/>
    <col hidden="1" width="20" customWidth="1" style="54" min="19" max="19"/>
    <col width="7" customWidth="1" style="54" min="20" max="20"/>
    <col width="32" customWidth="1" style="54" min="21" max="21"/>
    <col width="18" customWidth="1" style="54" min="22" max="22"/>
    <col width="13" customWidth="1" style="54" min="23" max="23"/>
    <col width="30" customWidth="1" style="54" min="24" max="24"/>
    <col width="26" customWidth="1" style="54" min="25" max="25"/>
    <col width="8" customWidth="1" style="54" min="26" max="26"/>
    <col width="14" customWidth="1" style="54" min="27" max="27"/>
    <col width="22" customWidth="1" style="54" min="28" max="28"/>
    <col width="11" customWidth="1" style="54" min="29" max="30"/>
  </cols>
  <sheetData>
    <row r="1" ht="15" customHeight="1" s="54">
      <c r="A1" s="9" t="inlineStr">
        <is>
          <t>LOGO</t>
        </is>
      </c>
      <c r="D1" s="11" t="inlineStr">
        <is>
          <t>ESTUDIO DE MERCADO – INMUEBLES URBANOS (CASA O APARTAMENTO) NO SOMETIDOS A PROPIEDAD HORIZONTAL (NPH)
Res. IGAC 941 de 2026 – Art. 17, 19 y 21 · Anexo num. 2.1 · Área máxima por oferta: 100 m²</t>
        </is>
      </c>
      <c r="AB1" s="20" t="inlineStr">
        <is>
          <t>Fecha estudio</t>
        </is>
      </c>
      <c r="AC1" s="8">
        <f>DATOS!$C$12</f>
        <v/>
      </c>
      <c r="AD1" s="188" t="n"/>
    </row>
    <row r="2">
      <c r="AB2" s="20" t="inlineStr">
        <is>
          <t>CV máx. (Art. 21)</t>
        </is>
      </c>
      <c r="AC2" s="7">
        <f>DATOS!$C$16</f>
        <v/>
      </c>
      <c r="AD2" s="188" t="n"/>
    </row>
    <row r="3" ht="15" customHeight="1" s="54">
      <c r="A3" s="6" t="inlineStr">
        <is>
          <t>SOLICITANTE</t>
        </is>
      </c>
      <c r="B3" s="188" t="n"/>
      <c r="C3" s="188" t="n"/>
      <c r="D3" s="5">
        <f>DATOS!C4</f>
        <v/>
      </c>
      <c r="E3" s="188" t="n"/>
      <c r="F3" s="188" t="n"/>
      <c r="G3" s="188" t="n"/>
      <c r="H3" s="188" t="n"/>
      <c r="I3" s="188" t="n"/>
      <c r="J3" s="188" t="n"/>
      <c r="K3" s="188" t="n"/>
    </row>
    <row r="4" ht="15" customHeight="1" s="54">
      <c r="A4" s="6" t="inlineStr">
        <is>
          <t>INMUEBLE OBJETO</t>
        </is>
      </c>
      <c r="B4" s="188" t="n"/>
      <c r="C4" s="188" t="n"/>
      <c r="D4" s="5">
        <f>DATOS!C6</f>
        <v/>
      </c>
      <c r="E4" s="188" t="n"/>
      <c r="F4" s="188" t="n"/>
      <c r="G4" s="188" t="n"/>
      <c r="H4" s="188" t="n"/>
      <c r="I4" s="188" t="n"/>
      <c r="J4" s="188" t="n"/>
      <c r="K4" s="188" t="n"/>
    </row>
    <row r="5" ht="15" customHeight="1" s="54">
      <c r="A5" s="6" t="inlineStr">
        <is>
          <t>MUNICIPIO – BARRIO</t>
        </is>
      </c>
      <c r="B5" s="188" t="n"/>
      <c r="C5" s="188" t="n"/>
      <c r="D5" s="5">
        <f>DATOS!C7&amp;" – "&amp;DATOS!C8</f>
        <v/>
      </c>
      <c r="E5" s="188" t="n"/>
      <c r="F5" s="188" t="n"/>
      <c r="G5" s="188" t="n"/>
      <c r="H5" s="188" t="n"/>
      <c r="I5" s="188" t="n"/>
      <c r="J5" s="188" t="n"/>
      <c r="K5" s="188" t="n"/>
    </row>
    <row r="6" ht="22.35" customHeight="1" s="54">
      <c r="A6" s="6" t="inlineStr">
        <is>
          <t>% NEGOCIACIÓN POR DEFECTO</t>
        </is>
      </c>
      <c r="B6" s="188" t="n"/>
      <c r="C6" s="188" t="n"/>
      <c r="D6" s="21">
        <f>DATOS!$C$17</f>
        <v/>
      </c>
      <c r="E6" s="19" t="inlineStr">
        <is>
          <t>Se aplica a cada oferta; puede sobrescribirse en la fila con el % sustentado de esa oferta.</t>
        </is>
      </c>
    </row>
    <row r="8" ht="48" customHeight="1" s="54">
      <c r="A8" s="91" t="inlineStr">
        <is>
          <t>No.</t>
        </is>
      </c>
      <c r="B8" s="91" t="inlineStr">
        <is>
          <t>FECHA DE CAPTURA</t>
        </is>
      </c>
      <c r="C8" s="91" t="inlineStr">
        <is>
          <t>TIPO DE INMUEBLE (CASA / APARTAMENTO)</t>
        </is>
      </c>
      <c r="D8" s="91" t="inlineStr">
        <is>
          <t>TIPO DE DATO</t>
        </is>
      </c>
      <c r="E8" s="91" t="inlineStr">
        <is>
          <t>MUNICIPIO</t>
        </is>
      </c>
      <c r="F8" s="91" t="inlineStr">
        <is>
          <t>COMUNA / BARRIO / SECTOR</t>
        </is>
      </c>
      <c r="G8" s="91" t="inlineStr">
        <is>
          <t>DIRECCIÓN O REFERENCIA</t>
        </is>
      </c>
      <c r="H8" s="91" t="inlineStr">
        <is>
          <t>COORDENADAS (lat, lon)</t>
        </is>
      </c>
      <c r="I8" s="91" t="inlineStr">
        <is>
          <t>VALOR PEDIDO</t>
        </is>
      </c>
      <c r="J8" s="91" t="inlineStr">
        <is>
          <t>% NEG.</t>
        </is>
      </c>
      <c r="K8" s="91" t="inlineStr">
        <is>
          <t>VALOR NEGOCIADO</t>
        </is>
      </c>
      <c r="L8" s="91" t="inlineStr">
        <is>
          <t>ÁREA DE TERRENO (m²) – SI SE PUBLICA</t>
        </is>
      </c>
      <c r="M8" s="91" t="inlineStr">
        <is>
          <t>ÁREA CONSTRUIDA / PRIVADA (m²) – MÁX. 100</t>
        </is>
      </c>
      <c r="N8" s="91" t="inlineStr">
        <is>
          <t>VALOR CONSTRUCCIONES (DEPRECIACIÓN)</t>
        </is>
      </c>
      <c r="O8" s="91" t="inlineStr">
        <is>
          <t>VALOR TERRENO (NEGOCIADO − CONSTRUCCIÓN)</t>
        </is>
      </c>
      <c r="P8" s="91" t="inlineStr">
        <is>
          <t>VALOR UNITARIO TERRENO ($/m²) – SOLO SI HAY LOTE</t>
        </is>
      </c>
      <c r="Q8" s="91" t="inlineStr">
        <is>
          <t>VALOR INTEGRAL $/m² DE TERRENO</t>
        </is>
      </c>
      <c r="R8" s="91" t="inlineStr">
        <is>
          <t>VALOR INTEGRAL $/m² CONSTRUIDO (CASA / APARTAMENTO)</t>
        </is>
      </c>
      <c r="S8" s="91" t="inlineStr">
        <is>
          <t>NORMA URBANÍSTICA (POT / tratamiento / uso)</t>
        </is>
      </c>
      <c r="T8" s="91" t="inlineStr">
        <is>
          <t>ESTRATO</t>
        </is>
      </c>
      <c r="U8" s="91" t="inlineStr">
        <is>
          <t>OBSERVACIONES / DESCRIPCIÓN</t>
        </is>
      </c>
      <c r="V8" s="91" t="inlineStr">
        <is>
          <t>FUENTE (nombre)</t>
        </is>
      </c>
      <c r="W8" s="91" t="inlineStr">
        <is>
          <t>TELÉFONO</t>
        </is>
      </c>
      <c r="X8" s="91" t="inlineStr">
        <is>
          <t>ENLACE (URL)</t>
        </is>
      </c>
      <c r="Y8" s="91" t="inlineStr">
        <is>
          <t>COMPARABILIDAD</t>
        </is>
      </c>
      <c r="Z8" s="91" t="inlineStr">
        <is>
          <t>¿INCLUIR? (SÍ/NO)</t>
        </is>
      </c>
      <c r="AA8" s="91" t="inlineStr">
        <is>
          <t>VALOR PARA ESTADÍSTICA ($/m² CONSTRUIDO)</t>
        </is>
      </c>
      <c r="AB8" s="91" t="inlineStr">
        <is>
          <t>ALERTAS</t>
        </is>
      </c>
      <c r="AC8" s="91" t="inlineStr">
        <is>
          <t>¿EN VALOR ADOPTADO?</t>
        </is>
      </c>
      <c r="AD8" s="91" t="inlineStr">
        <is>
          <t>SOPORTE (captura)</t>
        </is>
      </c>
    </row>
    <row r="9" ht="34.2" customHeight="1" s="54">
      <c r="A9" s="92" t="n">
        <v>1</v>
      </c>
      <c r="B9" s="93" t="n">
        <v>46300</v>
      </c>
      <c r="C9" s="94" t="inlineStr">
        <is>
          <t>Casa-lote</t>
        </is>
      </c>
      <c r="D9" s="94" t="inlineStr">
        <is>
          <t>Oferta de venta</t>
        </is>
      </c>
      <c r="E9" s="94" t="inlineStr">
        <is>
          <t>Bello</t>
        </is>
      </c>
      <c r="F9" s="94" t="inlineStr">
        <is>
          <t>Niquía Camacol (parte baja)</t>
        </is>
      </c>
      <c r="G9" s="94" t="inlineStr">
        <is>
          <t>Niquía Camacol parte baja, Bello</t>
        </is>
      </c>
      <c r="H9" s="94" t="inlineStr">
        <is>
          <t>6.342933, -75.551884</t>
        </is>
      </c>
      <c r="I9" s="189" t="n">
        <v>380000000</v>
      </c>
      <c r="J9" s="190">
        <f>DATOS!$C$17</f>
        <v/>
      </c>
      <c r="K9" s="191">
        <f>IF(I9="","",I9*(1-J9))</f>
        <v/>
      </c>
      <c r="L9" s="98" t="n">
        <v>216</v>
      </c>
      <c r="M9" s="98" t="n"/>
      <c r="N9" s="192">
        <f>IF(A9="","",SUMIFS(DEPRECIACIÓN!$P$5:$P$24,DEPRECIACIÓN!$A$5:$A$24,A9))</f>
        <v/>
      </c>
      <c r="O9" s="191">
        <f>IF(K9="","",K9-N(N9))</f>
        <v/>
      </c>
      <c r="P9" s="191">
        <f>IF(OR(O9="",N(L9)&lt;=0),"",O9/L9)</f>
        <v/>
      </c>
      <c r="Q9" s="191">
        <f>IF(OR(K9="",N(L9)&lt;=0),"",K9/L9)</f>
        <v/>
      </c>
      <c r="R9" s="191">
        <f>IF(OR(K9="",N(M9)&lt;=0),"",K9/M9)</f>
        <v/>
      </c>
      <c r="S9" s="94" t="inlineStr">
        <is>
          <t>Por verificar en POT de Bello (Acuerdo vigente)</t>
        </is>
      </c>
      <c r="T9" s="94" t="n"/>
      <c r="U9" s="94" t="inlineStr">
        <is>
          <t>Lote con casa para remodelar (ladrillo, piso en cemento), 2 alcobas, 1 baño, cocina sencilla sin gas. Cód. 6662. Ficha Doomos: 30/08/2026 y "2 días en el mercado · actualizado hoy" (fecha inconsistente). No publica piso, régimen ni administración ni área construida.</t>
        </is>
      </c>
      <c r="V9" s="94" t="inlineStr">
        <is>
          <t>La Palma Inmobiliaria S.A.S. – Doomos</t>
        </is>
      </c>
      <c r="W9" s="94" t="inlineStr">
        <is>
          <t>Solicitar en portal</t>
        </is>
      </c>
      <c r="X9" s="100" t="inlineStr">
        <is>
          <t>https://www.doomos.com.co/propiedad/lote-casa-en-venta-en-bello-cod-6662</t>
        </is>
      </c>
      <c r="Y9" s="94" t="inlineStr">
        <is>
          <t>Casa-lote 216 m² (fuera del rango 80–120 m²); incluida por decisión del perito. Falta área construida, nivel y régimen.</t>
        </is>
      </c>
      <c r="Z9" s="94" t="inlineStr">
        <is>
          <t>SÍ</t>
        </is>
      </c>
      <c r="AA9" s="191">
        <f>IF(AND(Z9="SÍ",ISNUMBER(R9)),R9,"")</f>
        <v/>
      </c>
      <c r="AB9" s="101">
        <f>IF(A9="","",IF(LEN(IF(B9="","SIN FECHA; ",IF(DATOS!$C$12-B9&gt;DATOS!$C$18*30.4,"VENCIDA; ",""))&amp;IF(X9="","SIN ENLACE; ","")&amp;IF(H9="","SIN COORDENADAS; ","")&amp;IF(L9="","SIN ÁREA; ","")&amp;IF(AND(ISNUMBER(AA9),ISNUMBER($P$45),ISNUMBER($P$46),N($P$44)&gt;DATOS!$C$16),IF(OR(AA9&lt;$P$45,AA9&gt;$P$46),"FUERA DE LÍMITES; ",""),""))=0,"OK",IF(B9="","SIN FECHA; ",IF(DATOS!$C$12-B9&gt;DATOS!$C$18*30.4,"VENCIDA; ",""))&amp;IF(X9="","SIN ENLACE; ","")&amp;IF(H9="","SIN COORDENADAS; ","")&amp;IF(L9="","SIN ÁREA; ","")&amp;IF(AND(ISNUMBER(AA9),ISNUMBER($P$45),ISNUMBER($P$46),N($P$44)&gt;DATOS!$C$16),IF(OR(AA9&lt;$P$45,AA9&gt;$P$46),"FUERA DE LÍMITES; ",""),"")))</f>
        <v/>
      </c>
      <c r="AC9" s="101">
        <f>IF(AA9="","",IF(COMBINACIONES_NPH!$B$18="MUESTRA COMPLETA","SÍ",IF(AUX_NPH!F5="","NO (filtrada)",IF(AND(AUX_NPH!F5&gt;=COMBINACIONES_NPH!$B$22,AUX_NPH!F5&lt;=COMBINACIONES_NPH!$B$22+COMBINACIONES_NPH!$B$23-1),"SÍ","NO"))))</f>
        <v/>
      </c>
      <c r="AD9" s="101">
        <f>IF(A9="","","OFERTA NPH "&amp;TEXT(A9,"00"))</f>
        <v/>
      </c>
    </row>
    <row r="10" ht="34.2" customHeight="1" s="54">
      <c r="A10" s="92" t="n">
        <v>2</v>
      </c>
      <c r="B10" s="93" t="n">
        <v>46300</v>
      </c>
      <c r="C10" s="94" t="inlineStr">
        <is>
          <t>Casa-lote</t>
        </is>
      </c>
      <c r="D10" s="94" t="inlineStr">
        <is>
          <t>Oferta de venta</t>
        </is>
      </c>
      <c r="E10" s="94" t="inlineStr">
        <is>
          <t>Bello</t>
        </is>
      </c>
      <c r="F10" s="94" t="inlineStr">
        <is>
          <t>Niquía</t>
        </is>
      </c>
      <c r="G10" s="94" t="inlineStr">
        <is>
          <t>Niquía, Bello, Antioquia</t>
        </is>
      </c>
      <c r="H10" s="94" t="n"/>
      <c r="I10" s="189" t="n">
        <v>600000000</v>
      </c>
      <c r="J10" s="190">
        <f>DATOS!$C$17</f>
        <v/>
      </c>
      <c r="K10" s="191">
        <f>IF(I10="","",I10*(1-J10))</f>
        <v/>
      </c>
      <c r="L10" s="98" t="n">
        <v>129</v>
      </c>
      <c r="M10" s="98" t="n"/>
      <c r="N10" s="192">
        <f>IF(A10="","",SUMIFS(DEPRECIACIÓN!$P$5:$P$24,DEPRECIACIÓN!$A$5:$A$24,A10))</f>
        <v/>
      </c>
      <c r="O10" s="191">
        <f>IF(K10="","",K10-N(N10))</f>
        <v/>
      </c>
      <c r="P10" s="191">
        <f>IF(OR(O10="",N(L10)&lt;=0),"",O10/L10)</f>
        <v/>
      </c>
      <c r="Q10" s="191">
        <f>IF(OR(K10="",N(L10)&lt;=0),"",K10/L10)</f>
        <v/>
      </c>
      <c r="R10" s="191">
        <f>IF(OR(K10="",N(M10)&lt;=0),"",K10/M10)</f>
        <v/>
      </c>
      <c r="S10" s="94" t="inlineStr">
        <is>
          <t>Por verificar en POT de Bello (Acuerdo vigente)</t>
        </is>
      </c>
      <c r="T10" s="94" t="n"/>
      <c r="U10" s="94" t="inlineStr">
        <is>
          <t>Casa de primer piso para remodelar, 4 habitaciones, 1 baño, sala, comedor, cocina integral, cuarto útil; 129 m² totales (no separa lote de construcción). Cerca al colegio Consejo de Bello. No publica régimen, administración ni coordenadas.</t>
        </is>
      </c>
      <c r="V10" s="94" t="inlineStr">
        <is>
          <t>Myeinmobiliariasas – MercadoLibre</t>
        </is>
      </c>
      <c r="W10" s="94" t="inlineStr">
        <is>
          <t>Solicitar en portal</t>
        </is>
      </c>
      <c r="X10" s="100" t="inlineStr">
        <is>
          <t>https://casa.mercadolibre.com.co/MCO-2237453771-casa-lote-en-venta-niquia-bello-_JM</t>
        </is>
      </c>
      <c r="Y10" s="94" t="inlineStr">
        <is>
          <t>Casa-lote primer piso; 129 m² totales sin separar lote/construido. Falta confirmar régimen, administración y coordenadas.</t>
        </is>
      </c>
      <c r="Z10" s="94" t="inlineStr">
        <is>
          <t>SÍ</t>
        </is>
      </c>
      <c r="AA10" s="191">
        <f>IF(AND(Z10="SÍ",ISNUMBER(R10)),R10,"")</f>
        <v/>
      </c>
      <c r="AB10" s="101">
        <f>IF(A10="","",IF(LEN(IF(B10="","SIN FECHA; ",IF(DATOS!$C$12-B10&gt;DATOS!$C$18*30.4,"VENCIDA; ",""))&amp;IF(X10="","SIN ENLACE; ","")&amp;IF(H10="","SIN COORDENADAS; ","")&amp;IF(L10="","SIN ÁREA; ","")&amp;IF(AND(ISNUMBER(AA10),ISNUMBER($P$45),ISNUMBER($P$46),N($P$44)&gt;DATOS!$C$16),IF(OR(AA10&lt;$P$45,AA10&gt;$P$46),"FUERA DE LÍMITES; ",""),""))=0,"OK",IF(B10="","SIN FECHA; ",IF(DATOS!$C$12-B10&gt;DATOS!$C$18*30.4,"VENCIDA; ",""))&amp;IF(X10="","SIN ENLACE; ","")&amp;IF(H10="","SIN COORDENADAS; ","")&amp;IF(L10="","SIN ÁREA; ","")&amp;IF(AND(ISNUMBER(AA10),ISNUMBER($P$45),ISNUMBER($P$46),N($P$44)&gt;DATOS!$C$16),IF(OR(AA10&lt;$P$45,AA10&gt;$P$46),"FUERA DE LÍMITES; ",""),"")))</f>
        <v/>
      </c>
      <c r="AC10" s="101">
        <f>IF(AA10="","",IF(COMBINACIONES_NPH!$B$18="MUESTRA COMPLETA","SÍ",IF(AUX_NPH!F6="","NO (filtrada)",IF(AND(AUX_NPH!F6&gt;=COMBINACIONES_NPH!$B$22,AUX_NPH!F6&lt;=COMBINACIONES_NPH!$B$22+COMBINACIONES_NPH!$B$23-1),"SÍ","NO"))))</f>
        <v/>
      </c>
      <c r="AD10" s="101">
        <f>IF(A10="","","OFERTA NPH "&amp;TEXT(A10,"00"))</f>
        <v/>
      </c>
    </row>
    <row r="11" ht="34.2" customHeight="1" s="54">
      <c r="A11" s="92" t="n">
        <v>3</v>
      </c>
      <c r="B11" s="93" t="n">
        <v>46300</v>
      </c>
      <c r="C11" s="94" t="inlineStr">
        <is>
          <t>Casa-lote</t>
        </is>
      </c>
      <c r="D11" s="94" t="inlineStr">
        <is>
          <t>Oferta de venta</t>
        </is>
      </c>
      <c r="E11" s="94" t="inlineStr">
        <is>
          <t>Bello</t>
        </is>
      </c>
      <c r="F11" s="94" t="inlineStr">
        <is>
          <t>Barrio Nuevo</t>
        </is>
      </c>
      <c r="G11" s="94" t="inlineStr">
        <is>
          <t>Barrio Nuevo, Bello, Antioquia</t>
        </is>
      </c>
      <c r="H11" s="94" t="n"/>
      <c r="I11" s="189" t="n">
        <v>495000000</v>
      </c>
      <c r="J11" s="190">
        <f>DATOS!$C$17</f>
        <v/>
      </c>
      <c r="K11" s="191">
        <f>IF(I11="","",I11*(1-J11))</f>
        <v/>
      </c>
      <c r="L11" s="98" t="n">
        <v>120</v>
      </c>
      <c r="M11" s="98" t="n"/>
      <c r="N11" s="192">
        <f>IF(A11="","",SUMIFS(DEPRECIACIÓN!$P$5:$P$24,DEPRECIACIÓN!$A$5:$A$24,A11))</f>
        <v/>
      </c>
      <c r="O11" s="191">
        <f>IF(K11="","",K11-N(N11))</f>
        <v/>
      </c>
      <c r="P11" s="191">
        <f>IF(OR(O11="",N(L11)&lt;=0),"",O11/L11)</f>
        <v/>
      </c>
      <c r="Q11" s="191">
        <f>IF(OR(K11="",N(L11)&lt;=0),"",K11/L11)</f>
        <v/>
      </c>
      <c r="R11" s="191">
        <f>IF(OR(K11="",N(M11)&lt;=0),"",K11/M11)</f>
        <v/>
      </c>
      <c r="S11" s="94" t="inlineStr">
        <is>
          <t>Por verificar en POT de Bello (Acuerdo vigente)</t>
        </is>
      </c>
      <c r="T11" s="94" t="n"/>
      <c r="U11" s="94" t="inlineStr">
        <is>
          <t>Casa unifamiliar con aire, 4 habitaciones, 2 baños, 2 patios, sala-comedor, cocina semiintegral; 120 m² totales (no separa lote/construido). Publicada hace 9 días (a 05/10/2026). No publica nivel, régimen, administración ni coordenadas.</t>
        </is>
      </c>
      <c r="V11" s="94" t="inlineStr">
        <is>
          <t>Myeinmobiliariasas – MercadoLibre</t>
        </is>
      </c>
      <c r="W11" s="94" t="inlineStr">
        <is>
          <t>Solicitar en portal</t>
        </is>
      </c>
      <c r="X11" s="100" t="inlineStr">
        <is>
          <t>https://casa.mercadolibre.com.co/MCO-2237592443-casa-lote-en-venta-en-barrio-nuevo-bello-_JM</t>
        </is>
      </c>
      <c r="Y11" s="94" t="inlineStr">
        <is>
          <t>Casa-lote 120 m² totales sin separar lote/construido. Falta nivel, régimen, administración y coordenadas; barrio por confirmar distancia al objeto.</t>
        </is>
      </c>
      <c r="Z11" s="94" t="inlineStr">
        <is>
          <t>SÍ</t>
        </is>
      </c>
      <c r="AA11" s="191">
        <f>IF(AND(Z11="SÍ",ISNUMBER(R11)),R11,"")</f>
        <v/>
      </c>
      <c r="AB11" s="101">
        <f>IF(A11="","",IF(LEN(IF(B11="","SIN FECHA; ",IF(DATOS!$C$12-B11&gt;DATOS!$C$18*30.4,"VENCIDA; ",""))&amp;IF(X11="","SIN ENLACE; ","")&amp;IF(H11="","SIN COORDENADAS; ","")&amp;IF(L11="","SIN ÁREA; ","")&amp;IF(AND(ISNUMBER(AA11),ISNUMBER($P$45),ISNUMBER($P$46),N($P$44)&gt;DATOS!$C$16),IF(OR(AA11&lt;$P$45,AA11&gt;$P$46),"FUERA DE LÍMITES; ",""),""))=0,"OK",IF(B11="","SIN FECHA; ",IF(DATOS!$C$12-B11&gt;DATOS!$C$18*30.4,"VENCIDA; ",""))&amp;IF(X11="","SIN ENLACE; ","")&amp;IF(H11="","SIN COORDENADAS; ","")&amp;IF(L11="","SIN ÁREA; ","")&amp;IF(AND(ISNUMBER(AA11),ISNUMBER($P$45),ISNUMBER($P$46),N($P$44)&gt;DATOS!$C$16),IF(OR(AA11&lt;$P$45,AA11&gt;$P$46),"FUERA DE LÍMITES; ",""),"")))</f>
        <v/>
      </c>
      <c r="AC11" s="101">
        <f>IF(AA11="","",IF(COMBINACIONES_NPH!$B$18="MUESTRA COMPLETA","SÍ",IF(AUX_NPH!F7="","NO (filtrada)",IF(AND(AUX_NPH!F7&gt;=COMBINACIONES_NPH!$B$22,AUX_NPH!F7&lt;=COMBINACIONES_NPH!$B$22+COMBINACIONES_NPH!$B$23-1),"SÍ","NO"))))</f>
        <v/>
      </c>
      <c r="AD11" s="101">
        <f>IF(A11="","","OFERTA NPH "&amp;TEXT(A11,"00"))</f>
        <v/>
      </c>
    </row>
    <row r="12" ht="45.6" customHeight="1" s="54">
      <c r="A12" s="92" t="n">
        <v>4</v>
      </c>
      <c r="B12" s="93" t="n">
        <v>46300</v>
      </c>
      <c r="C12" s="94" t="inlineStr">
        <is>
          <t>Casa-lote</t>
        </is>
      </c>
      <c r="D12" s="94" t="inlineStr">
        <is>
          <t>Oferta de venta</t>
        </is>
      </c>
      <c r="E12" s="94" t="inlineStr">
        <is>
          <t>Bello</t>
        </is>
      </c>
      <c r="F12" s="94" t="inlineStr">
        <is>
          <t>Mesa</t>
        </is>
      </c>
      <c r="G12" s="94" t="inlineStr">
        <is>
          <t>Barrio Mesa, a una cuadra de la Obra 2000, contiguo a fruver, Bello</t>
        </is>
      </c>
      <c r="H12" s="94" t="n"/>
      <c r="I12" s="189" t="n">
        <v>390000000</v>
      </c>
      <c r="J12" s="190">
        <f>DATOS!$C$17</f>
        <v/>
      </c>
      <c r="K12" s="191">
        <f>IF(I12="","",I12*(1-J12))</f>
        <v/>
      </c>
      <c r="L12" s="98" t="n">
        <v>120</v>
      </c>
      <c r="M12" s="98" t="n"/>
      <c r="N12" s="192">
        <f>IF(A12="","",SUMIFS(DEPRECIACIÓN!$P$5:$P$24,DEPRECIACIÓN!$A$5:$A$24,A12))</f>
        <v/>
      </c>
      <c r="O12" s="191">
        <f>IF(K12="","",K12-N(N12))</f>
        <v/>
      </c>
      <c r="P12" s="191">
        <f>IF(OR(O12="",N(L12)&lt;=0),"",O12/L12)</f>
        <v/>
      </c>
      <c r="Q12" s="191">
        <f>IF(OR(K12="",N(L12)&lt;=0),"",K12/L12)</f>
        <v/>
      </c>
      <c r="R12" s="191">
        <f>IF(OR(K12="",N(M12)&lt;=0),"",K12/M12)</f>
        <v/>
      </c>
      <c r="S12" s="94" t="inlineStr">
        <is>
          <t>Por verificar en POT de Bello (Acuerdo vigente)</t>
        </is>
      </c>
      <c r="T12" s="94" t="n"/>
      <c r="U12" s="94" t="inlineStr">
        <is>
          <t>Casa-lote apta para construir apartamentos o locales. Escritura: 8 x 18 m; real aproximadamente 120 m². Ficha: 120 m² totales. Publicada hace 5 días (a 05/10/2026). No publica nivel, régimen, administración ni coordenadas.</t>
        </is>
      </c>
      <c r="V12" s="94" t="inlineStr">
        <is>
          <t>Aviarrendamientosvicasas – MercadoLibre</t>
        </is>
      </c>
      <c r="W12" s="94" t="inlineStr">
        <is>
          <t>Solicitar en portal</t>
        </is>
      </c>
      <c r="X12" s="100" t="inlineStr">
        <is>
          <t>https://casa.mercadolibre.com.co/MCO-4493777078-vendo-casa-lote-obra-2000-barrio-mesa-bello-_JM</t>
        </is>
      </c>
      <c r="Y12" s="94" t="inlineStr">
        <is>
          <t>Casa-lote ~120 m² reales (escritura 144 m²). Falta nivel, régimen, administración y coordenadas.</t>
        </is>
      </c>
      <c r="Z12" s="94" t="inlineStr">
        <is>
          <t>SÍ</t>
        </is>
      </c>
      <c r="AA12" s="191">
        <f>IF(AND(Z12="SÍ",ISNUMBER(R12)),R12,"")</f>
        <v/>
      </c>
      <c r="AB12" s="101">
        <f>IF(A12="","",IF(LEN(IF(B12="","SIN FECHA; ",IF(DATOS!$C$12-B12&gt;DATOS!$C$18*30.4,"VENCIDA; ",""))&amp;IF(X12="","SIN ENLACE; ","")&amp;IF(H12="","SIN COORDENADAS; ","")&amp;IF(L12="","SIN ÁREA; ","")&amp;IF(AND(ISNUMBER(AA12),ISNUMBER($P$45),ISNUMBER($P$46),N($P$44)&gt;DATOS!$C$16),IF(OR(AA12&lt;$P$45,AA12&gt;$P$46),"FUERA DE LÍMITES; ",""),""))=0,"OK",IF(B12="","SIN FECHA; ",IF(DATOS!$C$12-B12&gt;DATOS!$C$18*30.4,"VENCIDA; ",""))&amp;IF(X12="","SIN ENLACE; ","")&amp;IF(H12="","SIN COORDENADAS; ","")&amp;IF(L12="","SIN ÁREA; ","")&amp;IF(AND(ISNUMBER(AA12),ISNUMBER($P$45),ISNUMBER($P$46),N($P$44)&gt;DATOS!$C$16),IF(OR(AA12&lt;$P$45,AA12&gt;$P$46),"FUERA DE LÍMITES; ",""),"")))</f>
        <v/>
      </c>
      <c r="AC12" s="101">
        <f>IF(AA12="","",IF(COMBINACIONES_NPH!$B$18="MUESTRA COMPLETA","SÍ",IF(AUX_NPH!F8="","NO (filtrada)",IF(AND(AUX_NPH!F8&gt;=COMBINACIONES_NPH!$B$22,AUX_NPH!F8&lt;=COMBINACIONES_NPH!$B$22+COMBINACIONES_NPH!$B$23-1),"SÍ","NO"))))</f>
        <v/>
      </c>
      <c r="AD12" s="101">
        <f>IF(A12="","","OFERTA NPH "&amp;TEXT(A12,"00"))</f>
        <v/>
      </c>
    </row>
    <row r="13" ht="45.6" customHeight="1" s="54">
      <c r="A13" s="92" t="n">
        <v>5</v>
      </c>
      <c r="B13" s="93" t="n">
        <v>46300</v>
      </c>
      <c r="C13" s="94" t="inlineStr">
        <is>
          <t>Casa</t>
        </is>
      </c>
      <c r="D13" s="94" t="inlineStr">
        <is>
          <t>Oferta de venta</t>
        </is>
      </c>
      <c r="E13" s="94" t="inlineStr">
        <is>
          <t>Bello</t>
        </is>
      </c>
      <c r="F13" s="94" t="inlineStr">
        <is>
          <t>Santa Ana</t>
        </is>
      </c>
      <c r="G13" s="94" t="inlineStr">
        <is>
          <t>Santa Ana, cerca a La Salle Super Punto, Bello</t>
        </is>
      </c>
      <c r="H13" s="94" t="n"/>
      <c r="I13" s="189" t="n">
        <v>390000000</v>
      </c>
      <c r="J13" s="190">
        <f>DATOS!$C$17</f>
        <v/>
      </c>
      <c r="K13" s="191">
        <f>IF(I13="","",I13*(1-J13))</f>
        <v/>
      </c>
      <c r="L13" s="98" t="n">
        <v>42</v>
      </c>
      <c r="M13" s="98" t="n">
        <v>168</v>
      </c>
      <c r="N13" s="192">
        <f>IF(A13="","",SUMIFS(DEPRECIACIÓN!$P$5:$P$24,DEPRECIACIÓN!$A$5:$A$24,A13))</f>
        <v/>
      </c>
      <c r="O13" s="191">
        <f>IF(K13="","",K13-N(N13))</f>
        <v/>
      </c>
      <c r="P13" s="191">
        <f>IF(OR(O13="",N(L13)&lt;=0),"",O13/L13)</f>
        <v/>
      </c>
      <c r="Q13" s="191">
        <f>IF(OR(K13="",N(L13)&lt;=0),"",K13/L13)</f>
        <v/>
      </c>
      <c r="R13" s="191">
        <f>IF(OR(K13="",N(M13)&lt;=0),"",K13/M13)</f>
        <v/>
      </c>
      <c r="S13" s="94" t="inlineStr">
        <is>
          <t>Por verificar en POT de Bello (Acuerdo vigente)</t>
        </is>
      </c>
      <c r="T13" s="94" t="n"/>
      <c r="U13" s="94" t="inlineStr">
        <is>
          <t>Casa de 4 niveles, 4 alcobas, 3 baños (uno con bañera), sala-comedor grande, cuarto útil, balcón; 0 parqueaderos; antigüedad 8 años; cada nivel 42 m², área total 168 m² (construida no desglosada; lote no informado). Publicada hace 2 meses (a 05/10/2026). Cód. publicación 4221795790; cód. propiedad anunciante 7520838. No publica régimen, administración ni coordenadas. ÁREA DE TERRENO 42 m² = SUPUESTO (niveles apilados); confirmar con el anunciante. Construcción descontada en DEPRECIACIÓN.</t>
        </is>
      </c>
      <c r="V13" s="94" t="inlineStr">
        <is>
          <t>Aliadosinmobiliarios – MercadoLibre</t>
        </is>
      </c>
      <c r="W13" s="94" t="inlineStr">
        <is>
          <t>Solicitar en portal</t>
        </is>
      </c>
      <c r="X13" s="100" t="inlineStr">
        <is>
          <t>https://casa.mercadolibre.com.co/MCO-4221795790-se-vende-hermosa-casa-de-4-niveles-en-santa-ana-bello-de-168-mts-_JM</t>
        </is>
      </c>
      <c r="Y13" s="94" t="inlineStr">
        <is>
          <t>Casa de 4 niveles, 168 m² construidos; incluida por decisión del perito. Valor del suelo = negociado − construcción depreciada (DEPRECIACIÓN). Falta régimen, administración y coordenadas.</t>
        </is>
      </c>
      <c r="Z13" s="94" t="inlineStr">
        <is>
          <t>SÍ</t>
        </is>
      </c>
      <c r="AA13" s="191">
        <f>IF(AND(Z13="SÍ",ISNUMBER(R13)),R13,"")</f>
        <v/>
      </c>
      <c r="AB13" s="101">
        <f>IF(A13="","",IF(LEN(IF(B13="","SIN FECHA; ",IF(DATOS!$C$12-B13&gt;DATOS!$C$18*30.4,"VENCIDA; ",""))&amp;IF(X13="","SIN ENLACE; ","")&amp;IF(H13="","SIN COORDENADAS; ","")&amp;IF(L13="","SIN ÁREA; ","")&amp;IF(AND(ISNUMBER(AA13),ISNUMBER($P$45),ISNUMBER($P$46),N($P$44)&gt;DATOS!$C$16),IF(OR(AA13&lt;$P$45,AA13&gt;$P$46),"FUERA DE LÍMITES; ",""),""))=0,"OK",IF(B13="","SIN FECHA; ",IF(DATOS!$C$12-B13&gt;DATOS!$C$18*30.4,"VENCIDA; ",""))&amp;IF(X13="","SIN ENLACE; ","")&amp;IF(H13="","SIN COORDENADAS; ","")&amp;IF(L13="","SIN ÁREA; ","")&amp;IF(AND(ISNUMBER(AA13),ISNUMBER($P$45),ISNUMBER($P$46),N($P$44)&gt;DATOS!$C$16),IF(OR(AA13&lt;$P$45,AA13&gt;$P$46),"FUERA DE LÍMITES; ",""),"")))</f>
        <v/>
      </c>
      <c r="AC13" s="101">
        <f>IF(AA13="","",IF(COMBINACIONES_NPH!$B$18="MUESTRA COMPLETA","SÍ",IF(AUX_NPH!F9="","NO (filtrada)",IF(AND(AUX_NPH!F9&gt;=COMBINACIONES_NPH!$B$22,AUX_NPH!F9&lt;=COMBINACIONES_NPH!$B$22+COMBINACIONES_NPH!$B$23-1),"SÍ","NO"))))</f>
        <v/>
      </c>
      <c r="AD13" s="101">
        <f>IF(A13="","","OFERTA NPH "&amp;TEXT(A13,"00"))</f>
        <v/>
      </c>
    </row>
    <row r="14" ht="34.2" customHeight="1" s="54">
      <c r="A14" s="92" t="n"/>
      <c r="B14" s="93" t="n"/>
      <c r="C14" s="94" t="n"/>
      <c r="D14" s="94" t="n"/>
      <c r="E14" s="94" t="n"/>
      <c r="F14" s="94" t="n"/>
      <c r="G14" s="94" t="n"/>
      <c r="H14" s="94" t="n"/>
      <c r="I14" s="189" t="n"/>
      <c r="J14" s="190">
        <f>DATOS!$C$17</f>
        <v/>
      </c>
      <c r="K14" s="191">
        <f>IF(I14="","",I14*(1-J14))</f>
        <v/>
      </c>
      <c r="L14" s="98" t="n"/>
      <c r="M14" s="98" t="n"/>
      <c r="N14" s="192">
        <f>IF(A14="","",SUMIFS(DEPRECIACIÓN!$P$5:$P$24,DEPRECIACIÓN!$A$5:$A$24,A14))</f>
        <v/>
      </c>
      <c r="O14" s="191">
        <f>IF(K14="","",K14-N(N14))</f>
        <v/>
      </c>
      <c r="P14" s="191">
        <f>IF(OR(O14="",N(L14)&lt;=0),"",O14/L14)</f>
        <v/>
      </c>
      <c r="Q14" s="191">
        <f>IF(OR(K14="",N(L14)&lt;=0),"",K14/L14)</f>
        <v/>
      </c>
      <c r="R14" s="191">
        <f>IF(OR(K14="",N(M14)&lt;=0),"",K14/M14)</f>
        <v/>
      </c>
      <c r="S14" s="94" t="n"/>
      <c r="T14" s="94" t="n"/>
      <c r="U14" s="94" t="n"/>
      <c r="V14" s="94" t="n"/>
      <c r="W14" s="94" t="n"/>
      <c r="X14" s="100" t="n"/>
      <c r="Y14" s="94" t="n"/>
      <c r="Z14" s="94" t="n"/>
      <c r="AA14" s="191">
        <f>IF(AND(Z14="SÍ",ISNUMBER(R14)),R14,"")</f>
        <v/>
      </c>
      <c r="AB14" s="101">
        <f>IF(A14="","",IF(LEN(IF(B14="","SIN FECHA; ",IF(DATOS!$C$12-B14&gt;DATOS!$C$18*30.4,"VENCIDA; ",""))&amp;IF(X14="","SIN ENLACE; ","")&amp;IF(H14="","SIN COORDENADAS; ","")&amp;IF(L14="","SIN ÁREA; ","")&amp;IF(AND(ISNUMBER(AA14),ISNUMBER($P$45),ISNUMBER($P$46),N($P$44)&gt;DATOS!$C$16),IF(OR(AA14&lt;$P$45,AA14&gt;$P$46),"FUERA DE LÍMITES; ",""),""))=0,"OK",IF(B14="","SIN FECHA; ",IF(DATOS!$C$12-B14&gt;DATOS!$C$18*30.4,"VENCIDA; ",""))&amp;IF(X14="","SIN ENLACE; ","")&amp;IF(H14="","SIN COORDENADAS; ","")&amp;IF(L14="","SIN ÁREA; ","")&amp;IF(AND(ISNUMBER(AA14),ISNUMBER($P$45),ISNUMBER($P$46),N($P$44)&gt;DATOS!$C$16),IF(OR(AA14&lt;$P$45,AA14&gt;$P$46),"FUERA DE LÍMITES; ",""),"")))</f>
        <v/>
      </c>
      <c r="AC14" s="101">
        <f>IF(AA14="","",IF(COMBINACIONES_NPH!$B$18="MUESTRA COMPLETA","SÍ",IF(AUX_NPH!F10="","NO (filtrada)",IF(AND(AUX_NPH!F10&gt;=COMBINACIONES_NPH!$B$22,AUX_NPH!F10&lt;=COMBINACIONES_NPH!$B$22+COMBINACIONES_NPH!$B$23-1),"SÍ","NO"))))</f>
        <v/>
      </c>
      <c r="AD14" s="101">
        <f>IF(A14="","","OFERTA NPH "&amp;TEXT(A14,"00"))</f>
        <v/>
      </c>
    </row>
    <row r="15" ht="57" customHeight="1" s="54">
      <c r="A15" s="92" t="n"/>
      <c r="B15" s="93" t="n"/>
      <c r="C15" s="94" t="n"/>
      <c r="D15" s="94" t="n"/>
      <c r="E15" s="94" t="n"/>
      <c r="F15" s="94" t="n"/>
      <c r="G15" s="94" t="n"/>
      <c r="H15" s="94" t="n"/>
      <c r="I15" s="189" t="n"/>
      <c r="J15" s="190">
        <f>DATOS!$C$17</f>
        <v/>
      </c>
      <c r="K15" s="191">
        <f>IF(I15="","",I15*(1-J15))</f>
        <v/>
      </c>
      <c r="L15" s="98" t="n"/>
      <c r="M15" s="98" t="n"/>
      <c r="N15" s="192">
        <f>IF(A15="","",SUMIFS(DEPRECIACIÓN!$P$5:$P$24,DEPRECIACIÓN!$A$5:$A$24,A15))</f>
        <v/>
      </c>
      <c r="O15" s="191">
        <f>IF(K15="","",K15-N(N15))</f>
        <v/>
      </c>
      <c r="P15" s="191">
        <f>IF(OR(O15="",N(L15)&lt;=0),"",O15/L15)</f>
        <v/>
      </c>
      <c r="Q15" s="191">
        <f>IF(OR(K15="",N(L15)&lt;=0),"",K15/L15)</f>
        <v/>
      </c>
      <c r="R15" s="191">
        <f>IF(OR(K15="",N(M15)&lt;=0),"",K15/M15)</f>
        <v/>
      </c>
      <c r="S15" s="94" t="n"/>
      <c r="T15" s="94" t="n"/>
      <c r="U15" s="94" t="n"/>
      <c r="V15" s="94" t="n"/>
      <c r="W15" s="94" t="n"/>
      <c r="X15" s="100" t="n"/>
      <c r="Y15" s="94" t="n"/>
      <c r="Z15" s="94" t="n"/>
      <c r="AA15" s="191">
        <f>IF(AND(Z15="SÍ",ISNUMBER(R15)),R15,"")</f>
        <v/>
      </c>
      <c r="AB15" s="101">
        <f>IF(A15="","",IF(LEN(IF(B15="","SIN FECHA; ",IF(DATOS!$C$12-B15&gt;DATOS!$C$18*30.4,"VENCIDA; ",""))&amp;IF(X15="","SIN ENLACE; ","")&amp;IF(H15="","SIN COORDENADAS; ","")&amp;IF(L15="","SIN ÁREA; ","")&amp;IF(AND(ISNUMBER(AA15),ISNUMBER($P$45),ISNUMBER($P$46),N($P$44)&gt;DATOS!$C$16),IF(OR(AA15&lt;$P$45,AA15&gt;$P$46),"FUERA DE LÍMITES; ",""),""))=0,"OK",IF(B15="","SIN FECHA; ",IF(DATOS!$C$12-B15&gt;DATOS!$C$18*30.4,"VENCIDA; ",""))&amp;IF(X15="","SIN ENLACE; ","")&amp;IF(H15="","SIN COORDENADAS; ","")&amp;IF(L15="","SIN ÁREA; ","")&amp;IF(AND(ISNUMBER(AA15),ISNUMBER($P$45),ISNUMBER($P$46),N($P$44)&gt;DATOS!$C$16),IF(OR(AA15&lt;$P$45,AA15&gt;$P$46),"FUERA DE LÍMITES; ",""),"")))</f>
        <v/>
      </c>
      <c r="AC15" s="101">
        <f>IF(AA15="","",IF(COMBINACIONES_NPH!$B$18="MUESTRA COMPLETA","SÍ",IF(AUX_NPH!F11="","NO (filtrada)",IF(AND(AUX_NPH!F11&gt;=COMBINACIONES_NPH!$B$22,AUX_NPH!F11&lt;=COMBINACIONES_NPH!$B$22+COMBINACIONES_NPH!$B$23-1),"SÍ","NO"))))</f>
        <v/>
      </c>
      <c r="AD15" s="101">
        <f>IF(A15="","","OFERTA NPH "&amp;TEXT(A15,"00"))</f>
        <v/>
      </c>
    </row>
    <row r="16" ht="57" customHeight="1" s="54">
      <c r="A16" s="92" t="n"/>
      <c r="B16" s="93" t="n"/>
      <c r="C16" s="94" t="n"/>
      <c r="D16" s="94" t="n"/>
      <c r="E16" s="94" t="n"/>
      <c r="F16" s="94" t="n"/>
      <c r="G16" s="94" t="n"/>
      <c r="H16" s="94" t="n"/>
      <c r="I16" s="189" t="n"/>
      <c r="J16" s="190">
        <f>DATOS!$C$17</f>
        <v/>
      </c>
      <c r="K16" s="191">
        <f>IF(I16="","",I16*(1-J16))</f>
        <v/>
      </c>
      <c r="L16" s="98" t="n"/>
      <c r="M16" s="98" t="n"/>
      <c r="N16" s="192">
        <f>IF(A16="","",SUMIFS(DEPRECIACIÓN!$P$5:$P$24,DEPRECIACIÓN!$A$5:$A$24,A16))</f>
        <v/>
      </c>
      <c r="O16" s="191">
        <f>IF(K16="","",K16-N(N16))</f>
        <v/>
      </c>
      <c r="P16" s="191">
        <f>IF(OR(O16="",N(L16)&lt;=0),"",O16/L16)</f>
        <v/>
      </c>
      <c r="Q16" s="191">
        <f>IF(OR(K16="",N(L16)&lt;=0),"",K16/L16)</f>
        <v/>
      </c>
      <c r="R16" s="191">
        <f>IF(OR(K16="",N(M16)&lt;=0),"",K16/M16)</f>
        <v/>
      </c>
      <c r="S16" s="94" t="n"/>
      <c r="T16" s="94" t="n"/>
      <c r="U16" s="94" t="n"/>
      <c r="V16" s="94" t="n"/>
      <c r="W16" s="94" t="n"/>
      <c r="X16" s="100" t="n"/>
      <c r="Y16" s="94" t="n"/>
      <c r="Z16" s="94" t="n"/>
      <c r="AA16" s="191">
        <f>IF(AND(Z16="SÍ",ISNUMBER(R16)),R16,"")</f>
        <v/>
      </c>
      <c r="AB16" s="101">
        <f>IF(A16="","",IF(LEN(IF(B16="","SIN FECHA; ",IF(DATOS!$C$12-B16&gt;DATOS!$C$18*30.4,"VENCIDA; ",""))&amp;IF(X16="","SIN ENLACE; ","")&amp;IF(H16="","SIN COORDENADAS; ","")&amp;IF(L16="","SIN ÁREA; ","")&amp;IF(AND(ISNUMBER(AA16),ISNUMBER($P$45),ISNUMBER($P$46),N($P$44)&gt;DATOS!$C$16),IF(OR(AA16&lt;$P$45,AA16&gt;$P$46),"FUERA DE LÍMITES; ",""),""))=0,"OK",IF(B16="","SIN FECHA; ",IF(DATOS!$C$12-B16&gt;DATOS!$C$18*30.4,"VENCIDA; ",""))&amp;IF(X16="","SIN ENLACE; ","")&amp;IF(H16="","SIN COORDENADAS; ","")&amp;IF(L16="","SIN ÁREA; ","")&amp;IF(AND(ISNUMBER(AA16),ISNUMBER($P$45),ISNUMBER($P$46),N($P$44)&gt;DATOS!$C$16),IF(OR(AA16&lt;$P$45,AA16&gt;$P$46),"FUERA DE LÍMITES; ",""),"")))</f>
        <v/>
      </c>
      <c r="AC16" s="101">
        <f>IF(AA16="","",IF(COMBINACIONES_NPH!$B$18="MUESTRA COMPLETA","SÍ",IF(AUX_NPH!F12="","NO (filtrada)",IF(AND(AUX_NPH!F12&gt;=COMBINACIONES_NPH!$B$22,AUX_NPH!F12&lt;=COMBINACIONES_NPH!$B$22+COMBINACIONES_NPH!$B$23-1),"SÍ","NO"))))</f>
        <v/>
      </c>
      <c r="AD16" s="101">
        <f>IF(A16="","","OFERTA NPH "&amp;TEXT(A16,"00"))</f>
        <v/>
      </c>
    </row>
    <row r="17" ht="45.6" customHeight="1" s="54">
      <c r="A17" s="92" t="n"/>
      <c r="B17" s="93" t="n"/>
      <c r="C17" s="94" t="n"/>
      <c r="D17" s="94" t="n"/>
      <c r="E17" s="94" t="n"/>
      <c r="F17" s="94" t="n"/>
      <c r="G17" s="94" t="n"/>
      <c r="H17" s="94" t="n"/>
      <c r="I17" s="189" t="n"/>
      <c r="J17" s="190">
        <f>DATOS!$C$17</f>
        <v/>
      </c>
      <c r="K17" s="191">
        <f>IF(I17="","",I17*(1-J17))</f>
        <v/>
      </c>
      <c r="L17" s="98" t="n"/>
      <c r="M17" s="98" t="n"/>
      <c r="N17" s="192">
        <f>IF(A17="","",SUMIFS(DEPRECIACIÓN!$P$5:$P$24,DEPRECIACIÓN!$A$5:$A$24,A17))</f>
        <v/>
      </c>
      <c r="O17" s="191">
        <f>IF(K17="","",K17-N(N17))</f>
        <v/>
      </c>
      <c r="P17" s="191">
        <f>IF(OR(O17="",N(L17)&lt;=0),"",O17/L17)</f>
        <v/>
      </c>
      <c r="Q17" s="191">
        <f>IF(OR(K17="",N(L17)&lt;=0),"",K17/L17)</f>
        <v/>
      </c>
      <c r="R17" s="191">
        <f>IF(OR(K17="",N(M17)&lt;=0),"",K17/M17)</f>
        <v/>
      </c>
      <c r="S17" s="94" t="n"/>
      <c r="T17" s="94" t="n"/>
      <c r="U17" s="94" t="n"/>
      <c r="V17" s="94" t="n"/>
      <c r="W17" s="94" t="n"/>
      <c r="X17" s="100" t="n"/>
      <c r="Y17" s="94" t="n"/>
      <c r="Z17" s="94" t="n"/>
      <c r="AA17" s="191">
        <f>IF(AND(Z17="SÍ",ISNUMBER(R17)),R17,"")</f>
        <v/>
      </c>
      <c r="AB17" s="101">
        <f>IF(A17="","",IF(LEN(IF(B17="","SIN FECHA; ",IF(DATOS!$C$12-B17&gt;DATOS!$C$18*30.4,"VENCIDA; ",""))&amp;IF(X17="","SIN ENLACE; ","")&amp;IF(H17="","SIN COORDENADAS; ","")&amp;IF(L17="","SIN ÁREA; ","")&amp;IF(AND(ISNUMBER(AA17),ISNUMBER($P$45),ISNUMBER($P$46),N($P$44)&gt;DATOS!$C$16),IF(OR(AA17&lt;$P$45,AA17&gt;$P$46),"FUERA DE LÍMITES; ",""),""))=0,"OK",IF(B17="","SIN FECHA; ",IF(DATOS!$C$12-B17&gt;DATOS!$C$18*30.4,"VENCIDA; ",""))&amp;IF(X17="","SIN ENLACE; ","")&amp;IF(H17="","SIN COORDENADAS; ","")&amp;IF(L17="","SIN ÁREA; ","")&amp;IF(AND(ISNUMBER(AA17),ISNUMBER($P$45),ISNUMBER($P$46),N($P$44)&gt;DATOS!$C$16),IF(OR(AA17&lt;$P$45,AA17&gt;$P$46),"FUERA DE LÍMITES; ",""),"")))</f>
        <v/>
      </c>
      <c r="AC17" s="101">
        <f>IF(AA17="","",IF(COMBINACIONES_NPH!$B$18="MUESTRA COMPLETA","SÍ",IF(AUX_NPH!F13="","NO (filtrada)",IF(AND(AUX_NPH!F13&gt;=COMBINACIONES_NPH!$B$22,AUX_NPH!F13&lt;=COMBINACIONES_NPH!$B$22+COMBINACIONES_NPH!$B$23-1),"SÍ","NO"))))</f>
        <v/>
      </c>
      <c r="AD17" s="101">
        <f>IF(A17="","","OFERTA NPH "&amp;TEXT(A17,"00"))</f>
        <v/>
      </c>
    </row>
    <row r="18" ht="57" customHeight="1" s="54">
      <c r="A18" s="92" t="n"/>
      <c r="B18" s="93" t="n"/>
      <c r="C18" s="94" t="n"/>
      <c r="D18" s="94" t="n"/>
      <c r="E18" s="94" t="n"/>
      <c r="F18" s="94" t="n"/>
      <c r="G18" s="94" t="n"/>
      <c r="H18" s="94" t="n"/>
      <c r="I18" s="189" t="n"/>
      <c r="J18" s="190">
        <f>DATOS!$C$17</f>
        <v/>
      </c>
      <c r="K18" s="191">
        <f>IF(I18="","",I18*(1-J18))</f>
        <v/>
      </c>
      <c r="L18" s="98" t="n"/>
      <c r="M18" s="98" t="n"/>
      <c r="N18" s="192">
        <f>IF(A18="","",SUMIFS(DEPRECIACIÓN!$P$5:$P$24,DEPRECIACIÓN!$A$5:$A$24,A18))</f>
        <v/>
      </c>
      <c r="O18" s="191">
        <f>IF(K18="","",K18-N(N18))</f>
        <v/>
      </c>
      <c r="P18" s="191">
        <f>IF(OR(O18="",N(L18)&lt;=0),"",O18/L18)</f>
        <v/>
      </c>
      <c r="Q18" s="191">
        <f>IF(OR(K18="",N(L18)&lt;=0),"",K18/L18)</f>
        <v/>
      </c>
      <c r="R18" s="191">
        <f>IF(OR(K18="",N(M18)&lt;=0),"",K18/M18)</f>
        <v/>
      </c>
      <c r="S18" s="94" t="n"/>
      <c r="T18" s="94" t="n"/>
      <c r="U18" s="94" t="n"/>
      <c r="V18" s="94" t="n"/>
      <c r="W18" s="94" t="n"/>
      <c r="X18" s="100" t="n"/>
      <c r="Y18" s="94" t="n"/>
      <c r="Z18" s="94" t="n"/>
      <c r="AA18" s="191">
        <f>IF(AND(Z18="SÍ",ISNUMBER(R18)),R18,"")</f>
        <v/>
      </c>
      <c r="AB18" s="101">
        <f>IF(A18="","",IF(LEN(IF(B18="","SIN FECHA; ",IF(DATOS!$C$12-B18&gt;DATOS!$C$18*30.4,"VENCIDA; ",""))&amp;IF(X18="","SIN ENLACE; ","")&amp;IF(H18="","SIN COORDENADAS; ","")&amp;IF(L18="","SIN ÁREA; ","")&amp;IF(AND(ISNUMBER(AA18),ISNUMBER($P$45),ISNUMBER($P$46),N($P$44)&gt;DATOS!$C$16),IF(OR(AA18&lt;$P$45,AA18&gt;$P$46),"FUERA DE LÍMITES; ",""),""))=0,"OK",IF(B18="","SIN FECHA; ",IF(DATOS!$C$12-B18&gt;DATOS!$C$18*30.4,"VENCIDA; ",""))&amp;IF(X18="","SIN ENLACE; ","")&amp;IF(H18="","SIN COORDENADAS; ","")&amp;IF(L18="","SIN ÁREA; ","")&amp;IF(AND(ISNUMBER(AA18),ISNUMBER($P$45),ISNUMBER($P$46),N($P$44)&gt;DATOS!$C$16),IF(OR(AA18&lt;$P$45,AA18&gt;$P$46),"FUERA DE LÍMITES; ",""),"")))</f>
        <v/>
      </c>
      <c r="AC18" s="101">
        <f>IF(AA18="","",IF(COMBINACIONES_NPH!$B$18="MUESTRA COMPLETA","SÍ",IF(AUX_NPH!F14="","NO (filtrada)",IF(AND(AUX_NPH!F14&gt;=COMBINACIONES_NPH!$B$22,AUX_NPH!F14&lt;=COMBINACIONES_NPH!$B$22+COMBINACIONES_NPH!$B$23-1),"SÍ","NO"))))</f>
        <v/>
      </c>
      <c r="AD18" s="101">
        <f>IF(A18="","","OFERTA NPH "&amp;TEXT(A18,"00"))</f>
        <v/>
      </c>
    </row>
    <row r="19" ht="57" customHeight="1" s="54">
      <c r="A19" s="92" t="n"/>
      <c r="B19" s="93" t="n"/>
      <c r="C19" s="94" t="n"/>
      <c r="D19" s="94" t="n"/>
      <c r="E19" s="94" t="n"/>
      <c r="F19" s="94" t="n"/>
      <c r="G19" s="94" t="n"/>
      <c r="H19" s="94" t="n"/>
      <c r="I19" s="189" t="n"/>
      <c r="J19" s="190">
        <f>DATOS!$C$17</f>
        <v/>
      </c>
      <c r="K19" s="191">
        <f>IF(I19="","",I19*(1-J19))</f>
        <v/>
      </c>
      <c r="L19" s="98" t="n"/>
      <c r="M19" s="98" t="n"/>
      <c r="N19" s="192">
        <f>IF(A19="","",SUMIFS(DEPRECIACIÓN!$P$5:$P$24,DEPRECIACIÓN!$A$5:$A$24,A19))</f>
        <v/>
      </c>
      <c r="O19" s="191">
        <f>IF(K19="","",K19-N(N19))</f>
        <v/>
      </c>
      <c r="P19" s="191">
        <f>IF(OR(O19="",N(L19)&lt;=0),"",O19/L19)</f>
        <v/>
      </c>
      <c r="Q19" s="191">
        <f>IF(OR(K19="",N(L19)&lt;=0),"",K19/L19)</f>
        <v/>
      </c>
      <c r="R19" s="191">
        <f>IF(OR(K19="",N(M19)&lt;=0),"",K19/M19)</f>
        <v/>
      </c>
      <c r="S19" s="94" t="n"/>
      <c r="T19" s="94" t="n"/>
      <c r="U19" s="94" t="n"/>
      <c r="V19" s="94" t="n"/>
      <c r="W19" s="94" t="n"/>
      <c r="X19" s="100" t="n"/>
      <c r="Y19" s="94" t="n"/>
      <c r="Z19" s="94" t="n"/>
      <c r="AA19" s="191">
        <f>IF(AND(Z19="SÍ",ISNUMBER(R19)),R19,"")</f>
        <v/>
      </c>
      <c r="AB19" s="101">
        <f>IF(A19="","",IF(LEN(IF(B19="","SIN FECHA; ",IF(DATOS!$C$12-B19&gt;DATOS!$C$18*30.4,"VENCIDA; ",""))&amp;IF(X19="","SIN ENLACE; ","")&amp;IF(H19="","SIN COORDENADAS; ","")&amp;IF(L19="","SIN ÁREA; ","")&amp;IF(AND(ISNUMBER(AA19),ISNUMBER($P$45),ISNUMBER($P$46),N($P$44)&gt;DATOS!$C$16),IF(OR(AA19&lt;$P$45,AA19&gt;$P$46),"FUERA DE LÍMITES; ",""),""))=0,"OK",IF(B19="","SIN FECHA; ",IF(DATOS!$C$12-B19&gt;DATOS!$C$18*30.4,"VENCIDA; ",""))&amp;IF(X19="","SIN ENLACE; ","")&amp;IF(H19="","SIN COORDENADAS; ","")&amp;IF(L19="","SIN ÁREA; ","")&amp;IF(AND(ISNUMBER(AA19),ISNUMBER($P$45),ISNUMBER($P$46),N($P$44)&gt;DATOS!$C$16),IF(OR(AA19&lt;$P$45,AA19&gt;$P$46),"FUERA DE LÍMITES; ",""),"")))</f>
        <v/>
      </c>
      <c r="AC19" s="101">
        <f>IF(AA19="","",IF(COMBINACIONES_NPH!$B$18="MUESTRA COMPLETA","SÍ",IF(AUX_NPH!F15="","NO (filtrada)",IF(AND(AUX_NPH!F15&gt;=COMBINACIONES_NPH!$B$22,AUX_NPH!F15&lt;=COMBINACIONES_NPH!$B$22+COMBINACIONES_NPH!$B$23-1),"SÍ","NO"))))</f>
        <v/>
      </c>
      <c r="AD19" s="101">
        <f>IF(A19="","","OFERTA NPH "&amp;TEXT(A19,"00"))</f>
        <v/>
      </c>
    </row>
    <row r="20" ht="57" customHeight="1" s="54">
      <c r="A20" s="92" t="n"/>
      <c r="B20" s="93" t="n"/>
      <c r="C20" s="94" t="n"/>
      <c r="D20" s="94" t="n"/>
      <c r="E20" s="94" t="n"/>
      <c r="F20" s="94" t="n"/>
      <c r="G20" s="94" t="n"/>
      <c r="H20" s="94" t="n"/>
      <c r="I20" s="189" t="n"/>
      <c r="J20" s="190">
        <f>DATOS!$C$17</f>
        <v/>
      </c>
      <c r="K20" s="191">
        <f>IF(I20="","",I20*(1-J20))</f>
        <v/>
      </c>
      <c r="L20" s="98" t="n"/>
      <c r="M20" s="98" t="n"/>
      <c r="N20" s="192">
        <f>IF(A20="","",SUMIFS(DEPRECIACIÓN!$P$5:$P$24,DEPRECIACIÓN!$A$5:$A$24,A20))</f>
        <v/>
      </c>
      <c r="O20" s="191">
        <f>IF(K20="","",K20-N(N20))</f>
        <v/>
      </c>
      <c r="P20" s="191">
        <f>IF(OR(O20="",N(L20)&lt;=0),"",O20/L20)</f>
        <v/>
      </c>
      <c r="Q20" s="191">
        <f>IF(OR(K20="",N(L20)&lt;=0),"",K20/L20)</f>
        <v/>
      </c>
      <c r="R20" s="191">
        <f>IF(OR(K20="",N(M20)&lt;=0),"",K20/M20)</f>
        <v/>
      </c>
      <c r="S20" s="94" t="n"/>
      <c r="T20" s="94" t="n"/>
      <c r="U20" s="94" t="n"/>
      <c r="V20" s="94" t="n"/>
      <c r="W20" s="94" t="n"/>
      <c r="X20" s="100" t="n"/>
      <c r="Y20" s="94" t="n"/>
      <c r="Z20" s="94" t="n"/>
      <c r="AA20" s="191">
        <f>IF(AND(Z20="SÍ",ISNUMBER(R20)),R20,"")</f>
        <v/>
      </c>
      <c r="AB20" s="101">
        <f>IF(A20="","",IF(LEN(IF(B20="","SIN FECHA; ",IF(DATOS!$C$12-B20&gt;DATOS!$C$18*30.4,"VENCIDA; ",""))&amp;IF(X20="","SIN ENLACE; ","")&amp;IF(H20="","SIN COORDENADAS; ","")&amp;IF(L20="","SIN ÁREA; ","")&amp;IF(AND(ISNUMBER(AA20),ISNUMBER($P$45),ISNUMBER($P$46),N($P$44)&gt;DATOS!$C$16),IF(OR(AA20&lt;$P$45,AA20&gt;$P$46),"FUERA DE LÍMITES; ",""),""))=0,"OK",IF(B20="","SIN FECHA; ",IF(DATOS!$C$12-B20&gt;DATOS!$C$18*30.4,"VENCIDA; ",""))&amp;IF(X20="","SIN ENLACE; ","")&amp;IF(H20="","SIN COORDENADAS; ","")&amp;IF(L20="","SIN ÁREA; ","")&amp;IF(AND(ISNUMBER(AA20),ISNUMBER($P$45),ISNUMBER($P$46),N($P$44)&gt;DATOS!$C$16),IF(OR(AA20&lt;$P$45,AA20&gt;$P$46),"FUERA DE LÍMITES; ",""),"")))</f>
        <v/>
      </c>
      <c r="AC20" s="101">
        <f>IF(AA20="","",IF(COMBINACIONES_NPH!$B$18="MUESTRA COMPLETA","SÍ",IF(AUX_NPH!F16="","NO (filtrada)",IF(AND(AUX_NPH!F16&gt;=COMBINACIONES_NPH!$B$22,AUX_NPH!F16&lt;=COMBINACIONES_NPH!$B$22+COMBINACIONES_NPH!$B$23-1),"SÍ","NO"))))</f>
        <v/>
      </c>
      <c r="AD20" s="101">
        <f>IF(A20="","","OFERTA NPH "&amp;TEXT(A20,"00"))</f>
        <v/>
      </c>
    </row>
    <row r="21" ht="57" customHeight="1" s="54">
      <c r="A21" s="92" t="n"/>
      <c r="B21" s="93" t="n"/>
      <c r="C21" s="94" t="n"/>
      <c r="D21" s="94" t="n"/>
      <c r="E21" s="94" t="n"/>
      <c r="F21" s="94" t="n"/>
      <c r="G21" s="94" t="n"/>
      <c r="H21" s="94" t="n"/>
      <c r="I21" s="189" t="n"/>
      <c r="J21" s="190">
        <f>DATOS!$C$17</f>
        <v/>
      </c>
      <c r="K21" s="191">
        <f>IF(I21="","",I21*(1-J21))</f>
        <v/>
      </c>
      <c r="L21" s="98" t="n"/>
      <c r="M21" s="98" t="n"/>
      <c r="N21" s="192">
        <f>IF(A21="","",SUMIFS(DEPRECIACIÓN!$P$5:$P$24,DEPRECIACIÓN!$A$5:$A$24,A21))</f>
        <v/>
      </c>
      <c r="O21" s="191">
        <f>IF(K21="","",K21-N(N21))</f>
        <v/>
      </c>
      <c r="P21" s="191">
        <f>IF(OR(O21="",N(L21)&lt;=0),"",O21/L21)</f>
        <v/>
      </c>
      <c r="Q21" s="191">
        <f>IF(OR(K21="",N(L21)&lt;=0),"",K21/L21)</f>
        <v/>
      </c>
      <c r="R21" s="191">
        <f>IF(OR(K21="",N(M21)&lt;=0),"",K21/M21)</f>
        <v/>
      </c>
      <c r="S21" s="94" t="n"/>
      <c r="T21" s="94" t="n"/>
      <c r="U21" s="94" t="n"/>
      <c r="V21" s="94" t="n"/>
      <c r="W21" s="94" t="n"/>
      <c r="X21" s="100" t="n"/>
      <c r="Y21" s="94" t="n"/>
      <c r="Z21" s="94" t="n"/>
      <c r="AA21" s="191">
        <f>IF(AND(Z21="SÍ",ISNUMBER(R21)),R21,"")</f>
        <v/>
      </c>
      <c r="AB21" s="101">
        <f>IF(A21="","",IF(LEN(IF(B21="","SIN FECHA; ",IF(DATOS!$C$12-B21&gt;DATOS!$C$18*30.4,"VENCIDA; ",""))&amp;IF(X21="","SIN ENLACE; ","")&amp;IF(H21="","SIN COORDENADAS; ","")&amp;IF(L21="","SIN ÁREA; ","")&amp;IF(AND(ISNUMBER(AA21),ISNUMBER($P$45),ISNUMBER($P$46),N($P$44)&gt;DATOS!$C$16),IF(OR(AA21&lt;$P$45,AA21&gt;$P$46),"FUERA DE LÍMITES; ",""),""))=0,"OK",IF(B21="","SIN FECHA; ",IF(DATOS!$C$12-B21&gt;DATOS!$C$18*30.4,"VENCIDA; ",""))&amp;IF(X21="","SIN ENLACE; ","")&amp;IF(H21="","SIN COORDENADAS; ","")&amp;IF(L21="","SIN ÁREA; ","")&amp;IF(AND(ISNUMBER(AA21),ISNUMBER($P$45),ISNUMBER($P$46),N($P$44)&gt;DATOS!$C$16),IF(OR(AA21&lt;$P$45,AA21&gt;$P$46),"FUERA DE LÍMITES; ",""),"")))</f>
        <v/>
      </c>
      <c r="AC21" s="101">
        <f>IF(AA21="","",IF(COMBINACIONES_NPH!$B$18="MUESTRA COMPLETA","SÍ",IF(AUX_NPH!F17="","NO (filtrada)",IF(AND(AUX_NPH!F17&gt;=COMBINACIONES_NPH!$B$22,AUX_NPH!F17&lt;=COMBINACIONES_NPH!$B$22+COMBINACIONES_NPH!$B$23-1),"SÍ","NO"))))</f>
        <v/>
      </c>
      <c r="AD21" s="101">
        <f>IF(A21="","","OFERTA NPH "&amp;TEXT(A21,"00"))</f>
        <v/>
      </c>
    </row>
    <row r="22" ht="57" customHeight="1" s="54">
      <c r="A22" s="92" t="n"/>
      <c r="B22" s="93" t="n"/>
      <c r="C22" s="94" t="n"/>
      <c r="D22" s="94" t="n"/>
      <c r="E22" s="94" t="n"/>
      <c r="F22" s="94" t="n"/>
      <c r="G22" s="94" t="n"/>
      <c r="H22" s="94" t="n"/>
      <c r="I22" s="189" t="n"/>
      <c r="J22" s="190">
        <f>DATOS!$C$17</f>
        <v/>
      </c>
      <c r="K22" s="191">
        <f>IF(I22="","",I22*(1-J22))</f>
        <v/>
      </c>
      <c r="L22" s="98" t="n"/>
      <c r="M22" s="98" t="n"/>
      <c r="N22" s="192">
        <f>IF(A22="","",SUMIFS(DEPRECIACIÓN!$P$5:$P$24,DEPRECIACIÓN!$A$5:$A$24,A22))</f>
        <v/>
      </c>
      <c r="O22" s="191">
        <f>IF(K22="","",K22-N(N22))</f>
        <v/>
      </c>
      <c r="P22" s="191">
        <f>IF(OR(O22="",N(L22)&lt;=0),"",O22/L22)</f>
        <v/>
      </c>
      <c r="Q22" s="191">
        <f>IF(OR(K22="",N(L22)&lt;=0),"",K22/L22)</f>
        <v/>
      </c>
      <c r="R22" s="191">
        <f>IF(OR(K22="",N(M22)&lt;=0),"",K22/M22)</f>
        <v/>
      </c>
      <c r="S22" s="94" t="n"/>
      <c r="T22" s="94" t="n"/>
      <c r="U22" s="94" t="n"/>
      <c r="V22" s="94" t="n"/>
      <c r="W22" s="94" t="n"/>
      <c r="X22" s="100" t="n"/>
      <c r="Y22" s="94" t="n"/>
      <c r="Z22" s="94" t="n"/>
      <c r="AA22" s="191">
        <f>IF(AND(Z22="SÍ",ISNUMBER(R22)),R22,"")</f>
        <v/>
      </c>
      <c r="AB22" s="101">
        <f>IF(A22="","",IF(LEN(IF(B22="","SIN FECHA; ",IF(DATOS!$C$12-B22&gt;DATOS!$C$18*30.4,"VENCIDA; ",""))&amp;IF(X22="","SIN ENLACE; ","")&amp;IF(H22="","SIN COORDENADAS; ","")&amp;IF(L22="","SIN ÁREA; ","")&amp;IF(AND(ISNUMBER(AA22),ISNUMBER($P$45),ISNUMBER($P$46),N($P$44)&gt;DATOS!$C$16),IF(OR(AA22&lt;$P$45,AA22&gt;$P$46),"FUERA DE LÍMITES; ",""),""))=0,"OK",IF(B22="","SIN FECHA; ",IF(DATOS!$C$12-B22&gt;DATOS!$C$18*30.4,"VENCIDA; ",""))&amp;IF(X22="","SIN ENLACE; ","")&amp;IF(H22="","SIN COORDENADAS; ","")&amp;IF(L22="","SIN ÁREA; ","")&amp;IF(AND(ISNUMBER(AA22),ISNUMBER($P$45),ISNUMBER($P$46),N($P$44)&gt;DATOS!$C$16),IF(OR(AA22&lt;$P$45,AA22&gt;$P$46),"FUERA DE LÍMITES; ",""),"")))</f>
        <v/>
      </c>
      <c r="AC22" s="101">
        <f>IF(AA22="","",IF(COMBINACIONES_NPH!$B$18="MUESTRA COMPLETA","SÍ",IF(AUX_NPH!F18="","NO (filtrada)",IF(AND(AUX_NPH!F18&gt;=COMBINACIONES_NPH!$B$22,AUX_NPH!F18&lt;=COMBINACIONES_NPH!$B$22+COMBINACIONES_NPH!$B$23-1),"SÍ","NO"))))</f>
        <v/>
      </c>
      <c r="AD22" s="101">
        <f>IF(A22="","","OFERTA NPH "&amp;TEXT(A22,"00"))</f>
        <v/>
      </c>
    </row>
    <row r="23">
      <c r="A23" s="103" t="n"/>
      <c r="B23" s="93" t="n"/>
      <c r="C23" s="94" t="n"/>
      <c r="D23" s="94" t="n"/>
      <c r="E23" s="94" t="n"/>
      <c r="F23" s="94" t="n"/>
      <c r="G23" s="94" t="n"/>
      <c r="H23" s="94" t="n"/>
      <c r="I23" s="189" t="n"/>
      <c r="J23" s="190" t="n"/>
      <c r="K23" s="191">
        <f>IF(I23="","",I23*(1-J23))</f>
        <v/>
      </c>
      <c r="L23" s="98" t="n"/>
      <c r="M23" s="98" t="n"/>
      <c r="N23" s="192">
        <f>IF(A23="","",SUMIFS(DEPRECIACIÓN!$P$5:$P$24,DEPRECIACIÓN!$A$5:$A$24,A23))</f>
        <v/>
      </c>
      <c r="O23" s="191">
        <f>IF(K23="","",K23-N(N23))</f>
        <v/>
      </c>
      <c r="P23" s="191">
        <f>IF(OR(O23="",N(L23)&lt;=0),"",O23/L23)</f>
        <v/>
      </c>
      <c r="Q23" s="191">
        <f>IF(OR(K23="",N(L23)&lt;=0),"",K23/L23)</f>
        <v/>
      </c>
      <c r="R23" s="191">
        <f>IF(OR(K23="",N(M23)&lt;=0),"",K23/M23)</f>
        <v/>
      </c>
      <c r="S23" s="94" t="n"/>
      <c r="T23" s="94" t="n"/>
      <c r="U23" s="94" t="n"/>
      <c r="V23" s="94" t="n"/>
      <c r="W23" s="94" t="n"/>
      <c r="X23" s="102" t="n"/>
      <c r="Y23" s="94" t="n"/>
      <c r="Z23" s="94" t="n"/>
      <c r="AA23" s="191">
        <f>IF(AND(Z23="SÍ",ISNUMBER(R23)),R23,"")</f>
        <v/>
      </c>
      <c r="AB23" s="101">
        <f>IF(A23="","",IF(LEN(IF(B23="","SIN FECHA; ",IF(DATOS!$C$12-B23&gt;DATOS!$C$18*30.4,"VENCIDA; ",""))&amp;IF(X23="","SIN ENLACE; ","")&amp;IF(H23="","SIN COORDENADAS; ","")&amp;IF(L23="","SIN ÁREA; ","")&amp;IF(AND(ISNUMBER(AA23),ISNUMBER($P$45),ISNUMBER($P$46),N($P$44)&gt;DATOS!$C$16),IF(OR(AA23&lt;$P$45,AA23&gt;$P$46),"FUERA DE LÍMITES; ",""),""))=0,"OK",IF(B23="","SIN FECHA; ",IF(DATOS!$C$12-B23&gt;DATOS!$C$18*30.4,"VENCIDA; ",""))&amp;IF(X23="","SIN ENLACE; ","")&amp;IF(H23="","SIN COORDENADAS; ","")&amp;IF(L23="","SIN ÁREA; ","")&amp;IF(AND(ISNUMBER(AA23),ISNUMBER($P$45),ISNUMBER($P$46),N($P$44)&gt;DATOS!$C$16),IF(OR(AA23&lt;$P$45,AA23&gt;$P$46),"FUERA DE LÍMITES; ",""),"")))</f>
        <v/>
      </c>
      <c r="AC23" s="101">
        <f>IF(AA23="","",IF(COMBINACIONES_NPH!$B$18="MUESTRA COMPLETA","SÍ",IF(AUX_NPH!F19="","NO (filtrada)",IF(AND(AUX_NPH!F19&gt;=COMBINACIONES_NPH!$B$22,AUX_NPH!F19&lt;=COMBINACIONES_NPH!$B$22+COMBINACIONES_NPH!$B$23-1),"SÍ","NO"))))</f>
        <v/>
      </c>
      <c r="AD23" s="101">
        <f>IF(A23="","","OFERTA NPH "&amp;TEXT(A23,"00"))</f>
        <v/>
      </c>
    </row>
    <row r="24">
      <c r="A24" s="92" t="n"/>
      <c r="B24" s="93" t="n"/>
      <c r="C24" s="94" t="n"/>
      <c r="D24" s="94" t="n"/>
      <c r="E24" s="94" t="n"/>
      <c r="F24" s="94" t="n"/>
      <c r="G24" s="94" t="n"/>
      <c r="H24" s="94" t="n"/>
      <c r="I24" s="189" t="n"/>
      <c r="J24" s="190" t="n"/>
      <c r="K24" s="191">
        <f>IF(I24="","",I24*(1-J24))</f>
        <v/>
      </c>
      <c r="L24" s="98" t="n"/>
      <c r="M24" s="98" t="n"/>
      <c r="N24" s="192">
        <f>IF(A24="","",SUMIFS(DEPRECIACIÓN!$P$5:$P$24,DEPRECIACIÓN!$A$5:$A$24,A24))</f>
        <v/>
      </c>
      <c r="O24" s="191">
        <f>IF(K24="","",K24-N(N24))</f>
        <v/>
      </c>
      <c r="P24" s="191">
        <f>IF(OR(O24="",N(L24)&lt;=0),"",O24/L24)</f>
        <v/>
      </c>
      <c r="Q24" s="191">
        <f>IF(OR(K24="",N(L24)&lt;=0),"",K24/L24)</f>
        <v/>
      </c>
      <c r="R24" s="191">
        <f>IF(OR(K24="",N(M24)&lt;=0),"",K24/M24)</f>
        <v/>
      </c>
      <c r="S24" s="94" t="n"/>
      <c r="T24" s="94" t="n"/>
      <c r="U24" s="94" t="n"/>
      <c r="V24" s="94" t="n"/>
      <c r="W24" s="94" t="n"/>
      <c r="X24" s="102" t="n"/>
      <c r="Y24" s="94" t="n"/>
      <c r="Z24" s="94" t="n"/>
      <c r="AA24" s="191">
        <f>IF(AND(Z24="SÍ",ISNUMBER(R24)),R24,"")</f>
        <v/>
      </c>
      <c r="AB24" s="101">
        <f>IF(A24="","",IF(LEN(IF(B24="","SIN FECHA; ",IF(DATOS!$C$12-B24&gt;DATOS!$C$18*30.4,"VENCIDA; ",""))&amp;IF(X24="","SIN ENLACE; ","")&amp;IF(H24="","SIN COORDENADAS; ","")&amp;IF(L24="","SIN ÁREA; ","")&amp;IF(AND(ISNUMBER(AA24),ISNUMBER($P$45),ISNUMBER($P$46),N($P$44)&gt;DATOS!$C$16),IF(OR(AA24&lt;$P$45,AA24&gt;$P$46),"FUERA DE LÍMITES; ",""),""))=0,"OK",IF(B24="","SIN FECHA; ",IF(DATOS!$C$12-B24&gt;DATOS!$C$18*30.4,"VENCIDA; ",""))&amp;IF(X24="","SIN ENLACE; ","")&amp;IF(H24="","SIN COORDENADAS; ","")&amp;IF(L24="","SIN ÁREA; ","")&amp;IF(AND(ISNUMBER(AA24),ISNUMBER($P$45),ISNUMBER($P$46),N($P$44)&gt;DATOS!$C$16),IF(OR(AA24&lt;$P$45,AA24&gt;$P$46),"FUERA DE LÍMITES; ",""),"")))</f>
        <v/>
      </c>
      <c r="AC24" s="101">
        <f>IF(AA24="","",IF(COMBINACIONES_NPH!$B$18="MUESTRA COMPLETA","SÍ",IF(AUX_NPH!F20="","NO (filtrada)",IF(AND(AUX_NPH!F20&gt;=COMBINACIONES_NPH!$B$22,AUX_NPH!F20&lt;=COMBINACIONES_NPH!$B$22+COMBINACIONES_NPH!$B$23-1),"SÍ","NO"))))</f>
        <v/>
      </c>
      <c r="AD24" s="101">
        <f>IF(A24="","","OFERTA NPH "&amp;TEXT(A24,"00"))</f>
        <v/>
      </c>
    </row>
    <row r="25">
      <c r="A25" s="81" t="n"/>
      <c r="B25" s="82" t="n"/>
      <c r="C25" s="83" t="n"/>
      <c r="D25" s="83" t="n"/>
      <c r="E25" s="83" t="n"/>
      <c r="F25" s="83" t="n"/>
      <c r="G25" s="83" t="n"/>
      <c r="H25" s="83" t="n"/>
      <c r="I25" s="193" t="n"/>
      <c r="J25" s="194" t="n"/>
      <c r="K25" s="195">
        <f>IF(I25="","",I25*(1-J25))</f>
        <v/>
      </c>
      <c r="L25" s="87" t="n"/>
      <c r="M25" s="87" t="n"/>
      <c r="N25" s="196">
        <f>IF(A25="","",SUMIFS(DEPRECIACIÓN!$P$5:$P$24,DEPRECIACIÓN!$A$5:$A$24,A25))</f>
        <v/>
      </c>
      <c r="O25" s="195">
        <f>IF(K25="","",K25-N(N25))</f>
        <v/>
      </c>
      <c r="P25" s="195">
        <f>IF(OR(O25="",N(L25)&lt;=0),"",O25/L25)</f>
        <v/>
      </c>
      <c r="Q25" s="195">
        <f>IF(OR(K25="",N(L25)&lt;=0),"",K25/L25)</f>
        <v/>
      </c>
      <c r="R25" s="195">
        <f>IF(OR(K25="",N(M25)&lt;=0),"",K25/M25)</f>
        <v/>
      </c>
      <c r="S25" s="83" t="n"/>
      <c r="T25" s="83" t="n"/>
      <c r="U25" s="83" t="n"/>
      <c r="V25" s="83" t="n"/>
      <c r="W25" s="83" t="n"/>
      <c r="X25" s="89" t="n"/>
      <c r="Y25" s="83" t="n"/>
      <c r="Z25" s="83" t="n"/>
      <c r="AA25" s="195">
        <f>IF(AND(Z25="SÍ",ISNUMBER(R25)),R25,"")</f>
        <v/>
      </c>
      <c r="AB25" s="90">
        <f>IF(A25="","",IF(LEN(IF(B25="","SIN FECHA; ",IF(DATOS!$C$12-B25&gt;DATOS!$C$18*30.4,"VENCIDA; ",""))&amp;IF(X25="","SIN ENLACE; ","")&amp;IF(H25="","SIN COORDENADAS; ","")&amp;IF(L25="","SIN ÁREA; ","")&amp;IF(AND(ISNUMBER(AA25),ISNUMBER($P$45),ISNUMBER($P$46),N($P$44)&gt;DATOS!$C$16),IF(OR(AA25&lt;$P$45,AA25&gt;$P$46),"FUERA DE LÍMITES; ",""),""))=0,"OK",IF(B25="","SIN FECHA; ",IF(DATOS!$C$12-B25&gt;DATOS!$C$18*30.4,"VENCIDA; ",""))&amp;IF(X25="","SIN ENLACE; ","")&amp;IF(H25="","SIN COORDENADAS; ","")&amp;IF(L25="","SIN ÁREA; ","")&amp;IF(AND(ISNUMBER(AA25),ISNUMBER($P$45),ISNUMBER($P$46),N($P$44)&gt;DATOS!$C$16),IF(OR(AA25&lt;$P$45,AA25&gt;$P$46),"FUERA DE LÍMITES; ",""),"")))</f>
        <v/>
      </c>
      <c r="AC25" s="90">
        <f>IF(AA25="","",IF(COMBINACIONES_NPH!$B$18="MUESTRA COMPLETA","SÍ",IF(AUX_NPH!F21="","NO (filtrada)",IF(AND(AUX_NPH!F21&gt;=COMBINACIONES_NPH!$B$22,AUX_NPH!F21&lt;=COMBINACIONES_NPH!$B$22+COMBINACIONES_NPH!$B$23-1),"SÍ","NO"))))</f>
        <v/>
      </c>
      <c r="AD25" s="90">
        <f>IF(A25="","","OFERTA NPH "&amp;TEXT(A25,"00"))</f>
        <v/>
      </c>
    </row>
    <row r="26" hidden="1" s="54">
      <c r="A26" s="70" t="n"/>
      <c r="B26" s="71" t="n"/>
      <c r="C26" s="70" t="n"/>
      <c r="D26" s="70" t="n"/>
      <c r="E26" s="70" t="n"/>
      <c r="F26" s="70" t="n"/>
      <c r="G26" s="70" t="n"/>
      <c r="H26" s="70" t="n"/>
      <c r="I26" s="197" t="n"/>
      <c r="J26" s="198" t="n"/>
      <c r="K26" s="199">
        <f>IF(I26="","",I26*(1-J26))</f>
        <v/>
      </c>
      <c r="L26" s="73" t="n"/>
      <c r="M26" s="73" t="n"/>
      <c r="N26" s="200">
        <f>IF(A26="","",SUMIFS(DEPRECIACIÓN!$P$5:$P$24,DEPRECIACIÓN!$A$5:$A$24,A26))</f>
        <v/>
      </c>
      <c r="O26" s="199">
        <f>IF(K26="","",K26-N(N26))</f>
        <v/>
      </c>
      <c r="P26" s="199">
        <f>IF(OR(O26="",N(L26)&lt;=0),"",O26/L26)</f>
        <v/>
      </c>
      <c r="Q26" s="199">
        <f>IF(OR(K26="",N(L26)&lt;=0),"",K26/L26)</f>
        <v/>
      </c>
      <c r="R26" s="199">
        <f>IF(OR(K26="",N(M26)&lt;=0),"",K26/M26)</f>
        <v/>
      </c>
      <c r="S26" s="70" t="n"/>
      <c r="T26" s="70" t="n"/>
      <c r="U26" s="70" t="n"/>
      <c r="V26" s="70" t="n"/>
      <c r="W26" s="70" t="n"/>
      <c r="X26" s="70" t="n"/>
      <c r="Y26" s="70" t="n"/>
      <c r="Z26" s="74" t="n"/>
      <c r="AA26" s="199">
        <f>IF(AND(Z26="SÍ",ISNUMBER(R26)),R26,"")</f>
        <v/>
      </c>
      <c r="AB26" s="15">
        <f>IF(A26="","",IF(LEN(IF(B26="","SIN FECHA; ",IF(DATOS!$C$12-B26&gt;DATOS!$C$18*30.4,"VENCIDA; ",""))&amp;IF(X26="","SIN ENLACE; ","")&amp;IF(H26="","SIN COORDENADAS; ","")&amp;IF(L26="","SIN ÁREA; ","")&amp;IF(AND(ISNUMBER(AA26),ISNUMBER($P$45),ISNUMBER($P$46),N($P$44)&gt;DATOS!$C$16),IF(OR(AA26&lt;$P$45,AA26&gt;$P$46),"FUERA DE LÍMITES; ",""),""))=0,"OK",IF(B26="","SIN FECHA; ",IF(DATOS!$C$12-B26&gt;DATOS!$C$18*30.4,"VENCIDA; ",""))&amp;IF(X26="","SIN ENLACE; ","")&amp;IF(H26="","SIN COORDENADAS; ","")&amp;IF(L26="","SIN ÁREA; ","")&amp;IF(AND(ISNUMBER(AA26),ISNUMBER($P$45),ISNUMBER($P$46),N($P$44)&gt;DATOS!$C$16),IF(OR(AA26&lt;$P$45,AA26&gt;$P$46),"FUERA DE LÍMITES; ",""),"")))</f>
        <v/>
      </c>
      <c r="AC26" s="25">
        <f>IF(AA26="","",IF(COMBINACIONES_NPH!$B$18="MUESTRA COMPLETA","SÍ",IF(AUX_NPH!F22="","NO (filtrada)",IF(AND(AUX_NPH!F22&gt;=COMBINACIONES_NPH!$B$22,AUX_NPH!F22&lt;=COMBINACIONES_NPH!$B$22+COMBINACIONES_NPH!$B$23-1),"SÍ","NO"))))</f>
        <v/>
      </c>
      <c r="AD26" s="25">
        <f>IF(A26="","","OFERTA NPH "&amp;TEXT(A26,"00"))</f>
        <v/>
      </c>
    </row>
    <row r="27" hidden="1" s="54">
      <c r="A27" s="70" t="n"/>
      <c r="B27" s="71" t="n"/>
      <c r="C27" s="70" t="n"/>
      <c r="D27" s="70" t="n"/>
      <c r="E27" s="70" t="n"/>
      <c r="F27" s="70" t="n"/>
      <c r="G27" s="70" t="n"/>
      <c r="H27" s="70" t="n"/>
      <c r="I27" s="197" t="n"/>
      <c r="J27" s="198" t="n"/>
      <c r="K27" s="199">
        <f>IF(I27="","",I27*(1-J27))</f>
        <v/>
      </c>
      <c r="L27" s="73" t="n"/>
      <c r="M27" s="73" t="n"/>
      <c r="N27" s="200">
        <f>IF(A27="","",SUMIFS(DEPRECIACIÓN!$P$5:$P$24,DEPRECIACIÓN!$A$5:$A$24,A27))</f>
        <v/>
      </c>
      <c r="O27" s="199">
        <f>IF(K27="","",K27-N(N27))</f>
        <v/>
      </c>
      <c r="P27" s="199">
        <f>IF(OR(O27="",N(L27)&lt;=0),"",O27/L27)</f>
        <v/>
      </c>
      <c r="Q27" s="199">
        <f>IF(OR(K27="",N(L27)&lt;=0),"",K27/L27)</f>
        <v/>
      </c>
      <c r="R27" s="199">
        <f>IF(OR(K27="",N(M27)&lt;=0),"",K27/M27)</f>
        <v/>
      </c>
      <c r="S27" s="70" t="n"/>
      <c r="T27" s="70" t="n"/>
      <c r="U27" s="70" t="n"/>
      <c r="V27" s="70" t="n"/>
      <c r="W27" s="70" t="n"/>
      <c r="X27" s="70" t="n"/>
      <c r="Y27" s="70" t="n"/>
      <c r="Z27" s="74" t="n"/>
      <c r="AA27" s="199">
        <f>IF(AND(Z27="SÍ",ISNUMBER(R27)),R27,"")</f>
        <v/>
      </c>
      <c r="AB27" s="15">
        <f>IF(A27="","",IF(LEN(IF(B27="","SIN FECHA; ",IF(DATOS!$C$12-B27&gt;DATOS!$C$18*30.4,"VENCIDA; ",""))&amp;IF(X27="","SIN ENLACE; ","")&amp;IF(H27="","SIN COORDENADAS; ","")&amp;IF(L27="","SIN ÁREA; ","")&amp;IF(AND(ISNUMBER(AA27),ISNUMBER($P$45),ISNUMBER($P$46),N($P$44)&gt;DATOS!$C$16),IF(OR(AA27&lt;$P$45,AA27&gt;$P$46),"FUERA DE LÍMITES; ",""),""))=0,"OK",IF(B27="","SIN FECHA; ",IF(DATOS!$C$12-B27&gt;DATOS!$C$18*30.4,"VENCIDA; ",""))&amp;IF(X27="","SIN ENLACE; ","")&amp;IF(H27="","SIN COORDENADAS; ","")&amp;IF(L27="","SIN ÁREA; ","")&amp;IF(AND(ISNUMBER(AA27),ISNUMBER($P$45),ISNUMBER($P$46),N($P$44)&gt;DATOS!$C$16),IF(OR(AA27&lt;$P$45,AA27&gt;$P$46),"FUERA DE LÍMITES; ",""),"")))</f>
        <v/>
      </c>
      <c r="AC27" s="25">
        <f>IF(AA27="","",IF(COMBINACIONES_NPH!$B$18="MUESTRA COMPLETA","SÍ",IF(AUX_NPH!F23="","NO (filtrada)",IF(AND(AUX_NPH!F23&gt;=COMBINACIONES_NPH!$B$22,AUX_NPH!F23&lt;=COMBINACIONES_NPH!$B$22+COMBINACIONES_NPH!$B$23-1),"SÍ","NO"))))</f>
        <v/>
      </c>
      <c r="AD27" s="25">
        <f>IF(A27="","","OFERTA NPH "&amp;TEXT(A27,"00"))</f>
        <v/>
      </c>
    </row>
    <row r="28" hidden="1" s="54">
      <c r="A28" s="70" t="n"/>
      <c r="B28" s="71" t="n"/>
      <c r="C28" s="70" t="n"/>
      <c r="D28" s="70" t="n"/>
      <c r="E28" s="70" t="n"/>
      <c r="F28" s="70" t="n"/>
      <c r="G28" s="70" t="n"/>
      <c r="H28" s="70" t="n"/>
      <c r="I28" s="197" t="n"/>
      <c r="J28" s="198" t="n"/>
      <c r="K28" s="199">
        <f>IF(I28="","",I28*(1-J28))</f>
        <v/>
      </c>
      <c r="L28" s="73" t="n"/>
      <c r="M28" s="73" t="n"/>
      <c r="N28" s="200">
        <f>IF(A28="","",SUMIFS(DEPRECIACIÓN!$P$5:$P$24,DEPRECIACIÓN!$A$5:$A$24,A28))</f>
        <v/>
      </c>
      <c r="O28" s="199">
        <f>IF(K28="","",K28-N(N28))</f>
        <v/>
      </c>
      <c r="P28" s="199">
        <f>IF(OR(O28="",N(L28)&lt;=0),"",O28/L28)</f>
        <v/>
      </c>
      <c r="Q28" s="199">
        <f>IF(OR(K28="",N(L28)&lt;=0),"",K28/L28)</f>
        <v/>
      </c>
      <c r="R28" s="199">
        <f>IF(OR(K28="",N(M28)&lt;=0),"",K28/M28)</f>
        <v/>
      </c>
      <c r="S28" s="70" t="n"/>
      <c r="T28" s="70" t="n"/>
      <c r="U28" s="70" t="n"/>
      <c r="V28" s="70" t="n"/>
      <c r="W28" s="70" t="n"/>
      <c r="X28" s="70" t="n"/>
      <c r="Y28" s="70" t="n"/>
      <c r="Z28" s="74" t="n"/>
      <c r="AA28" s="199">
        <f>IF(AND(Z28="SÍ",ISNUMBER(R28)),R28,"")</f>
        <v/>
      </c>
      <c r="AB28" s="15">
        <f>IF(A28="","",IF(LEN(IF(B28="","SIN FECHA; ",IF(DATOS!$C$12-B28&gt;DATOS!$C$18*30.4,"VENCIDA; ",""))&amp;IF(X28="","SIN ENLACE; ","")&amp;IF(H28="","SIN COORDENADAS; ","")&amp;IF(L28="","SIN ÁREA; ","")&amp;IF(AND(ISNUMBER(AA28),ISNUMBER($P$45),ISNUMBER($P$46),N($P$44)&gt;DATOS!$C$16),IF(OR(AA28&lt;$P$45,AA28&gt;$P$46),"FUERA DE LÍMITES; ",""),""))=0,"OK",IF(B28="","SIN FECHA; ",IF(DATOS!$C$12-B28&gt;DATOS!$C$18*30.4,"VENCIDA; ",""))&amp;IF(X28="","SIN ENLACE; ","")&amp;IF(H28="","SIN COORDENADAS; ","")&amp;IF(L28="","SIN ÁREA; ","")&amp;IF(AND(ISNUMBER(AA28),ISNUMBER($P$45),ISNUMBER($P$46),N($P$44)&gt;DATOS!$C$16),IF(OR(AA28&lt;$P$45,AA28&gt;$P$46),"FUERA DE LÍMITES; ",""),"")))</f>
        <v/>
      </c>
      <c r="AC28" s="25">
        <f>IF(AA28="","",IF(COMBINACIONES_NPH!$B$18="MUESTRA COMPLETA","SÍ",IF(AUX_NPH!F24="","NO (filtrada)",IF(AND(AUX_NPH!F24&gt;=COMBINACIONES_NPH!$B$22,AUX_NPH!F24&lt;=COMBINACIONES_NPH!$B$22+COMBINACIONES_NPH!$B$23-1),"SÍ","NO"))))</f>
        <v/>
      </c>
      <c r="AD28" s="25">
        <f>IF(A28="","","OFERTA NPH "&amp;TEXT(A28,"00"))</f>
        <v/>
      </c>
    </row>
    <row r="29" hidden="1" s="54">
      <c r="A29" s="70" t="n"/>
      <c r="B29" s="71" t="n"/>
      <c r="C29" s="70" t="n"/>
      <c r="D29" s="70" t="n"/>
      <c r="E29" s="70" t="n"/>
      <c r="F29" s="70" t="n"/>
      <c r="G29" s="70" t="n"/>
      <c r="H29" s="70" t="n"/>
      <c r="I29" s="197" t="n"/>
      <c r="J29" s="198" t="n"/>
      <c r="K29" s="199">
        <f>IF(I29="","",I29*(1-J29))</f>
        <v/>
      </c>
      <c r="L29" s="73" t="n"/>
      <c r="M29" s="73" t="n"/>
      <c r="N29" s="200">
        <f>IF(A29="","",SUMIFS(DEPRECIACIÓN!$P$5:$P$24,DEPRECIACIÓN!$A$5:$A$24,A29))</f>
        <v/>
      </c>
      <c r="O29" s="199">
        <f>IF(K29="","",K29-N(N29))</f>
        <v/>
      </c>
      <c r="P29" s="199">
        <f>IF(OR(O29="",N(L29)&lt;=0),"",O29/L29)</f>
        <v/>
      </c>
      <c r="Q29" s="199">
        <f>IF(OR(K29="",N(L29)&lt;=0),"",K29/L29)</f>
        <v/>
      </c>
      <c r="R29" s="199">
        <f>IF(OR(K29="",N(M29)&lt;=0),"",K29/M29)</f>
        <v/>
      </c>
      <c r="S29" s="70" t="n"/>
      <c r="T29" s="70" t="n"/>
      <c r="U29" s="70" t="n"/>
      <c r="V29" s="70" t="n"/>
      <c r="W29" s="70" t="n"/>
      <c r="X29" s="70" t="n"/>
      <c r="Y29" s="70" t="n"/>
      <c r="Z29" s="74" t="n"/>
      <c r="AA29" s="199">
        <f>IF(AND(Z29="SÍ",ISNUMBER(R29)),R29,"")</f>
        <v/>
      </c>
      <c r="AB29" s="15">
        <f>IF(A29="","",IF(LEN(IF(B29="","SIN FECHA; ",IF(DATOS!$C$12-B29&gt;DATOS!$C$18*30.4,"VENCIDA; ",""))&amp;IF(X29="","SIN ENLACE; ","")&amp;IF(H29="","SIN COORDENADAS; ","")&amp;IF(L29="","SIN ÁREA; ","")&amp;IF(AND(ISNUMBER(AA29),ISNUMBER($P$45),ISNUMBER($P$46),N($P$44)&gt;DATOS!$C$16),IF(OR(AA29&lt;$P$45,AA29&gt;$P$46),"FUERA DE LÍMITES; ",""),""))=0,"OK",IF(B29="","SIN FECHA; ",IF(DATOS!$C$12-B29&gt;DATOS!$C$18*30.4,"VENCIDA; ",""))&amp;IF(X29="","SIN ENLACE; ","")&amp;IF(H29="","SIN COORDENADAS; ","")&amp;IF(L29="","SIN ÁREA; ","")&amp;IF(AND(ISNUMBER(AA29),ISNUMBER($P$45),ISNUMBER($P$46),N($P$44)&gt;DATOS!$C$16),IF(OR(AA29&lt;$P$45,AA29&gt;$P$46),"FUERA DE LÍMITES; ",""),"")))</f>
        <v/>
      </c>
      <c r="AC29" s="25">
        <f>IF(AA29="","",IF(COMBINACIONES_NPH!$B$18="MUESTRA COMPLETA","SÍ",IF(AUX_NPH!F25="","NO (filtrada)",IF(AND(AUX_NPH!F25&gt;=COMBINACIONES_NPH!$B$22,AUX_NPH!F25&lt;=COMBINACIONES_NPH!$B$22+COMBINACIONES_NPH!$B$23-1),"SÍ","NO"))))</f>
        <v/>
      </c>
      <c r="AD29" s="25">
        <f>IF(A29="","","OFERTA NPH "&amp;TEXT(A29,"00"))</f>
        <v/>
      </c>
    </row>
    <row r="30" hidden="1" s="54">
      <c r="A30" s="70" t="n"/>
      <c r="B30" s="71" t="n"/>
      <c r="C30" s="70" t="n"/>
      <c r="D30" s="70" t="n"/>
      <c r="E30" s="70" t="n"/>
      <c r="F30" s="70" t="n"/>
      <c r="G30" s="70" t="n"/>
      <c r="H30" s="70" t="n"/>
      <c r="I30" s="197" t="n"/>
      <c r="J30" s="198" t="n"/>
      <c r="K30" s="199">
        <f>IF(I30="","",I30*(1-J30))</f>
        <v/>
      </c>
      <c r="L30" s="73" t="n"/>
      <c r="M30" s="73" t="n"/>
      <c r="N30" s="200">
        <f>IF(A30="","",SUMIFS(DEPRECIACIÓN!$P$5:$P$24,DEPRECIACIÓN!$A$5:$A$24,A30))</f>
        <v/>
      </c>
      <c r="O30" s="199">
        <f>IF(K30="","",K30-N(N30))</f>
        <v/>
      </c>
      <c r="P30" s="199">
        <f>IF(OR(O30="",N(L30)&lt;=0),"",O30/L30)</f>
        <v/>
      </c>
      <c r="Q30" s="199">
        <f>IF(OR(K30="",N(L30)&lt;=0),"",K30/L30)</f>
        <v/>
      </c>
      <c r="R30" s="199">
        <f>IF(OR(K30="",N(M30)&lt;=0),"",K30/M30)</f>
        <v/>
      </c>
      <c r="S30" s="70" t="n"/>
      <c r="T30" s="70" t="n"/>
      <c r="U30" s="70" t="n"/>
      <c r="V30" s="70" t="n"/>
      <c r="W30" s="70" t="n"/>
      <c r="X30" s="70" t="n"/>
      <c r="Y30" s="70" t="n"/>
      <c r="Z30" s="74" t="n"/>
      <c r="AA30" s="199">
        <f>IF(AND(Z30="SÍ",ISNUMBER(R30)),R30,"")</f>
        <v/>
      </c>
      <c r="AB30" s="15">
        <f>IF(A30="","",IF(LEN(IF(B30="","SIN FECHA; ",IF(DATOS!$C$12-B30&gt;DATOS!$C$18*30.4,"VENCIDA; ",""))&amp;IF(X30="","SIN ENLACE; ","")&amp;IF(H30="","SIN COORDENADAS; ","")&amp;IF(L30="","SIN ÁREA; ","")&amp;IF(AND(ISNUMBER(AA30),ISNUMBER($P$45),ISNUMBER($P$46),N($P$44)&gt;DATOS!$C$16),IF(OR(AA30&lt;$P$45,AA30&gt;$P$46),"FUERA DE LÍMITES; ",""),""))=0,"OK",IF(B30="","SIN FECHA; ",IF(DATOS!$C$12-B30&gt;DATOS!$C$18*30.4,"VENCIDA; ",""))&amp;IF(X30="","SIN ENLACE; ","")&amp;IF(H30="","SIN COORDENADAS; ","")&amp;IF(L30="","SIN ÁREA; ","")&amp;IF(AND(ISNUMBER(AA30),ISNUMBER($P$45),ISNUMBER($P$46),N($P$44)&gt;DATOS!$C$16),IF(OR(AA30&lt;$P$45,AA30&gt;$P$46),"FUERA DE LÍMITES; ",""),"")))</f>
        <v/>
      </c>
      <c r="AC30" s="25">
        <f>IF(AA30="","",IF(COMBINACIONES_NPH!$B$18="MUESTRA COMPLETA","SÍ",IF(AUX_NPH!F26="","NO (filtrada)",IF(AND(AUX_NPH!F26&gt;=COMBINACIONES_NPH!$B$22,AUX_NPH!F26&lt;=COMBINACIONES_NPH!$B$22+COMBINACIONES_NPH!$B$23-1),"SÍ","NO"))))</f>
        <v/>
      </c>
      <c r="AD30" s="25">
        <f>IF(A30="","","OFERTA NPH "&amp;TEXT(A30,"00"))</f>
        <v/>
      </c>
    </row>
    <row r="31" hidden="1" s="54">
      <c r="A31" s="70" t="n"/>
      <c r="B31" s="71" t="n"/>
      <c r="C31" s="70" t="n"/>
      <c r="D31" s="70" t="n"/>
      <c r="E31" s="70" t="n"/>
      <c r="F31" s="70" t="n"/>
      <c r="G31" s="70" t="n"/>
      <c r="H31" s="70" t="n"/>
      <c r="I31" s="197" t="n"/>
      <c r="J31" s="198" t="n"/>
      <c r="K31" s="199">
        <f>IF(I31="","",I31*(1-J31))</f>
        <v/>
      </c>
      <c r="L31" s="73" t="n"/>
      <c r="M31" s="73" t="n"/>
      <c r="N31" s="200">
        <f>IF(A31="","",SUMIFS(DEPRECIACIÓN!$P$5:$P$24,DEPRECIACIÓN!$A$5:$A$24,A31))</f>
        <v/>
      </c>
      <c r="O31" s="199">
        <f>IF(K31="","",K31-N(N31))</f>
        <v/>
      </c>
      <c r="P31" s="199">
        <f>IF(OR(O31="",N(L31)&lt;=0),"",O31/L31)</f>
        <v/>
      </c>
      <c r="Q31" s="199">
        <f>IF(OR(K31="",N(L31)&lt;=0),"",K31/L31)</f>
        <v/>
      </c>
      <c r="R31" s="199">
        <f>IF(OR(K31="",N(M31)&lt;=0),"",K31/M31)</f>
        <v/>
      </c>
      <c r="S31" s="70" t="n"/>
      <c r="T31" s="70" t="n"/>
      <c r="U31" s="70" t="n"/>
      <c r="V31" s="70" t="n"/>
      <c r="W31" s="70" t="n"/>
      <c r="X31" s="70" t="n"/>
      <c r="Y31" s="70" t="n"/>
      <c r="Z31" s="74" t="n"/>
      <c r="AA31" s="199">
        <f>IF(AND(Z31="SÍ",ISNUMBER(R31)),R31,"")</f>
        <v/>
      </c>
      <c r="AB31" s="15">
        <f>IF(A31="","",IF(LEN(IF(B31="","SIN FECHA; ",IF(DATOS!$C$12-B31&gt;DATOS!$C$18*30.4,"VENCIDA; ",""))&amp;IF(X31="","SIN ENLACE; ","")&amp;IF(H31="","SIN COORDENADAS; ","")&amp;IF(L31="","SIN ÁREA; ","")&amp;IF(AND(ISNUMBER(AA31),ISNUMBER($P$45),ISNUMBER($P$46),N($P$44)&gt;DATOS!$C$16),IF(OR(AA31&lt;$P$45,AA31&gt;$P$46),"FUERA DE LÍMITES; ",""),""))=0,"OK",IF(B31="","SIN FECHA; ",IF(DATOS!$C$12-B31&gt;DATOS!$C$18*30.4,"VENCIDA; ",""))&amp;IF(X31="","SIN ENLACE; ","")&amp;IF(H31="","SIN COORDENADAS; ","")&amp;IF(L31="","SIN ÁREA; ","")&amp;IF(AND(ISNUMBER(AA31),ISNUMBER($P$45),ISNUMBER($P$46),N($P$44)&gt;DATOS!$C$16),IF(OR(AA31&lt;$P$45,AA31&gt;$P$46),"FUERA DE LÍMITES; ",""),"")))</f>
        <v/>
      </c>
      <c r="AC31" s="25">
        <f>IF(AA31="","",IF(COMBINACIONES_NPH!$B$18="MUESTRA COMPLETA","SÍ",IF(AUX_NPH!F27="","NO (filtrada)",IF(AND(AUX_NPH!F27&gt;=COMBINACIONES_NPH!$B$22,AUX_NPH!F27&lt;=COMBINACIONES_NPH!$B$22+COMBINACIONES_NPH!$B$23-1),"SÍ","NO"))))</f>
        <v/>
      </c>
      <c r="AD31" s="25">
        <f>IF(A31="","","OFERTA NPH "&amp;TEXT(A31,"00"))</f>
        <v/>
      </c>
    </row>
    <row r="32" hidden="1" s="54">
      <c r="A32" s="70" t="n"/>
      <c r="B32" s="71" t="n"/>
      <c r="C32" s="70" t="n"/>
      <c r="D32" s="70" t="n"/>
      <c r="E32" s="70" t="n"/>
      <c r="F32" s="70" t="n"/>
      <c r="G32" s="70" t="n"/>
      <c r="H32" s="70" t="n"/>
      <c r="I32" s="197" t="n"/>
      <c r="J32" s="198" t="n"/>
      <c r="K32" s="199">
        <f>IF(I32="","",I32*(1-J32))</f>
        <v/>
      </c>
      <c r="L32" s="73" t="n"/>
      <c r="M32" s="73" t="n"/>
      <c r="N32" s="200">
        <f>IF(A32="","",SUMIFS(DEPRECIACIÓN!$P$5:$P$24,DEPRECIACIÓN!$A$5:$A$24,A32))</f>
        <v/>
      </c>
      <c r="O32" s="199">
        <f>IF(K32="","",K32-N(N32))</f>
        <v/>
      </c>
      <c r="P32" s="199">
        <f>IF(OR(O32="",N(L32)&lt;=0),"",O32/L32)</f>
        <v/>
      </c>
      <c r="Q32" s="199">
        <f>IF(OR(K32="",N(L32)&lt;=0),"",K32/L32)</f>
        <v/>
      </c>
      <c r="R32" s="199">
        <f>IF(OR(K32="",N(M32)&lt;=0),"",K32/M32)</f>
        <v/>
      </c>
      <c r="S32" s="70" t="n"/>
      <c r="T32" s="70" t="n"/>
      <c r="U32" s="70" t="n"/>
      <c r="V32" s="70" t="n"/>
      <c r="W32" s="70" t="n"/>
      <c r="X32" s="70" t="n"/>
      <c r="Y32" s="70" t="n"/>
      <c r="Z32" s="74" t="n"/>
      <c r="AA32" s="199">
        <f>IF(AND(Z32="SÍ",ISNUMBER(R32)),R32,"")</f>
        <v/>
      </c>
      <c r="AB32" s="15">
        <f>IF(A32="","",IF(LEN(IF(B32="","SIN FECHA; ",IF(DATOS!$C$12-B32&gt;DATOS!$C$18*30.4,"VENCIDA; ",""))&amp;IF(X32="","SIN ENLACE; ","")&amp;IF(H32="","SIN COORDENADAS; ","")&amp;IF(L32="","SIN ÁREA; ","")&amp;IF(AND(ISNUMBER(AA32),ISNUMBER($P$45),ISNUMBER($P$46),N($P$44)&gt;DATOS!$C$16),IF(OR(AA32&lt;$P$45,AA32&gt;$P$46),"FUERA DE LÍMITES; ",""),""))=0,"OK",IF(B32="","SIN FECHA; ",IF(DATOS!$C$12-B32&gt;DATOS!$C$18*30.4,"VENCIDA; ",""))&amp;IF(X32="","SIN ENLACE; ","")&amp;IF(H32="","SIN COORDENADAS; ","")&amp;IF(L32="","SIN ÁREA; ","")&amp;IF(AND(ISNUMBER(AA32),ISNUMBER($P$45),ISNUMBER($P$46),N($P$44)&gt;DATOS!$C$16),IF(OR(AA32&lt;$P$45,AA32&gt;$P$46),"FUERA DE LÍMITES; ",""),"")))</f>
        <v/>
      </c>
      <c r="AC32" s="25">
        <f>IF(AA32="","",IF(COMBINACIONES_NPH!$B$18="MUESTRA COMPLETA","SÍ",IF(AUX_NPH!F28="","NO (filtrada)",IF(AND(AUX_NPH!F28&gt;=COMBINACIONES_NPH!$B$22,AUX_NPH!F28&lt;=COMBINACIONES_NPH!$B$22+COMBINACIONES_NPH!$B$23-1),"SÍ","NO"))))</f>
        <v/>
      </c>
      <c r="AD32" s="25">
        <f>IF(A32="","","OFERTA NPH "&amp;TEXT(A32,"00"))</f>
        <v/>
      </c>
    </row>
    <row r="33" hidden="1" s="54">
      <c r="A33" s="70" t="n"/>
      <c r="B33" s="71" t="n"/>
      <c r="C33" s="70" t="n"/>
      <c r="D33" s="70" t="n"/>
      <c r="E33" s="70" t="n"/>
      <c r="F33" s="70" t="n"/>
      <c r="G33" s="70" t="n"/>
      <c r="H33" s="70" t="n"/>
      <c r="I33" s="197" t="n"/>
      <c r="J33" s="198" t="n"/>
      <c r="K33" s="199">
        <f>IF(I33="","",I33*(1-J33))</f>
        <v/>
      </c>
      <c r="L33" s="73" t="n"/>
      <c r="M33" s="73" t="n"/>
      <c r="N33" s="200">
        <f>IF(A33="","",SUMIFS(DEPRECIACIÓN!$P$5:$P$24,DEPRECIACIÓN!$A$5:$A$24,A33))</f>
        <v/>
      </c>
      <c r="O33" s="199">
        <f>IF(K33="","",K33-N(N33))</f>
        <v/>
      </c>
      <c r="P33" s="199">
        <f>IF(OR(O33="",N(L33)&lt;=0),"",O33/L33)</f>
        <v/>
      </c>
      <c r="Q33" s="199">
        <f>IF(OR(K33="",N(L33)&lt;=0),"",K33/L33)</f>
        <v/>
      </c>
      <c r="R33" s="199">
        <f>IF(OR(K33="",N(M33)&lt;=0),"",K33/M33)</f>
        <v/>
      </c>
      <c r="S33" s="70" t="n"/>
      <c r="T33" s="70" t="n"/>
      <c r="U33" s="70" t="n"/>
      <c r="V33" s="70" t="n"/>
      <c r="W33" s="70" t="n"/>
      <c r="X33" s="70" t="n"/>
      <c r="Y33" s="70" t="n"/>
      <c r="Z33" s="74" t="n"/>
      <c r="AA33" s="199">
        <f>IF(AND(Z33="SÍ",ISNUMBER(R33)),R33,"")</f>
        <v/>
      </c>
      <c r="AB33" s="15">
        <f>IF(A33="","",IF(LEN(IF(B33="","SIN FECHA; ",IF(DATOS!$C$12-B33&gt;DATOS!$C$18*30.4,"VENCIDA; ",""))&amp;IF(X33="","SIN ENLACE; ","")&amp;IF(H33="","SIN COORDENADAS; ","")&amp;IF(L33="","SIN ÁREA; ","")&amp;IF(AND(ISNUMBER(AA33),ISNUMBER($P$45),ISNUMBER($P$46),N($P$44)&gt;DATOS!$C$16),IF(OR(AA33&lt;$P$45,AA33&gt;$P$46),"FUERA DE LÍMITES; ",""),""))=0,"OK",IF(B33="","SIN FECHA; ",IF(DATOS!$C$12-B33&gt;DATOS!$C$18*30.4,"VENCIDA; ",""))&amp;IF(X33="","SIN ENLACE; ","")&amp;IF(H33="","SIN COORDENADAS; ","")&amp;IF(L33="","SIN ÁREA; ","")&amp;IF(AND(ISNUMBER(AA33),ISNUMBER($P$45),ISNUMBER($P$46),N($P$44)&gt;DATOS!$C$16),IF(OR(AA33&lt;$P$45,AA33&gt;$P$46),"FUERA DE LÍMITES; ",""),"")))</f>
        <v/>
      </c>
      <c r="AC33" s="25">
        <f>IF(AA33="","",IF(COMBINACIONES_NPH!$B$18="MUESTRA COMPLETA","SÍ",IF(AUX_NPH!F29="","NO (filtrada)",IF(AND(AUX_NPH!F29&gt;=COMBINACIONES_NPH!$B$22,AUX_NPH!F29&lt;=COMBINACIONES_NPH!$B$22+COMBINACIONES_NPH!$B$23-1),"SÍ","NO"))))</f>
        <v/>
      </c>
      <c r="AD33" s="25">
        <f>IF(A33="","","OFERTA NPH "&amp;TEXT(A33,"00"))</f>
        <v/>
      </c>
    </row>
    <row r="34" hidden="1" s="54">
      <c r="A34" s="70" t="n"/>
      <c r="B34" s="71" t="n"/>
      <c r="C34" s="70" t="n"/>
      <c r="D34" s="70" t="n"/>
      <c r="E34" s="70" t="n"/>
      <c r="F34" s="70" t="n"/>
      <c r="G34" s="70" t="n"/>
      <c r="H34" s="70" t="n"/>
      <c r="I34" s="197" t="n"/>
      <c r="J34" s="198" t="n"/>
      <c r="K34" s="199">
        <f>IF(I34="","",I34*(1-J34))</f>
        <v/>
      </c>
      <c r="L34" s="73" t="n"/>
      <c r="M34" s="73" t="n"/>
      <c r="N34" s="200">
        <f>IF(A34="","",SUMIFS(DEPRECIACIÓN!$P$5:$P$24,DEPRECIACIÓN!$A$5:$A$24,A34))</f>
        <v/>
      </c>
      <c r="O34" s="199">
        <f>IF(K34="","",K34-N(N34))</f>
        <v/>
      </c>
      <c r="P34" s="199">
        <f>IF(OR(O34="",N(L34)&lt;=0),"",O34/L34)</f>
        <v/>
      </c>
      <c r="Q34" s="199">
        <f>IF(OR(K34="",N(L34)&lt;=0),"",K34/L34)</f>
        <v/>
      </c>
      <c r="R34" s="199">
        <f>IF(OR(K34="",N(M34)&lt;=0),"",K34/M34)</f>
        <v/>
      </c>
      <c r="S34" s="70" t="n"/>
      <c r="T34" s="70" t="n"/>
      <c r="U34" s="70" t="n"/>
      <c r="V34" s="70" t="n"/>
      <c r="W34" s="70" t="n"/>
      <c r="X34" s="70" t="n"/>
      <c r="Y34" s="70" t="n"/>
      <c r="Z34" s="74" t="n"/>
      <c r="AA34" s="199">
        <f>IF(AND(Z34="SÍ",ISNUMBER(R34)),R34,"")</f>
        <v/>
      </c>
      <c r="AB34" s="15">
        <f>IF(A34="","",IF(LEN(IF(B34="","SIN FECHA; ",IF(DATOS!$C$12-B34&gt;DATOS!$C$18*30.4,"VENCIDA; ",""))&amp;IF(X34="","SIN ENLACE; ","")&amp;IF(H34="","SIN COORDENADAS; ","")&amp;IF(L34="","SIN ÁREA; ","")&amp;IF(AND(ISNUMBER(AA34),ISNUMBER($P$45),ISNUMBER($P$46),N($P$44)&gt;DATOS!$C$16),IF(OR(AA34&lt;$P$45,AA34&gt;$P$46),"FUERA DE LÍMITES; ",""),""))=0,"OK",IF(B34="","SIN FECHA; ",IF(DATOS!$C$12-B34&gt;DATOS!$C$18*30.4,"VENCIDA; ",""))&amp;IF(X34="","SIN ENLACE; ","")&amp;IF(H34="","SIN COORDENADAS; ","")&amp;IF(L34="","SIN ÁREA; ","")&amp;IF(AND(ISNUMBER(AA34),ISNUMBER($P$45),ISNUMBER($P$46),N($P$44)&gt;DATOS!$C$16),IF(OR(AA34&lt;$P$45,AA34&gt;$P$46),"FUERA DE LÍMITES; ",""),"")))</f>
        <v/>
      </c>
      <c r="AC34" s="25">
        <f>IF(AA34="","",IF(COMBINACIONES_NPH!$B$18="MUESTRA COMPLETA","SÍ",IF(AUX_NPH!F30="","NO (filtrada)",IF(AND(AUX_NPH!F30&gt;=COMBINACIONES_NPH!$B$22,AUX_NPH!F30&lt;=COMBINACIONES_NPH!$B$22+COMBINACIONES_NPH!$B$23-1),"SÍ","NO"))))</f>
        <v/>
      </c>
      <c r="AD34" s="25">
        <f>IF(A34="","","OFERTA NPH "&amp;TEXT(A34,"00"))</f>
        <v/>
      </c>
    </row>
    <row r="35" hidden="1" s="54">
      <c r="A35" s="70" t="n"/>
      <c r="B35" s="71" t="n"/>
      <c r="C35" s="70" t="n"/>
      <c r="D35" s="70" t="n"/>
      <c r="E35" s="70" t="n"/>
      <c r="F35" s="70" t="n"/>
      <c r="G35" s="70" t="n"/>
      <c r="H35" s="70" t="n"/>
      <c r="I35" s="197" t="n"/>
      <c r="J35" s="198" t="n"/>
      <c r="K35" s="199">
        <f>IF(I35="","",I35*(1-J35))</f>
        <v/>
      </c>
      <c r="L35" s="73" t="n"/>
      <c r="M35" s="73" t="n"/>
      <c r="N35" s="200">
        <f>IF(A35="","",SUMIFS(DEPRECIACIÓN!$P$5:$P$24,DEPRECIACIÓN!$A$5:$A$24,A35))</f>
        <v/>
      </c>
      <c r="O35" s="199">
        <f>IF(K35="","",K35-N(N35))</f>
        <v/>
      </c>
      <c r="P35" s="199">
        <f>IF(OR(O35="",N(L35)&lt;=0),"",O35/L35)</f>
        <v/>
      </c>
      <c r="Q35" s="199">
        <f>IF(OR(K35="",N(L35)&lt;=0),"",K35/L35)</f>
        <v/>
      </c>
      <c r="R35" s="199">
        <f>IF(OR(K35="",N(M35)&lt;=0),"",K35/M35)</f>
        <v/>
      </c>
      <c r="S35" s="70" t="n"/>
      <c r="T35" s="70" t="n"/>
      <c r="U35" s="70" t="n"/>
      <c r="V35" s="70" t="n"/>
      <c r="W35" s="70" t="n"/>
      <c r="X35" s="70" t="n"/>
      <c r="Y35" s="70" t="n"/>
      <c r="Z35" s="74" t="n"/>
      <c r="AA35" s="199">
        <f>IF(AND(Z35="SÍ",ISNUMBER(R35)),R35,"")</f>
        <v/>
      </c>
      <c r="AB35" s="15">
        <f>IF(A35="","",IF(LEN(IF(B35="","SIN FECHA; ",IF(DATOS!$C$12-B35&gt;DATOS!$C$18*30.4,"VENCIDA; ",""))&amp;IF(X35="","SIN ENLACE; ","")&amp;IF(H35="","SIN COORDENADAS; ","")&amp;IF(L35="","SIN ÁREA; ","")&amp;IF(AND(ISNUMBER(AA35),ISNUMBER($P$45),ISNUMBER($P$46),N($P$44)&gt;DATOS!$C$16),IF(OR(AA35&lt;$P$45,AA35&gt;$P$46),"FUERA DE LÍMITES; ",""),""))=0,"OK",IF(B35="","SIN FECHA; ",IF(DATOS!$C$12-B35&gt;DATOS!$C$18*30.4,"VENCIDA; ",""))&amp;IF(X35="","SIN ENLACE; ","")&amp;IF(H35="","SIN COORDENADAS; ","")&amp;IF(L35="","SIN ÁREA; ","")&amp;IF(AND(ISNUMBER(AA35),ISNUMBER($P$45),ISNUMBER($P$46),N($P$44)&gt;DATOS!$C$16),IF(OR(AA35&lt;$P$45,AA35&gt;$P$46),"FUERA DE LÍMITES; ",""),"")))</f>
        <v/>
      </c>
      <c r="AC35" s="25">
        <f>IF(AA35="","",IF(COMBINACIONES_NPH!$B$18="MUESTRA COMPLETA","SÍ",IF(AUX_NPH!F31="","NO (filtrada)",IF(AND(AUX_NPH!F31&gt;=COMBINACIONES_NPH!$B$22,AUX_NPH!F31&lt;=COMBINACIONES_NPH!$B$22+COMBINACIONES_NPH!$B$23-1),"SÍ","NO"))))</f>
        <v/>
      </c>
      <c r="AD35" s="25">
        <f>IF(A35="","","OFERTA NPH "&amp;TEXT(A35,"00"))</f>
        <v/>
      </c>
    </row>
    <row r="36" hidden="1" s="54">
      <c r="A36" s="70" t="n"/>
      <c r="B36" s="71" t="n"/>
      <c r="C36" s="70" t="n"/>
      <c r="D36" s="70" t="n"/>
      <c r="E36" s="70" t="n"/>
      <c r="F36" s="70" t="n"/>
      <c r="G36" s="70" t="n"/>
      <c r="H36" s="70" t="n"/>
      <c r="I36" s="197" t="n"/>
      <c r="J36" s="198" t="n"/>
      <c r="K36" s="199">
        <f>IF(I36="","",I36*(1-J36))</f>
        <v/>
      </c>
      <c r="L36" s="73" t="n"/>
      <c r="M36" s="73" t="n"/>
      <c r="N36" s="200">
        <f>IF(A36="","",SUMIFS(DEPRECIACIÓN!$P$5:$P$24,DEPRECIACIÓN!$A$5:$A$24,A36))</f>
        <v/>
      </c>
      <c r="O36" s="199">
        <f>IF(K36="","",K36-N(N36))</f>
        <v/>
      </c>
      <c r="P36" s="199">
        <f>IF(OR(O36="",N(L36)&lt;=0),"",O36/L36)</f>
        <v/>
      </c>
      <c r="Q36" s="199">
        <f>IF(OR(K36="",N(L36)&lt;=0),"",K36/L36)</f>
        <v/>
      </c>
      <c r="R36" s="199">
        <f>IF(OR(K36="",N(M36)&lt;=0),"",K36/M36)</f>
        <v/>
      </c>
      <c r="S36" s="70" t="n"/>
      <c r="T36" s="70" t="n"/>
      <c r="U36" s="70" t="n"/>
      <c r="V36" s="70" t="n"/>
      <c r="W36" s="70" t="n"/>
      <c r="X36" s="70" t="n"/>
      <c r="Y36" s="70" t="n"/>
      <c r="Z36" s="74" t="n"/>
      <c r="AA36" s="199">
        <f>IF(AND(Z36="SÍ",ISNUMBER(R36)),R36,"")</f>
        <v/>
      </c>
      <c r="AB36" s="15">
        <f>IF(A36="","",IF(LEN(IF(B36="","SIN FECHA; ",IF(DATOS!$C$12-B36&gt;DATOS!$C$18*30.4,"VENCIDA; ",""))&amp;IF(X36="","SIN ENLACE; ","")&amp;IF(H36="","SIN COORDENADAS; ","")&amp;IF(L36="","SIN ÁREA; ","")&amp;IF(AND(ISNUMBER(AA36),ISNUMBER($P$45),ISNUMBER($P$46),N($P$44)&gt;DATOS!$C$16),IF(OR(AA36&lt;$P$45,AA36&gt;$P$46),"FUERA DE LÍMITES; ",""),""))=0,"OK",IF(B36="","SIN FECHA; ",IF(DATOS!$C$12-B36&gt;DATOS!$C$18*30.4,"VENCIDA; ",""))&amp;IF(X36="","SIN ENLACE; ","")&amp;IF(H36="","SIN COORDENADAS; ","")&amp;IF(L36="","SIN ÁREA; ","")&amp;IF(AND(ISNUMBER(AA36),ISNUMBER($P$45),ISNUMBER($P$46),N($P$44)&gt;DATOS!$C$16),IF(OR(AA36&lt;$P$45,AA36&gt;$P$46),"FUERA DE LÍMITES; ",""),"")))</f>
        <v/>
      </c>
      <c r="AC36" s="25">
        <f>IF(AA36="","",IF(COMBINACIONES_NPH!$B$18="MUESTRA COMPLETA","SÍ",IF(AUX_NPH!F32="","NO (filtrada)",IF(AND(AUX_NPH!F32&gt;=COMBINACIONES_NPH!$B$22,AUX_NPH!F32&lt;=COMBINACIONES_NPH!$B$22+COMBINACIONES_NPH!$B$23-1),"SÍ","NO"))))</f>
        <v/>
      </c>
      <c r="AD36" s="25">
        <f>IF(A36="","","OFERTA NPH "&amp;TEXT(A36,"00"))</f>
        <v/>
      </c>
    </row>
    <row r="37" hidden="1" s="54">
      <c r="A37" s="70" t="n"/>
      <c r="B37" s="71" t="n"/>
      <c r="C37" s="70" t="n"/>
      <c r="D37" s="70" t="n"/>
      <c r="E37" s="70" t="n"/>
      <c r="F37" s="70" t="n"/>
      <c r="G37" s="70" t="n"/>
      <c r="H37" s="70" t="n"/>
      <c r="I37" s="197" t="n"/>
      <c r="J37" s="198" t="n"/>
      <c r="K37" s="199">
        <f>IF(I37="","",I37*(1-J37))</f>
        <v/>
      </c>
      <c r="L37" s="73" t="n"/>
      <c r="M37" s="73" t="n"/>
      <c r="N37" s="200">
        <f>IF(A37="","",SUMIFS(DEPRECIACIÓN!$P$5:$P$24,DEPRECIACIÓN!$A$5:$A$24,A37))</f>
        <v/>
      </c>
      <c r="O37" s="199">
        <f>IF(K37="","",K37-N(N37))</f>
        <v/>
      </c>
      <c r="P37" s="199">
        <f>IF(OR(O37="",N(L37)&lt;=0),"",O37/L37)</f>
        <v/>
      </c>
      <c r="Q37" s="199">
        <f>IF(OR(K37="",N(L37)&lt;=0),"",K37/L37)</f>
        <v/>
      </c>
      <c r="R37" s="199">
        <f>IF(OR(K37="",N(M37)&lt;=0),"",K37/M37)</f>
        <v/>
      </c>
      <c r="S37" s="70" t="n"/>
      <c r="T37" s="70" t="n"/>
      <c r="U37" s="70" t="n"/>
      <c r="V37" s="70" t="n"/>
      <c r="W37" s="70" t="n"/>
      <c r="X37" s="70" t="n"/>
      <c r="Y37" s="70" t="n"/>
      <c r="Z37" s="74" t="n"/>
      <c r="AA37" s="199">
        <f>IF(AND(Z37="SÍ",ISNUMBER(R37)),R37,"")</f>
        <v/>
      </c>
      <c r="AB37" s="15">
        <f>IF(A37="","",IF(LEN(IF(B37="","SIN FECHA; ",IF(DATOS!$C$12-B37&gt;DATOS!$C$18*30.4,"VENCIDA; ",""))&amp;IF(X37="","SIN ENLACE; ","")&amp;IF(H37="","SIN COORDENADAS; ","")&amp;IF(L37="","SIN ÁREA; ","")&amp;IF(AND(ISNUMBER(AA37),ISNUMBER($P$45),ISNUMBER($P$46),N($P$44)&gt;DATOS!$C$16),IF(OR(AA37&lt;$P$45,AA37&gt;$P$46),"FUERA DE LÍMITES; ",""),""))=0,"OK",IF(B37="","SIN FECHA; ",IF(DATOS!$C$12-B37&gt;DATOS!$C$18*30.4,"VENCIDA; ",""))&amp;IF(X37="","SIN ENLACE; ","")&amp;IF(H37="","SIN COORDENADAS; ","")&amp;IF(L37="","SIN ÁREA; ","")&amp;IF(AND(ISNUMBER(AA37),ISNUMBER($P$45),ISNUMBER($P$46),N($P$44)&gt;DATOS!$C$16),IF(OR(AA37&lt;$P$45,AA37&gt;$P$46),"FUERA DE LÍMITES; ",""),"")))</f>
        <v/>
      </c>
      <c r="AC37" s="25">
        <f>IF(AA37="","",IF(COMBINACIONES_NPH!$B$18="MUESTRA COMPLETA","SÍ",IF(AUX_NPH!F33="","NO (filtrada)",IF(AND(AUX_NPH!F33&gt;=COMBINACIONES_NPH!$B$22,AUX_NPH!F33&lt;=COMBINACIONES_NPH!$B$22+COMBINACIONES_NPH!$B$23-1),"SÍ","NO"))))</f>
        <v/>
      </c>
      <c r="AD37" s="25">
        <f>IF(A37="","","OFERTA NPH "&amp;TEXT(A37,"00"))</f>
        <v/>
      </c>
    </row>
    <row r="38" hidden="1" s="54">
      <c r="A38" s="70" t="n"/>
      <c r="B38" s="71" t="n"/>
      <c r="C38" s="70" t="n"/>
      <c r="D38" s="70" t="n"/>
      <c r="E38" s="70" t="n"/>
      <c r="F38" s="70" t="n"/>
      <c r="G38" s="70" t="n"/>
      <c r="H38" s="70" t="n"/>
      <c r="I38" s="197" t="n"/>
      <c r="J38" s="198" t="n"/>
      <c r="K38" s="199">
        <f>IF(I38="","",I38*(1-J38))</f>
        <v/>
      </c>
      <c r="L38" s="73" t="n"/>
      <c r="M38" s="73" t="n"/>
      <c r="N38" s="200">
        <f>IF(A38="","",SUMIFS(DEPRECIACIÓN!$P$5:$P$24,DEPRECIACIÓN!$A$5:$A$24,A38))</f>
        <v/>
      </c>
      <c r="O38" s="199">
        <f>IF(K38="","",K38-N(N38))</f>
        <v/>
      </c>
      <c r="P38" s="199">
        <f>IF(OR(O38="",N(L38)&lt;=0),"",O38/L38)</f>
        <v/>
      </c>
      <c r="Q38" s="199">
        <f>IF(OR(K38="",N(L38)&lt;=0),"",K38/L38)</f>
        <v/>
      </c>
      <c r="R38" s="199">
        <f>IF(OR(K38="",N(M38)&lt;=0),"",K38/M38)</f>
        <v/>
      </c>
      <c r="S38" s="70" t="n"/>
      <c r="T38" s="70" t="n"/>
      <c r="U38" s="70" t="n"/>
      <c r="V38" s="70" t="n"/>
      <c r="W38" s="70" t="n"/>
      <c r="X38" s="70" t="n"/>
      <c r="Y38" s="70" t="n"/>
      <c r="Z38" s="74" t="n"/>
      <c r="AA38" s="199">
        <f>IF(AND(Z38="SÍ",ISNUMBER(R38)),R38,"")</f>
        <v/>
      </c>
      <c r="AB38" s="15">
        <f>IF(A38="","",IF(LEN(IF(B38="","SIN FECHA; ",IF(DATOS!$C$12-B38&gt;DATOS!$C$18*30.4,"VENCIDA; ",""))&amp;IF(X38="","SIN ENLACE; ","")&amp;IF(H38="","SIN COORDENADAS; ","")&amp;IF(L38="","SIN ÁREA; ","")&amp;IF(AND(ISNUMBER(AA38),ISNUMBER($P$45),ISNUMBER($P$46),N($P$44)&gt;DATOS!$C$16),IF(OR(AA38&lt;$P$45,AA38&gt;$P$46),"FUERA DE LÍMITES; ",""),""))=0,"OK",IF(B38="","SIN FECHA; ",IF(DATOS!$C$12-B38&gt;DATOS!$C$18*30.4,"VENCIDA; ",""))&amp;IF(X38="","SIN ENLACE; ","")&amp;IF(H38="","SIN COORDENADAS; ","")&amp;IF(L38="","SIN ÁREA; ","")&amp;IF(AND(ISNUMBER(AA38),ISNUMBER($P$45),ISNUMBER($P$46),N($P$44)&gt;DATOS!$C$16),IF(OR(AA38&lt;$P$45,AA38&gt;$P$46),"FUERA DE LÍMITES; ",""),"")))</f>
        <v/>
      </c>
      <c r="AC38" s="25">
        <f>IF(AA38="","",IF(COMBINACIONES_NPH!$B$18="MUESTRA COMPLETA","SÍ",IF(AUX_NPH!F34="","NO (filtrada)",IF(AND(AUX_NPH!F34&gt;=COMBINACIONES_NPH!$B$22,AUX_NPH!F34&lt;=COMBINACIONES_NPH!$B$22+COMBINACIONES_NPH!$B$23-1),"SÍ","NO"))))</f>
        <v/>
      </c>
      <c r="AD38" s="25">
        <f>IF(A38="","","OFERTA NPH "&amp;TEXT(A38,"00"))</f>
        <v/>
      </c>
    </row>
    <row r="40" ht="15" customHeight="1" s="54">
      <c r="L40" s="6" t="inlineStr">
        <is>
          <t>Nº DE OFERTAS INCLUIDAS</t>
        </is>
      </c>
      <c r="M40" s="188" t="n"/>
      <c r="N40" s="188" t="n"/>
      <c r="O40" s="188" t="n"/>
      <c r="P40" s="26">
        <f>COUNT($AA$9:$AA$38)</f>
        <v/>
      </c>
    </row>
    <row r="41" ht="15" customHeight="1" s="54">
      <c r="L41" s="6" t="inlineStr">
        <is>
          <t>PROMEDIO (media aritmética)</t>
        </is>
      </c>
      <c r="M41" s="188" t="n"/>
      <c r="N41" s="188" t="n"/>
      <c r="O41" s="188" t="n"/>
      <c r="P41" s="201">
        <f>IFERROR(AVERAGE($AA$9:$AA$38),"")</f>
        <v/>
      </c>
    </row>
    <row r="42" ht="15" customHeight="1" s="54">
      <c r="L42" s="6" t="inlineStr">
        <is>
          <t>MEDIANA</t>
        </is>
      </c>
      <c r="M42" s="188" t="n"/>
      <c r="N42" s="188" t="n"/>
      <c r="O42" s="188" t="n"/>
      <c r="P42" s="202">
        <f>IFERROR(MEDIAN($AA$9:$AA$38),"")</f>
        <v/>
      </c>
    </row>
    <row r="43" ht="15" customHeight="1" s="54">
      <c r="L43" s="6" t="inlineStr">
        <is>
          <t>DESVIACIÓN ESTÁNDAR</t>
        </is>
      </c>
      <c r="M43" s="188" t="n"/>
      <c r="N43" s="188" t="n"/>
      <c r="O43" s="188" t="n"/>
      <c r="P43" s="202">
        <f>IFERROR(_xlfn.STDEV.S($AA$9:$AA$38),"")</f>
        <v/>
      </c>
    </row>
    <row r="44" ht="15" customHeight="1" s="54">
      <c r="L44" s="6" t="inlineStr">
        <is>
          <t>COEFICIENTE DE VARIACIÓN</t>
        </is>
      </c>
      <c r="M44" s="188" t="n"/>
      <c r="N44" s="188" t="n"/>
      <c r="O44" s="188" t="n"/>
      <c r="P44" s="29">
        <f>IFERROR(P43/P41,"")</f>
        <v/>
      </c>
    </row>
    <row r="45" ht="15" customHeight="1" s="54">
      <c r="L45" s="6" t="inlineStr">
        <is>
          <t>LÍMITE INFERIOR (promedio − desv.)</t>
        </is>
      </c>
      <c r="M45" s="188" t="n"/>
      <c r="N45" s="188" t="n"/>
      <c r="O45" s="188" t="n"/>
      <c r="P45" s="202">
        <f>IFERROR(P41-P43,"")</f>
        <v/>
      </c>
    </row>
    <row r="46" ht="15" customHeight="1" s="54">
      <c r="L46" s="6" t="inlineStr">
        <is>
          <t>LÍMITE SUPERIOR (promedio + desv.)</t>
        </is>
      </c>
      <c r="M46" s="188" t="n"/>
      <c r="N46" s="188" t="n"/>
      <c r="O46" s="188" t="n"/>
      <c r="P46" s="202">
        <f>IFERROR(P41+P43,"")</f>
        <v/>
      </c>
    </row>
    <row r="47" ht="15" customHeight="1" s="54">
      <c r="L47" s="6" t="inlineStr">
        <is>
          <t>COEFICIENTE DE ASIMETRÍA</t>
        </is>
      </c>
      <c r="M47" s="188" t="n"/>
      <c r="N47" s="188" t="n"/>
      <c r="O47" s="188" t="n"/>
      <c r="P47" s="30">
        <f>IFERROR(SKEW($AA$9:$AA$38),"")</f>
        <v/>
      </c>
    </row>
    <row r="48" ht="22.35" customHeight="1" s="54">
      <c r="L48" s="6" t="inlineStr">
        <is>
          <t>¿CV MUESTRA COMPLETA ≤ MÁXIMO?</t>
        </is>
      </c>
      <c r="M48" s="188" t="n"/>
      <c r="N48" s="188" t="n"/>
      <c r="O48" s="188" t="n"/>
      <c r="P48" s="25">
        <f>IF(ISNUMBER(P44),IF(P44&lt;=DATOS!$C$16,"SÍ","NO – ver COMBINACIONES"),"")</f>
        <v/>
      </c>
    </row>
    <row r="49" ht="15" customHeight="1" s="54">
      <c r="L49" s="6" t="inlineStr">
        <is>
          <t>PROMEDIO REDONDEADO (muestra completa)</t>
        </is>
      </c>
      <c r="M49" s="188" t="n"/>
      <c r="N49" s="188" t="n"/>
      <c r="O49" s="188" t="n"/>
      <c r="P49" s="203">
        <f>IFERROR(ROUND(P41,-2),"")</f>
        <v/>
      </c>
    </row>
    <row r="51" ht="15" customHeight="1" s="54">
      <c r="A51" s="3" t="inlineStr">
        <is>
          <t>OBSERVACIONES: 1) Escriba los datos de cada oferta en la fila (azul = dato editable). Columnas en negro y verde son fórmulas: no las sobrescriba. 2) Las construcciones de cada oferta se valoran en la hoja DEPRECIACIÓN (Ross-Heidecke, Anexo num. 2.3.4) indicando el No. de la oferta; el valor del terreno resulta de restar ese valor al valor negociado (Art. 17 lit. a y Art. 19 num. 1). 3) Para lotes sin construcción, el valor unitario de terreno es igual al valor integral por m² de terreno. 4) La columna «¿INCLUIR?» excluye ofertas no comparables sin borrarlas; sustente la exclusión en COMPARABILIDAD. 5) No se aplican factores de homogenización (Anexo, num. 2.1, Nota 2). 6) Adjunte captura de pantalla de cada oferta con el nombre de la columna SOPORTE.</t>
        </is>
      </c>
      <c r="B51" s="204" t="n"/>
      <c r="C51" s="204" t="n"/>
      <c r="D51" s="204" t="n"/>
      <c r="E51" s="204" t="n"/>
      <c r="F51" s="204" t="n"/>
      <c r="G51" s="204" t="n"/>
      <c r="H51" s="204" t="n"/>
      <c r="I51" s="204" t="n"/>
      <c r="J51" s="204" t="n"/>
      <c r="K51" s="204" t="n"/>
      <c r="L51" s="204" t="n"/>
      <c r="M51" s="204" t="n"/>
      <c r="N51" s="204" t="n"/>
      <c r="O51" s="204" t="n"/>
      <c r="P51" s="204" t="n"/>
      <c r="Q51" s="204" t="n"/>
      <c r="R51" s="204" t="n"/>
      <c r="S51" s="204" t="n"/>
      <c r="T51" s="204" t="n"/>
      <c r="U51" s="204" t="n"/>
      <c r="V51" s="204" t="n"/>
      <c r="W51" s="204" t="n"/>
      <c r="X51" s="204" t="n"/>
      <c r="Y51" s="204" t="n"/>
    </row>
    <row r="52">
      <c r="A52" s="205" t="n"/>
    </row>
    <row r="53">
      <c r="A53" s="205" t="n"/>
    </row>
    <row r="54">
      <c r="A54" s="205" t="n"/>
    </row>
    <row r="55">
      <c r="A55" s="205" t="n"/>
    </row>
    <row r="56">
      <c r="A56" s="205" t="n"/>
    </row>
    <row r="58" ht="15" customHeight="1" s="54">
      <c r="A58" s="2" t="inlineStr">
        <is>
          <t>OBSERVACIONES DEL ESTUDIO (Bello, 02/10/2026): 1) Consulta realizada en Fincaraíz, Ciencuadras, Espacio Urbano y Punto Propiedad buscando lotes urbanos ≤100 m² en Bello, priorizando el sector del inmueble objeto (6.348283, -75.552109). 2) Solo se encontraron DOS lotes vacíos verificables ≤100 m² (ofertas 1 y 2). La oferta urbana de lotes pequeños en Bello en portales es casi inexistente: el suelo de ese tamaño se transa como casa, casa-lote o aire. 3) Se revisaron casas en Niquía, El Rosario y El Paraíso: los anuncios publican solo área construida, sin área de lote, y varias son «primer piso» o «segundo piso» (derechos parciales), por lo que no permiten desagregar terreno sin suponer el área de lote; no se incluyeron. 4) Las ofertas 3 a 10 quedan como respaldo, excluidas con su motivo. 5) Coordenadas: los portales no publican la ubicación exacta; se dejan vacías en lugar de asignar un punto supuesto. 6) Con 2 ofertas no es posible el análisis estadístico del Art. 21 (mínimo 3, CV ≤ 7,5 %). Se requiere investigación directa en campo (avisos «se vende», inmobiliarias del sector, transacciones registradas) para completar la muestra.</t>
        </is>
      </c>
    </row>
    <row r="59"/>
    <row r="60"/>
    <row r="61"/>
    <row r="62"/>
    <row r="63"/>
    <row r="64"/>
  </sheetData>
  <mergeCells count="24">
    <mergeCell ref="L44:O44"/>
    <mergeCell ref="L40:O40"/>
    <mergeCell ref="A3:C3"/>
    <mergeCell ref="L46:O46"/>
    <mergeCell ref="L49:O49"/>
    <mergeCell ref="A51:Y56"/>
    <mergeCell ref="A5:C5"/>
    <mergeCell ref="A1:C2"/>
    <mergeCell ref="L48:O48"/>
    <mergeCell ref="D1:AA2"/>
    <mergeCell ref="A4:C4"/>
    <mergeCell ref="L47:O47"/>
    <mergeCell ref="L43:O43"/>
    <mergeCell ref="AC1:AD1"/>
    <mergeCell ref="A58:Y64"/>
    <mergeCell ref="L42:O42"/>
    <mergeCell ref="D4:K4"/>
    <mergeCell ref="D3:K3"/>
    <mergeCell ref="L45:O45"/>
    <mergeCell ref="A6:C6"/>
    <mergeCell ref="AC2:AD2"/>
    <mergeCell ref="E6:K6"/>
    <mergeCell ref="D5:K5"/>
    <mergeCell ref="L41:O41"/>
  </mergeCells>
  <conditionalFormatting sqref="AB9:AB18 AB26:AB38">
    <cfRule type="expression" priority="4" dxfId="1">
      <formula>AND(AB9&lt;&gt;"",AB9&lt;&gt;"OK")</formula>
    </cfRule>
  </conditionalFormatting>
  <conditionalFormatting sqref="AC9:AC18 AC26:AC38">
    <cfRule type="cellIs" priority="5" operator="equal" dxfId="0">
      <formula>"SÍ"</formula>
    </cfRule>
  </conditionalFormatting>
  <conditionalFormatting sqref="AB19:AB25">
    <cfRule type="expression" priority="1" dxfId="1">
      <formula>AND(AB19&lt;&gt;"",AB19&lt;&gt;"OK")</formula>
    </cfRule>
  </conditionalFormatting>
  <conditionalFormatting sqref="AC19:AC25">
    <cfRule type="cellIs" priority="2" operator="equal" dxfId="0">
      <formula>"SÍ"</formula>
    </cfRule>
  </conditionalFormatting>
  <dataValidations count="3">
    <dataValidation sqref="C9:C38" showDropDown="0" showInputMessage="0" showErrorMessage="0" allowBlank="1" type="list">
      <formula1>"Lote,Casa,Casa-lote,Edificio,Local,Bodega,Otro"</formula1>
      <formula2>0</formula2>
    </dataValidation>
    <dataValidation sqref="D9:D38" showDropDown="0" showInputMessage="0" showErrorMessage="0" allowBlank="1" type="list">
      <formula1>"Oferta de venta,Transacción,Arriendo"</formula1>
      <formula2>0</formula2>
    </dataValidation>
    <dataValidation sqref="Z9:Z38" showDropDown="0" showInputMessage="0" showErrorMessage="0" allowBlank="1" type="list">
      <formula1>"SÍ,NO"</formula1>
      <formula2>0</formula2>
    </dataValidation>
  </dataValidations>
  <hyperlinks>
    <hyperlink xmlns:r="http://schemas.openxmlformats.org/officeDocument/2006/relationships" ref="X9" r:id="rId1"/>
    <hyperlink xmlns:r="http://schemas.openxmlformats.org/officeDocument/2006/relationships" ref="X10" r:id="rId2"/>
    <hyperlink xmlns:r="http://schemas.openxmlformats.org/officeDocument/2006/relationships" ref="X11" r:id="rId3"/>
    <hyperlink xmlns:r="http://schemas.openxmlformats.org/officeDocument/2006/relationships" ref="X12" r:id="rId4"/>
    <hyperlink xmlns:r="http://schemas.openxmlformats.org/officeDocument/2006/relationships" ref="X13" r:id="rId5"/>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Z32"/>
  <sheetViews>
    <sheetView topLeftCell="A10" workbookViewId="0">
      <selection activeCell="D5" sqref="D5:H5"/>
    </sheetView>
  </sheetViews>
  <sheetFormatPr baseColWidth="10" defaultRowHeight="14.4"/>
  <cols>
    <col width="7.44140625" customWidth="1" style="54" min="1" max="1"/>
    <col width="12.88671875" customWidth="1" style="54" min="2" max="3"/>
    <col width="13.88671875" customWidth="1" style="54" min="4" max="4"/>
    <col width="11.109375" customWidth="1" style="54" min="5" max="5"/>
    <col width="20.33203125" customWidth="1" style="54" min="6" max="6"/>
    <col width="43.44140625" customWidth="1" style="54" min="7" max="7"/>
    <col width="19.44140625" customWidth="1" style="54" min="8" max="8"/>
    <col width="17.5546875" customWidth="1" style="54" min="9" max="9"/>
    <col width="8.33203125" customWidth="1" style="54" min="10" max="10"/>
    <col width="17.5546875" customWidth="1" style="54" min="11" max="11"/>
    <col width="14.77734375" customWidth="1" style="54" min="12" max="12"/>
    <col width="15.6640625" customWidth="1" style="54" min="13" max="13"/>
    <col width="18.44140625" customWidth="1" style="54" min="14" max="14"/>
    <col width="27.6640625" customWidth="1" style="54" min="15" max="15"/>
    <col width="10.109375" customWidth="1" style="54" min="16" max="16"/>
    <col width="48" customWidth="1" style="54" min="17" max="17"/>
    <col width="27.6640625" customWidth="1" style="54" min="18" max="18"/>
    <col width="14.77734375" customWidth="1" style="54" min="19" max="19"/>
    <col width="38.77734375" customWidth="1" style="54" min="20" max="20"/>
    <col width="44.33203125" customWidth="1" style="54" min="21" max="21"/>
    <col width="11.109375" customWidth="1" style="54" min="22" max="22"/>
    <col width="18.44140625" customWidth="1" style="54" min="23" max="23"/>
    <col width="15.6640625" customWidth="1" style="54" min="24" max="24"/>
    <col width="16.6640625" customWidth="1" style="54" min="25" max="25"/>
    <col width="18.44140625" customWidth="1" style="54" min="26" max="26"/>
  </cols>
  <sheetData>
    <row r="1" ht="42" customHeight="1" s="54">
      <c r="A1" s="166" t="inlineStr">
        <is>
          <t>ESTUDIO DE MERCADO – CASAS URBANAS EN BELLO (NIQUÍA) – COMBINACIÓN DE LAS OFERTAS 1, 2 Y 3 (CV ≤ 7,5 %)
Res. IGAC 941 de 2026 – Art. 17, 19 y 21 · Área máxima por oferta: 100 m² · Valor integral $/m² construido</t>
        </is>
      </c>
      <c r="O1" s="116" t="n"/>
      <c r="P1" s="116" t="n"/>
      <c r="Q1" s="116" t="n"/>
      <c r="R1" s="116" t="n"/>
      <c r="S1" s="116" t="n"/>
      <c r="T1" s="116" t="n"/>
      <c r="U1" s="116" t="n"/>
      <c r="V1" s="116" t="n"/>
      <c r="W1" s="116" t="n"/>
      <c r="X1" s="116" t="n"/>
      <c r="Y1" s="116" t="n"/>
      <c r="Z1" s="116" t="n"/>
    </row>
    <row r="2">
      <c r="A2" s="116" t="n"/>
      <c r="B2" s="116" t="n"/>
      <c r="C2" s="116" t="n"/>
      <c r="D2" s="116" t="n"/>
      <c r="E2" s="116" t="n"/>
      <c r="F2" s="116" t="n"/>
      <c r="G2" s="116" t="n"/>
      <c r="H2" s="116" t="n"/>
      <c r="I2" s="116" t="n"/>
      <c r="J2" s="116" t="n"/>
      <c r="K2" s="116" t="n"/>
      <c r="L2" s="116" t="n"/>
      <c r="M2" s="116" t="n"/>
      <c r="N2" s="116" t="n"/>
      <c r="O2" s="116" t="n"/>
      <c r="P2" s="116" t="n"/>
      <c r="Q2" s="116" t="n"/>
      <c r="R2" s="116" t="n"/>
      <c r="S2" s="116" t="n"/>
      <c r="T2" s="116" t="n"/>
      <c r="U2" s="116" t="n"/>
      <c r="V2" s="116" t="n"/>
      <c r="W2" s="116" t="n"/>
      <c r="X2" s="116" t="n"/>
      <c r="Y2" s="116" t="n"/>
      <c r="Z2" s="116" t="n"/>
    </row>
    <row r="3">
      <c r="A3" s="167" t="inlineStr">
        <is>
          <t>SOLICITANTE</t>
        </is>
      </c>
      <c r="D3" s="168">
        <f>DATOS!C4</f>
        <v/>
      </c>
      <c r="I3" s="116" t="n"/>
      <c r="J3" s="116" t="n"/>
      <c r="K3" s="116" t="n"/>
      <c r="L3" s="116" t="n"/>
      <c r="M3" s="116" t="n"/>
      <c r="N3" s="116" t="n"/>
      <c r="O3" s="116" t="n"/>
      <c r="P3" s="116" t="n"/>
      <c r="Q3" s="116" t="n"/>
      <c r="R3" s="116" t="n"/>
      <c r="S3" s="116" t="n"/>
      <c r="T3" s="116" t="n"/>
      <c r="U3" s="116" t="n"/>
      <c r="V3" s="116" t="n"/>
      <c r="W3" s="116" t="n"/>
      <c r="X3" s="116" t="n"/>
      <c r="Y3" s="116" t="n"/>
      <c r="Z3" s="116" t="n"/>
    </row>
    <row r="4">
      <c r="A4" s="167" t="inlineStr">
        <is>
          <t>INMUEBLE OBJETO</t>
        </is>
      </c>
      <c r="D4" s="168">
        <f>DATOS!C6</f>
        <v/>
      </c>
      <c r="I4" s="116" t="n"/>
      <c r="J4" s="116" t="n"/>
      <c r="K4" s="116" t="n"/>
      <c r="L4" s="116" t="n"/>
      <c r="M4" s="116" t="n"/>
      <c r="N4" s="116" t="n"/>
      <c r="O4" s="116" t="n"/>
      <c r="P4" s="116" t="n"/>
      <c r="Q4" s="116" t="n"/>
      <c r="R4" s="116" t="n"/>
      <c r="S4" s="116" t="n"/>
      <c r="T4" s="116" t="n"/>
      <c r="U4" s="116" t="n"/>
      <c r="V4" s="116" t="n"/>
      <c r="W4" s="116" t="n"/>
      <c r="X4" s="116" t="n"/>
      <c r="Y4" s="116" t="n"/>
      <c r="Z4" s="116" t="n"/>
    </row>
    <row r="5">
      <c r="A5" s="167" t="inlineStr">
        <is>
          <t>MUNICIPIO – BARRIO</t>
        </is>
      </c>
      <c r="D5" s="168">
        <f>DATOS!C7&amp;" – "&amp;DATOS!C8</f>
        <v/>
      </c>
      <c r="I5" s="116" t="n"/>
      <c r="J5" s="116" t="n"/>
      <c r="K5" s="116" t="n"/>
      <c r="L5" s="116" t="n"/>
      <c r="M5" s="116" t="n"/>
      <c r="N5" s="116" t="n"/>
      <c r="O5" s="116" t="n"/>
      <c r="P5" s="116" t="n"/>
      <c r="Q5" s="116" t="n"/>
      <c r="R5" s="116" t="n"/>
      <c r="S5" s="116" t="n"/>
      <c r="T5" s="116" t="n"/>
      <c r="U5" s="116" t="n"/>
      <c r="V5" s="116" t="n"/>
      <c r="W5" s="116" t="n"/>
      <c r="X5" s="116" t="n"/>
      <c r="Y5" s="116" t="n"/>
      <c r="Z5" s="116" t="n"/>
    </row>
    <row r="6">
      <c r="A6" s="167" t="inlineStr">
        <is>
          <t>% NEGOCIACIÓN POR DEFECTO</t>
        </is>
      </c>
      <c r="D6" s="206">
        <f>DATOS!$C$17</f>
        <v/>
      </c>
      <c r="I6" s="116" t="n"/>
      <c r="J6" s="116" t="n"/>
      <c r="K6" s="116" t="n"/>
      <c r="L6" s="116" t="n"/>
      <c r="M6" s="116" t="n"/>
      <c r="N6" s="116" t="n"/>
      <c r="O6" s="116" t="n"/>
      <c r="P6" s="116" t="n"/>
      <c r="Q6" s="116" t="n"/>
      <c r="R6" s="116" t="n"/>
      <c r="S6" s="116" t="n"/>
      <c r="T6" s="116" t="n"/>
      <c r="U6" s="116" t="n"/>
      <c r="V6" s="116" t="n"/>
      <c r="W6" s="116" t="n"/>
      <c r="X6" s="116" t="n"/>
      <c r="Y6" s="116" t="n"/>
      <c r="Z6" s="116" t="n"/>
    </row>
    <row r="7">
      <c r="A7" s="116" t="n"/>
      <c r="B7" s="116" t="n"/>
      <c r="C7" s="116" t="n"/>
      <c r="D7" s="116" t="n"/>
      <c r="E7" s="116" t="n"/>
      <c r="F7" s="116" t="n"/>
      <c r="G7" s="116" t="n"/>
      <c r="H7" s="116" t="n"/>
      <c r="I7" s="116" t="n"/>
      <c r="J7" s="116" t="n"/>
      <c r="K7" s="116" t="n"/>
      <c r="L7" s="116" t="n"/>
      <c r="M7" s="116" t="n"/>
      <c r="N7" s="116" t="n"/>
      <c r="O7" s="116" t="n"/>
      <c r="P7" s="116" t="n"/>
      <c r="Q7" s="116" t="n"/>
      <c r="R7" s="116" t="n"/>
      <c r="S7" s="116" t="n"/>
      <c r="T7" s="116" t="n"/>
      <c r="U7" s="116" t="n"/>
      <c r="V7" s="116" t="n"/>
      <c r="W7" s="116" t="n"/>
      <c r="X7" s="116" t="n"/>
      <c r="Y7" s="116" t="n"/>
      <c r="Z7" s="116" t="n"/>
    </row>
    <row r="8" ht="48" customHeight="1" s="54">
      <c r="A8" s="171" t="inlineStr">
        <is>
          <t>No.</t>
        </is>
      </c>
      <c r="B8" s="171" t="inlineStr">
        <is>
          <t>FECHA DE CAPTURA</t>
        </is>
      </c>
      <c r="C8" s="171" t="inlineStr">
        <is>
          <t>TIPO DE INMUEBLE (CASA)</t>
        </is>
      </c>
      <c r="D8" s="171" t="inlineStr">
        <is>
          <t>TIPO DE DATO</t>
        </is>
      </c>
      <c r="E8" s="171" t="inlineStr">
        <is>
          <t>MUNICIPIO</t>
        </is>
      </c>
      <c r="F8" s="171" t="inlineStr">
        <is>
          <t>COMUNA / BARRIO / SECTOR</t>
        </is>
      </c>
      <c r="G8" s="171" t="inlineStr">
        <is>
          <t>DIRECCIÓN O REFERENCIA</t>
        </is>
      </c>
      <c r="H8" s="171" t="inlineStr">
        <is>
          <t>COORDENADAS (lat, lon)</t>
        </is>
      </c>
      <c r="I8" s="171" t="inlineStr">
        <is>
          <t>VALOR PEDIDO</t>
        </is>
      </c>
      <c r="J8" s="171" t="inlineStr">
        <is>
          <t>% NEG.</t>
        </is>
      </c>
      <c r="K8" s="171" t="inlineStr">
        <is>
          <t>VALOR NEGOCIADO</t>
        </is>
      </c>
      <c r="L8" s="171" t="inlineStr">
        <is>
          <t>ÁREA DE TERRENO (m²) – SI SE PUBLICA</t>
        </is>
      </c>
      <c r="M8" s="171" t="inlineStr">
        <is>
          <t>ÁREA CONSTRUIDA (m²) – MÁX. 100</t>
        </is>
      </c>
      <c r="N8" s="171" t="inlineStr">
        <is>
          <t>VALOR INTEGRAL $/m² CONSTRUIDO</t>
        </is>
      </c>
      <c r="O8" s="171" t="inlineStr">
        <is>
          <t>NORMA URBANÍSTICA (POT / tratamiento / uso)</t>
        </is>
      </c>
      <c r="P8" s="171" t="inlineStr">
        <is>
          <t>ESTRATO</t>
        </is>
      </c>
      <c r="Q8" s="171" t="inlineStr">
        <is>
          <t>OBSERVACIONES / DESCRIPCIÓN</t>
        </is>
      </c>
      <c r="R8" s="171" t="inlineStr">
        <is>
          <t>FUENTE (nombre)</t>
        </is>
      </c>
      <c r="S8" s="171" t="inlineStr">
        <is>
          <t>TELÉFONO</t>
        </is>
      </c>
      <c r="T8" s="171" t="inlineStr">
        <is>
          <t>ENLACE (URL)</t>
        </is>
      </c>
      <c r="U8" s="171" t="inlineStr">
        <is>
          <t>COMPARABILIDAD</t>
        </is>
      </c>
      <c r="V8" s="171" t="inlineStr">
        <is>
          <t>¿INCLUIR? (SÍ/NO)</t>
        </is>
      </c>
      <c r="W8" s="171" t="inlineStr">
        <is>
          <t>VALOR PARA ESTADÍSTICA ($/m² CONSTRUIDO)</t>
        </is>
      </c>
      <c r="X8" s="171" t="inlineStr">
        <is>
          <t>DIFERENCIA FRENTE AL PROMEDIO</t>
        </is>
      </c>
      <c r="Y8" s="171" t="inlineStr">
        <is>
          <t>¿DENTRO DE PROMEDIO ± DESV.? (informativo)</t>
        </is>
      </c>
      <c r="Z8" s="171" t="inlineStr">
        <is>
          <t>SOPORTE (captura)</t>
        </is>
      </c>
    </row>
    <row r="9" ht="61.95" customFormat="1" customHeight="1" s="186">
      <c r="A9" s="178">
        <f>'OFERTAS CASA-APTO BELLO'!A5</f>
        <v/>
      </c>
      <c r="B9" s="179">
        <f>'OFERTAS CASA-APTO BELLO'!B5</f>
        <v/>
      </c>
      <c r="C9" s="178">
        <f>'OFERTAS CASA-APTO BELLO'!C5</f>
        <v/>
      </c>
      <c r="D9" s="178" t="inlineStr">
        <is>
          <t>Oferta de venta</t>
        </is>
      </c>
      <c r="E9" s="178">
        <f>'OFERTAS CASA-APTO BELLO'!E5</f>
        <v/>
      </c>
      <c r="F9" s="178">
        <f>'OFERTAS CASA-APTO BELLO'!F5</f>
        <v/>
      </c>
      <c r="G9" s="178">
        <f>'OFERTAS CASA-APTO BELLO'!G5</f>
        <v/>
      </c>
      <c r="H9" s="178" t="n"/>
      <c r="I9" s="180">
        <f>'OFERTAS CASA-APTO BELLO'!H5</f>
        <v/>
      </c>
      <c r="J9" s="207">
        <f>'OFERTAS CASA-APTO BELLO'!I5</f>
        <v/>
      </c>
      <c r="K9" s="180">
        <f>IF(I9="","",I9*(1-J9))</f>
        <v/>
      </c>
      <c r="L9" s="182">
        <f>IF('OFERTAS CASA-APTO BELLO'!L5="","",'OFERTAS CASA-APTO BELLO'!L5)</f>
        <v/>
      </c>
      <c r="M9" s="182">
        <f>'OFERTAS CASA-APTO BELLO'!K5</f>
        <v/>
      </c>
      <c r="N9" s="183">
        <f>IF(OR(K9="",N(M9)&lt;=0),"",K9/M9)</f>
        <v/>
      </c>
      <c r="O9" s="178" t="inlineStr">
        <is>
          <t>Por verificar en POT de Bello (Acuerdo vigente)</t>
        </is>
      </c>
      <c r="P9" s="178">
        <f>IF('OFERTAS CASA-APTO BELLO'!N5="","",'OFERTAS CASA-APTO BELLO'!N5)</f>
        <v/>
      </c>
      <c r="Q9" s="178">
        <f>'OFERTAS CASA-APTO BELLO'!O5</f>
        <v/>
      </c>
      <c r="R9" s="178">
        <f>'OFERTAS CASA-APTO BELLO'!P5</f>
        <v/>
      </c>
      <c r="S9" s="178" t="inlineStr">
        <is>
          <t>Solicitar en portal</t>
        </is>
      </c>
      <c r="T9" s="184" t="inlineStr">
        <is>
          <t>https://www.fincaraiz.com.co/venta/altos-de-niquia/bello</t>
        </is>
      </c>
      <c r="U9" s="178">
        <f>'OFERTAS CASA-APTO BELLO'!R5</f>
        <v/>
      </c>
      <c r="V9" s="178" t="inlineStr">
        <is>
          <t>SÍ</t>
        </is>
      </c>
      <c r="W9" s="183">
        <f>IF(AND(V9="SÍ",ISNUMBER(N9)),N9,"")</f>
        <v/>
      </c>
      <c r="X9" s="185">
        <f>IF(W9="","",W9/$H$15-1)</f>
        <v/>
      </c>
      <c r="Y9" s="178">
        <f>IF(W9="","",IF(AND(W9&gt;=$H$25,W9&lt;=$H$26),"SÍ","NO"))</f>
        <v/>
      </c>
      <c r="Z9" s="178">
        <f>"OFERTA CASA "&amp;TEXT(A9,"00")</f>
        <v/>
      </c>
    </row>
    <row r="10" ht="61.95" customFormat="1" customHeight="1" s="186">
      <c r="A10" s="178">
        <f>'OFERTAS CASA-APTO BELLO'!A6</f>
        <v/>
      </c>
      <c r="B10" s="179">
        <f>'OFERTAS CASA-APTO BELLO'!B6</f>
        <v/>
      </c>
      <c r="C10" s="178">
        <f>'OFERTAS CASA-APTO BELLO'!C6</f>
        <v/>
      </c>
      <c r="D10" s="178" t="inlineStr">
        <is>
          <t>Oferta de venta</t>
        </is>
      </c>
      <c r="E10" s="178">
        <f>'OFERTAS CASA-APTO BELLO'!E6</f>
        <v/>
      </c>
      <c r="F10" s="178">
        <f>'OFERTAS CASA-APTO BELLO'!F6</f>
        <v/>
      </c>
      <c r="G10" s="178">
        <f>'OFERTAS CASA-APTO BELLO'!G6</f>
        <v/>
      </c>
      <c r="H10" s="178" t="n"/>
      <c r="I10" s="180">
        <f>'OFERTAS CASA-APTO BELLO'!H6</f>
        <v/>
      </c>
      <c r="J10" s="207">
        <f>'OFERTAS CASA-APTO BELLO'!I6</f>
        <v/>
      </c>
      <c r="K10" s="180">
        <f>IF(I10="","",I10*(1-J10))</f>
        <v/>
      </c>
      <c r="L10" s="182">
        <f>IF('OFERTAS CASA-APTO BELLO'!L6="","",'OFERTAS CASA-APTO BELLO'!L6)</f>
        <v/>
      </c>
      <c r="M10" s="182">
        <f>'OFERTAS CASA-APTO BELLO'!K6</f>
        <v/>
      </c>
      <c r="N10" s="183">
        <f>IF(OR(K10="",N(M10)&lt;=0),"",K10/M10)</f>
        <v/>
      </c>
      <c r="O10" s="178" t="inlineStr">
        <is>
          <t>Por verificar en POT de Bello (Acuerdo vigente)</t>
        </is>
      </c>
      <c r="P10" s="178">
        <f>IF('OFERTAS CASA-APTO BELLO'!N6="","",'OFERTAS CASA-APTO BELLO'!N6)</f>
        <v/>
      </c>
      <c r="Q10" s="178">
        <f>'OFERTAS CASA-APTO BELLO'!O6</f>
        <v/>
      </c>
      <c r="R10" s="178">
        <f>'OFERTAS CASA-APTO BELLO'!P6</f>
        <v/>
      </c>
      <c r="S10" s="178" t="inlineStr">
        <is>
          <t>Solicitar en portal</t>
        </is>
      </c>
      <c r="T10" s="184" t="inlineStr">
        <is>
          <t>https://www.fincaraiz.com.co/venta/altos-de-niquia/bello</t>
        </is>
      </c>
      <c r="U10" s="178">
        <f>'OFERTAS CASA-APTO BELLO'!R6</f>
        <v/>
      </c>
      <c r="V10" s="178" t="inlineStr">
        <is>
          <t>SÍ</t>
        </is>
      </c>
      <c r="W10" s="183">
        <f>IF(AND(V10="SÍ",ISNUMBER(N10)),N10,"")</f>
        <v/>
      </c>
      <c r="X10" s="185">
        <f>IF(W10="","",W10/$H$15-1)</f>
        <v/>
      </c>
      <c r="Y10" s="178">
        <f>IF(W10="","",IF(AND(W10&gt;=$H$25,W10&lt;=$H$26),"SÍ","NO"))</f>
        <v/>
      </c>
      <c r="Z10" s="178">
        <f>"OFERTA CASA "&amp;TEXT(A10,"00")</f>
        <v/>
      </c>
    </row>
    <row r="11" ht="61.95" customFormat="1" customHeight="1" s="186">
      <c r="A11" s="178">
        <f>'OFERTAS CASA-APTO BELLO'!A7</f>
        <v/>
      </c>
      <c r="B11" s="179">
        <f>'OFERTAS CASA-APTO BELLO'!B7</f>
        <v/>
      </c>
      <c r="C11" s="178">
        <f>'OFERTAS CASA-APTO BELLO'!C7</f>
        <v/>
      </c>
      <c r="D11" s="178" t="inlineStr">
        <is>
          <t>Oferta de venta</t>
        </is>
      </c>
      <c r="E11" s="178">
        <f>'OFERTAS CASA-APTO BELLO'!E7</f>
        <v/>
      </c>
      <c r="F11" s="178">
        <f>'OFERTAS CASA-APTO BELLO'!F7</f>
        <v/>
      </c>
      <c r="G11" s="178">
        <f>'OFERTAS CASA-APTO BELLO'!G7</f>
        <v/>
      </c>
      <c r="H11" s="178" t="n"/>
      <c r="I11" s="180">
        <f>'OFERTAS CASA-APTO BELLO'!H7</f>
        <v/>
      </c>
      <c r="J11" s="207">
        <f>'OFERTAS CASA-APTO BELLO'!I7</f>
        <v/>
      </c>
      <c r="K11" s="180">
        <f>IF(I11="","",I11*(1-J11))</f>
        <v/>
      </c>
      <c r="L11" s="182">
        <f>IF('OFERTAS CASA-APTO BELLO'!L7="","",'OFERTAS CASA-APTO BELLO'!L7)</f>
        <v/>
      </c>
      <c r="M11" s="182">
        <f>'OFERTAS CASA-APTO BELLO'!K7</f>
        <v/>
      </c>
      <c r="N11" s="183">
        <f>IF(OR(K11="",N(M11)&lt;=0),"",K11/M11)</f>
        <v/>
      </c>
      <c r="O11" s="178" t="inlineStr">
        <is>
          <t>Por verificar en POT de Bello (Acuerdo vigente)</t>
        </is>
      </c>
      <c r="P11" s="178">
        <f>IF('OFERTAS CASA-APTO BELLO'!N7="","",'OFERTAS CASA-APTO BELLO'!N7)</f>
        <v/>
      </c>
      <c r="Q11" s="178">
        <f>'OFERTAS CASA-APTO BELLO'!O7</f>
        <v/>
      </c>
      <c r="R11" s="178">
        <f>'OFERTAS CASA-APTO BELLO'!P7</f>
        <v/>
      </c>
      <c r="S11" s="178" t="inlineStr">
        <is>
          <t>Solicitar en portal</t>
        </is>
      </c>
      <c r="T11" s="184" t="inlineStr">
        <is>
          <t>https://www.fincaraiz.com.co/venta/casas/niquia/bello</t>
        </is>
      </c>
      <c r="U11" s="178">
        <f>'OFERTAS CASA-APTO BELLO'!R7</f>
        <v/>
      </c>
      <c r="V11" s="178" t="inlineStr">
        <is>
          <t>SÍ</t>
        </is>
      </c>
      <c r="W11" s="183">
        <f>IF(AND(V11="SÍ",ISNUMBER(N11)),N11,"")</f>
        <v/>
      </c>
      <c r="X11" s="185">
        <f>IF(W11="","",W11/$H$15-1)</f>
        <v/>
      </c>
      <c r="Y11" s="178">
        <f>IF(W11="","",IF(AND(W11&gt;=$H$25,W11&lt;=$H$26),"SÍ","NO"))</f>
        <v/>
      </c>
      <c r="Z11" s="178">
        <f>"OFERTA CASA "&amp;TEXT(A11,"00")</f>
        <v/>
      </c>
    </row>
    <row r="12">
      <c r="A12" s="116" t="n"/>
      <c r="B12" s="116" t="n"/>
      <c r="C12" s="116" t="n"/>
      <c r="D12" s="116" t="n"/>
      <c r="E12" s="116" t="n"/>
      <c r="F12" s="116" t="n"/>
      <c r="G12" s="116" t="n"/>
      <c r="H12" s="116" t="n"/>
      <c r="I12" s="116" t="n"/>
      <c r="J12" s="116" t="n"/>
      <c r="K12" s="116" t="n"/>
      <c r="L12" s="116" t="n"/>
      <c r="M12" s="116" t="n"/>
      <c r="N12" s="116" t="n"/>
      <c r="O12" s="116" t="n"/>
      <c r="P12" s="116" t="n"/>
      <c r="Q12" s="116" t="n"/>
      <c r="R12" s="116" t="n"/>
      <c r="S12" s="116" t="n"/>
      <c r="T12" s="116" t="n"/>
      <c r="U12" s="116" t="n"/>
      <c r="V12" s="116" t="n"/>
      <c r="W12" s="116" t="n"/>
      <c r="X12" s="116" t="n"/>
      <c r="Y12" s="116" t="n"/>
      <c r="Z12" s="116" t="n"/>
    </row>
    <row r="13" ht="30" customHeight="1" s="54">
      <c r="A13" s="177" t="inlineStr">
        <is>
          <t>ESTADÍSTICOS DE LA MUESTRA – VALOR INTEGRAL $/m² CONSTRUIDO (Res. 941, Art. 21)</t>
        </is>
      </c>
      <c r="B13" s="116" t="n"/>
      <c r="C13" s="116" t="n"/>
      <c r="D13" s="116" t="n"/>
      <c r="E13" s="116" t="n"/>
      <c r="F13" s="116" t="n"/>
      <c r="G13" s="176" t="inlineStr">
        <is>
          <t>ESTADÍSTICO</t>
        </is>
      </c>
      <c r="H13" s="176" t="inlineStr">
        <is>
          <t>VALOR</t>
        </is>
      </c>
      <c r="I13" s="116" t="n"/>
      <c r="J13" s="116" t="n"/>
      <c r="K13" s="116" t="n"/>
      <c r="L13" s="116" t="n"/>
      <c r="M13" s="116" t="n"/>
      <c r="N13" s="116" t="n"/>
      <c r="O13" s="116" t="n"/>
      <c r="P13" s="116" t="n"/>
      <c r="Q13" s="116" t="n"/>
      <c r="R13" s="116" t="n"/>
      <c r="S13" s="116" t="n"/>
      <c r="T13" s="116" t="n"/>
      <c r="U13" s="116" t="n"/>
      <c r="V13" s="116" t="n"/>
      <c r="W13" s="116" t="n"/>
      <c r="X13" s="116" t="n"/>
      <c r="Y13" s="116" t="n"/>
      <c r="Z13" s="116" t="n"/>
    </row>
    <row r="14">
      <c r="A14" s="116" t="n"/>
      <c r="B14" s="116" t="n"/>
      <c r="C14" s="116" t="n"/>
      <c r="D14" s="116" t="n"/>
      <c r="E14" s="116" t="n"/>
      <c r="F14" s="116" t="n"/>
      <c r="G14" s="122" t="inlineStr">
        <is>
          <t>Nº DE OFERTAS INCLUIDAS</t>
        </is>
      </c>
      <c r="H14" s="123">
        <f>COUNT($W$9:$W$11)</f>
        <v/>
      </c>
      <c r="I14" s="116" t="n"/>
      <c r="J14" s="116" t="n"/>
      <c r="K14" s="116" t="n"/>
      <c r="L14" s="116" t="n"/>
      <c r="M14" s="116" t="n"/>
      <c r="N14" s="116" t="n"/>
      <c r="O14" s="116" t="n"/>
      <c r="P14" s="116" t="n"/>
      <c r="Q14" s="116" t="n"/>
      <c r="R14" s="116" t="n"/>
      <c r="S14" s="116" t="n"/>
      <c r="T14" s="116" t="n"/>
      <c r="U14" s="116" t="n"/>
      <c r="V14" s="116" t="n"/>
      <c r="W14" s="116" t="n"/>
      <c r="X14" s="116" t="n"/>
      <c r="Y14" s="116" t="n"/>
      <c r="Z14" s="116" t="n"/>
    </row>
    <row r="15">
      <c r="A15" s="116" t="n"/>
      <c r="B15" s="116" t="n"/>
      <c r="C15" s="116" t="n"/>
      <c r="D15" s="116" t="n"/>
      <c r="E15" s="116" t="n"/>
      <c r="F15" s="116" t="n"/>
      <c r="G15" s="122" t="inlineStr">
        <is>
          <t>PROMEDIO (media aritmética)</t>
        </is>
      </c>
      <c r="H15" s="124">
        <f>IFERROR(AVERAGE($W$9:$W$11),"")</f>
        <v/>
      </c>
      <c r="I15" s="116" t="n"/>
      <c r="J15" s="116" t="n"/>
      <c r="K15" s="116" t="n"/>
      <c r="L15" s="116" t="n"/>
      <c r="M15" s="116" t="n"/>
      <c r="N15" s="116" t="n"/>
      <c r="O15" s="116" t="n"/>
      <c r="P15" s="116" t="n"/>
      <c r="Q15" s="116" t="n"/>
      <c r="R15" s="116" t="n"/>
      <c r="S15" s="116" t="n"/>
      <c r="T15" s="116" t="n"/>
      <c r="U15" s="116" t="n"/>
      <c r="V15" s="116" t="n"/>
      <c r="W15" s="116" t="n"/>
      <c r="X15" s="116" t="n"/>
      <c r="Y15" s="116" t="n"/>
      <c r="Z15" s="116" t="n"/>
    </row>
    <row r="16">
      <c r="A16" s="116" t="n"/>
      <c r="B16" s="116" t="n"/>
      <c r="C16" s="116" t="n"/>
      <c r="D16" s="116" t="n"/>
      <c r="E16" s="116" t="n"/>
      <c r="F16" s="116" t="n"/>
      <c r="G16" s="122" t="inlineStr">
        <is>
          <t>MEDIANA</t>
        </is>
      </c>
      <c r="H16" s="124">
        <f>IFERROR(MEDIAN($W$9:$W$11),"")</f>
        <v/>
      </c>
      <c r="I16" s="116" t="n"/>
      <c r="J16" s="116" t="n"/>
      <c r="K16" s="116" t="n"/>
      <c r="L16" s="116" t="n"/>
      <c r="M16" s="116" t="n"/>
      <c r="N16" s="116" t="n"/>
      <c r="O16" s="116" t="n"/>
      <c r="P16" s="116" t="n"/>
      <c r="Q16" s="116" t="n"/>
      <c r="R16" s="116" t="n"/>
      <c r="S16" s="116" t="n"/>
      <c r="T16" s="116" t="n"/>
      <c r="U16" s="116" t="n"/>
      <c r="V16" s="116" t="n"/>
      <c r="W16" s="116" t="n"/>
      <c r="X16" s="116" t="n"/>
      <c r="Y16" s="116" t="n"/>
      <c r="Z16" s="116" t="n"/>
    </row>
    <row r="17">
      <c r="A17" s="116" t="n"/>
      <c r="B17" s="116" t="n"/>
      <c r="C17" s="116" t="n"/>
      <c r="D17" s="116" t="n"/>
      <c r="E17" s="116" t="n"/>
      <c r="F17" s="116" t="n"/>
      <c r="G17" s="122" t="inlineStr">
        <is>
          <t>DESVIACIÓN ESTÁNDAR (muestral)</t>
        </is>
      </c>
      <c r="H17" s="124">
        <f>IFERROR(_xlfn.STDEV.S($W$9:$W$11),"")</f>
        <v/>
      </c>
      <c r="I17" s="116" t="n"/>
      <c r="J17" s="116" t="n"/>
      <c r="K17" s="116" t="n"/>
      <c r="L17" s="116" t="n"/>
      <c r="M17" s="116" t="n"/>
      <c r="N17" s="116" t="n"/>
      <c r="O17" s="116" t="n"/>
      <c r="P17" s="116" t="n"/>
      <c r="Q17" s="116" t="n"/>
      <c r="R17" s="116" t="n"/>
      <c r="S17" s="116" t="n"/>
      <c r="T17" s="116" t="n"/>
      <c r="U17" s="116" t="n"/>
      <c r="V17" s="116" t="n"/>
      <c r="W17" s="116" t="n"/>
      <c r="X17" s="116" t="n"/>
      <c r="Y17" s="116" t="n"/>
      <c r="Z17" s="116" t="n"/>
    </row>
    <row r="18">
      <c r="A18" s="116" t="n"/>
      <c r="B18" s="116" t="n"/>
      <c r="C18" s="116" t="n"/>
      <c r="D18" s="116" t="n"/>
      <c r="E18" s="116" t="n"/>
      <c r="F18" s="116" t="n"/>
      <c r="G18" s="122" t="inlineStr">
        <is>
          <t>VARIANZA (muestral)</t>
        </is>
      </c>
      <c r="H18" s="173">
        <f>IFERROR(_xlfn.VAR.S($W$9:$W$11),"")</f>
        <v/>
      </c>
      <c r="I18" s="116" t="n"/>
      <c r="J18" s="116" t="n"/>
      <c r="K18" s="116" t="n"/>
      <c r="L18" s="116" t="n"/>
      <c r="M18" s="116" t="n"/>
      <c r="N18" s="116" t="n"/>
      <c r="O18" s="116" t="n"/>
      <c r="P18" s="116" t="n"/>
      <c r="Q18" s="116" t="n"/>
      <c r="R18" s="116" t="n"/>
      <c r="S18" s="116" t="n"/>
      <c r="T18" s="116" t="n"/>
      <c r="U18" s="116" t="n"/>
      <c r="V18" s="116" t="n"/>
      <c r="W18" s="116" t="n"/>
      <c r="X18" s="116" t="n"/>
      <c r="Y18" s="116" t="n"/>
      <c r="Z18" s="116" t="n"/>
    </row>
    <row r="19">
      <c r="A19" s="116" t="n"/>
      <c r="B19" s="116" t="n"/>
      <c r="C19" s="116" t="n"/>
      <c r="D19" s="116" t="n"/>
      <c r="E19" s="116" t="n"/>
      <c r="F19" s="116" t="n"/>
      <c r="G19" s="122" t="inlineStr">
        <is>
          <t>COEFICIENTE DE VARIACIÓN</t>
        </is>
      </c>
      <c r="H19" s="125">
        <f>IFERROR(H17/H15,"")</f>
        <v/>
      </c>
      <c r="I19" s="116" t="n"/>
      <c r="J19" s="116" t="n"/>
      <c r="K19" s="116" t="n"/>
      <c r="L19" s="116" t="n"/>
      <c r="M19" s="116" t="n"/>
      <c r="N19" s="116" t="n"/>
      <c r="O19" s="116" t="n"/>
      <c r="P19" s="116" t="n"/>
      <c r="Q19" s="116" t="n"/>
      <c r="R19" s="116" t="n"/>
      <c r="S19" s="116" t="n"/>
      <c r="T19" s="116" t="n"/>
      <c r="U19" s="116" t="n"/>
      <c r="V19" s="116" t="n"/>
      <c r="W19" s="116" t="n"/>
      <c r="X19" s="116" t="n"/>
      <c r="Y19" s="116" t="n"/>
      <c r="Z19" s="116" t="n"/>
    </row>
    <row r="20">
      <c r="A20" s="116" t="n"/>
      <c r="B20" s="116" t="n"/>
      <c r="C20" s="116" t="n"/>
      <c r="D20" s="116" t="n"/>
      <c r="E20" s="116" t="n"/>
      <c r="F20" s="116" t="n"/>
      <c r="G20" s="122" t="inlineStr">
        <is>
          <t>VALOR MÍNIMO</t>
        </is>
      </c>
      <c r="H20" s="124">
        <f>IF(H14=0,"",MIN($W$9:$W$11))</f>
        <v/>
      </c>
      <c r="I20" s="116" t="n"/>
      <c r="J20" s="116" t="n"/>
      <c r="K20" s="116" t="n"/>
      <c r="L20" s="116" t="n"/>
      <c r="M20" s="116" t="n"/>
      <c r="N20" s="116" t="n"/>
      <c r="O20" s="116" t="n"/>
      <c r="P20" s="116" t="n"/>
      <c r="Q20" s="116" t="n"/>
      <c r="R20" s="116" t="n"/>
      <c r="S20" s="116" t="n"/>
      <c r="T20" s="116" t="n"/>
      <c r="U20" s="116" t="n"/>
      <c r="V20" s="116" t="n"/>
      <c r="W20" s="116" t="n"/>
      <c r="X20" s="116" t="n"/>
      <c r="Y20" s="116" t="n"/>
      <c r="Z20" s="116" t="n"/>
    </row>
    <row r="21">
      <c r="A21" s="116" t="n"/>
      <c r="B21" s="116" t="n"/>
      <c r="C21" s="116" t="n"/>
      <c r="D21" s="116" t="n"/>
      <c r="E21" s="116" t="n"/>
      <c r="F21" s="116" t="n"/>
      <c r="G21" s="122" t="inlineStr">
        <is>
          <t>VALOR MÁXIMO</t>
        </is>
      </c>
      <c r="H21" s="124">
        <f>IF(H14=0,"",MAX($W$9:$W$11))</f>
        <v/>
      </c>
      <c r="I21" s="116" t="n"/>
      <c r="J21" s="116" t="n"/>
      <c r="K21" s="116" t="n"/>
      <c r="L21" s="116" t="n"/>
      <c r="M21" s="116" t="n"/>
      <c r="N21" s="116" t="n"/>
      <c r="O21" s="116" t="n"/>
      <c r="P21" s="116" t="n"/>
      <c r="Q21" s="116" t="n"/>
      <c r="R21" s="116" t="n"/>
      <c r="S21" s="116" t="n"/>
      <c r="T21" s="116" t="n"/>
      <c r="U21" s="116" t="n"/>
      <c r="V21" s="116" t="n"/>
      <c r="W21" s="116" t="n"/>
      <c r="X21" s="116" t="n"/>
      <c r="Y21" s="116" t="n"/>
      <c r="Z21" s="116" t="n"/>
    </row>
    <row r="22">
      <c r="A22" s="116" t="n"/>
      <c r="B22" s="116" t="n"/>
      <c r="C22" s="116" t="n"/>
      <c r="D22" s="116" t="n"/>
      <c r="E22" s="116" t="n"/>
      <c r="F22" s="116" t="n"/>
      <c r="G22" s="122" t="inlineStr">
        <is>
          <t>RANGO (máximo − mínimo)</t>
        </is>
      </c>
      <c r="H22" s="124">
        <f>IFERROR(H21-H20,"")</f>
        <v/>
      </c>
      <c r="I22" s="116" t="n"/>
      <c r="J22" s="116" t="n"/>
      <c r="K22" s="116" t="n"/>
      <c r="L22" s="116" t="n"/>
      <c r="M22" s="116" t="n"/>
      <c r="N22" s="116" t="n"/>
      <c r="O22" s="116" t="n"/>
      <c r="P22" s="116" t="n"/>
      <c r="Q22" s="116" t="n"/>
      <c r="R22" s="116" t="n"/>
      <c r="S22" s="116" t="n"/>
      <c r="T22" s="116" t="n"/>
      <c r="U22" s="116" t="n"/>
      <c r="V22" s="116" t="n"/>
      <c r="W22" s="116" t="n"/>
      <c r="X22" s="116" t="n"/>
      <c r="Y22" s="116" t="n"/>
      <c r="Z22" s="116" t="n"/>
    </row>
    <row r="23">
      <c r="A23" s="116" t="n"/>
      <c r="B23" s="116" t="n"/>
      <c r="C23" s="116" t="n"/>
      <c r="D23" s="116" t="n"/>
      <c r="E23" s="116" t="n"/>
      <c r="F23" s="116" t="n"/>
      <c r="G23" s="122" t="inlineStr">
        <is>
          <t>ERROR ESTÁNDAR DE LA MEDIA</t>
        </is>
      </c>
      <c r="H23" s="124">
        <f>IFERROR(H17/SQRT(H14),"")</f>
        <v/>
      </c>
      <c r="I23" s="116" t="n"/>
      <c r="J23" s="116" t="n"/>
      <c r="K23" s="116" t="n"/>
      <c r="L23" s="116" t="n"/>
      <c r="M23" s="116" t="n"/>
      <c r="N23" s="116" t="n"/>
      <c r="O23" s="116" t="n"/>
      <c r="P23" s="116" t="n"/>
      <c r="Q23" s="116" t="n"/>
      <c r="R23" s="116" t="n"/>
      <c r="S23" s="116" t="n"/>
      <c r="T23" s="116" t="n"/>
      <c r="U23" s="116" t="n"/>
      <c r="V23" s="116" t="n"/>
      <c r="W23" s="116" t="n"/>
      <c r="X23" s="116" t="n"/>
      <c r="Y23" s="116" t="n"/>
      <c r="Z23" s="116" t="n"/>
    </row>
    <row r="24">
      <c r="A24" s="116" t="n"/>
      <c r="B24" s="116" t="n"/>
      <c r="C24" s="116" t="n"/>
      <c r="D24" s="116" t="n"/>
      <c r="E24" s="116" t="n"/>
      <c r="F24" s="116" t="n"/>
      <c r="G24" s="122" t="inlineStr">
        <is>
          <t>COEFICIENTE DE ASIMETRÍA</t>
        </is>
      </c>
      <c r="H24" s="126">
        <f>IFERROR(SKEW($W$9:$W$11),"")</f>
        <v/>
      </c>
      <c r="I24" s="116" t="n"/>
      <c r="J24" s="116" t="n"/>
      <c r="K24" s="116" t="n"/>
      <c r="L24" s="116" t="n"/>
      <c r="M24" s="116" t="n"/>
      <c r="N24" s="116" t="n"/>
      <c r="O24" s="116" t="n"/>
      <c r="P24" s="116" t="n"/>
      <c r="Q24" s="116" t="n"/>
      <c r="R24" s="116" t="n"/>
      <c r="S24" s="116" t="n"/>
      <c r="T24" s="116" t="n"/>
      <c r="U24" s="116" t="n"/>
      <c r="V24" s="116" t="n"/>
      <c r="W24" s="116" t="n"/>
      <c r="X24" s="116" t="n"/>
      <c r="Y24" s="116" t="n"/>
      <c r="Z24" s="116" t="n"/>
    </row>
    <row r="25">
      <c r="A25" s="116" t="n"/>
      <c r="B25" s="116" t="n"/>
      <c r="C25" s="116" t="n"/>
      <c r="D25" s="116" t="n"/>
      <c r="E25" s="116" t="n"/>
      <c r="F25" s="116" t="n"/>
      <c r="G25" s="122" t="inlineStr">
        <is>
          <t>LÍMITE INFERIOR (promedio − desv.)</t>
        </is>
      </c>
      <c r="H25" s="124">
        <f>IFERROR(H15-H17,"")</f>
        <v/>
      </c>
      <c r="I25" s="116" t="n"/>
      <c r="J25" s="116" t="n"/>
      <c r="K25" s="116" t="n"/>
      <c r="L25" s="116" t="n"/>
      <c r="M25" s="116" t="n"/>
      <c r="N25" s="116" t="n"/>
      <c r="O25" s="116" t="n"/>
      <c r="P25" s="116" t="n"/>
      <c r="Q25" s="116" t="n"/>
      <c r="R25" s="116" t="n"/>
      <c r="S25" s="116" t="n"/>
      <c r="T25" s="116" t="n"/>
      <c r="U25" s="116" t="n"/>
      <c r="V25" s="116" t="n"/>
      <c r="W25" s="116" t="n"/>
      <c r="X25" s="116" t="n"/>
      <c r="Y25" s="116" t="n"/>
      <c r="Z25" s="116" t="n"/>
    </row>
    <row r="26">
      <c r="A26" s="116" t="n"/>
      <c r="B26" s="116" t="n"/>
      <c r="C26" s="116" t="n"/>
      <c r="D26" s="116" t="n"/>
      <c r="E26" s="116" t="n"/>
      <c r="F26" s="116" t="n"/>
      <c r="G26" s="122" t="inlineStr">
        <is>
          <t>LÍMITE SUPERIOR (promedio + desv.)</t>
        </is>
      </c>
      <c r="H26" s="124">
        <f>IFERROR(H15+H17,"")</f>
        <v/>
      </c>
      <c r="I26" s="116" t="n"/>
      <c r="J26" s="116" t="n"/>
      <c r="K26" s="116" t="n"/>
      <c r="L26" s="116" t="n"/>
      <c r="M26" s="116" t="n"/>
      <c r="N26" s="116" t="n"/>
      <c r="O26" s="116" t="n"/>
      <c r="P26" s="116" t="n"/>
      <c r="Q26" s="116" t="n"/>
      <c r="R26" s="116" t="n"/>
      <c r="S26" s="116" t="n"/>
      <c r="T26" s="116" t="n"/>
      <c r="U26" s="116" t="n"/>
      <c r="V26" s="116" t="n"/>
      <c r="W26" s="116" t="n"/>
      <c r="X26" s="116" t="n"/>
      <c r="Y26" s="116" t="n"/>
      <c r="Z26" s="116" t="n"/>
    </row>
    <row r="27">
      <c r="A27" s="116" t="n"/>
      <c r="B27" s="116" t="n"/>
      <c r="C27" s="116" t="n"/>
      <c r="D27" s="116" t="n"/>
      <c r="E27" s="116" t="n"/>
      <c r="F27" s="116" t="n"/>
      <c r="G27" s="122" t="inlineStr">
        <is>
          <t>CV MÁXIMO ADMISIBLE (DATOS, urbano)</t>
        </is>
      </c>
      <c r="H27" s="174">
        <f>DATOS!$C$16</f>
        <v/>
      </c>
      <c r="I27" s="116" t="n"/>
      <c r="J27" s="116" t="n"/>
      <c r="K27" s="116" t="n"/>
      <c r="L27" s="116" t="n"/>
      <c r="M27" s="116" t="n"/>
      <c r="N27" s="116" t="n"/>
      <c r="O27" s="116" t="n"/>
      <c r="P27" s="116" t="n"/>
      <c r="Q27" s="116" t="n"/>
      <c r="R27" s="116" t="n"/>
      <c r="S27" s="116" t="n"/>
      <c r="T27" s="116" t="n"/>
      <c r="U27" s="116" t="n"/>
      <c r="V27" s="116" t="n"/>
      <c r="W27" s="116" t="n"/>
      <c r="X27" s="116" t="n"/>
      <c r="Y27" s="116" t="n"/>
      <c r="Z27" s="116" t="n"/>
    </row>
    <row r="28">
      <c r="A28" s="116" t="n"/>
      <c r="B28" s="116" t="n"/>
      <c r="C28" s="116" t="n"/>
      <c r="D28" s="116" t="n"/>
      <c r="E28" s="116" t="n"/>
      <c r="F28" s="116" t="n"/>
      <c r="G28" s="122" t="inlineStr">
        <is>
          <t>¿CV ≤ MÁXIMO?</t>
        </is>
      </c>
      <c r="H28" s="127">
        <f>IF(ISNUMBER(H19),IF(H19&lt;=H27,"SÍ","NO"),"")</f>
        <v/>
      </c>
      <c r="I28" s="116" t="n"/>
      <c r="J28" s="116" t="n"/>
      <c r="K28" s="116" t="n"/>
      <c r="L28" s="116" t="n"/>
      <c r="M28" s="116" t="n"/>
      <c r="N28" s="116" t="n"/>
      <c r="O28" s="116" t="n"/>
      <c r="P28" s="116" t="n"/>
      <c r="Q28" s="116" t="n"/>
      <c r="R28" s="116" t="n"/>
      <c r="S28" s="116" t="n"/>
      <c r="T28" s="116" t="n"/>
      <c r="U28" s="116" t="n"/>
      <c r="V28" s="116" t="n"/>
      <c r="W28" s="116" t="n"/>
      <c r="X28" s="116" t="n"/>
      <c r="Y28" s="116" t="n"/>
      <c r="Z28" s="116" t="n"/>
    </row>
    <row r="29">
      <c r="A29" s="116" t="n"/>
      <c r="B29" s="116" t="n"/>
      <c r="C29" s="116" t="n"/>
      <c r="D29" s="116" t="n"/>
      <c r="E29" s="116" t="n"/>
      <c r="F29" s="116" t="n"/>
      <c r="G29" s="122" t="inlineStr">
        <is>
          <t>MÍNIMO DE OFERTAS (DATOS)</t>
        </is>
      </c>
      <c r="H29" s="175">
        <f>DATOS!$C$19</f>
        <v/>
      </c>
      <c r="I29" s="116" t="n"/>
      <c r="J29" s="116" t="n"/>
      <c r="K29" s="116" t="n"/>
      <c r="L29" s="116" t="n"/>
      <c r="M29" s="116" t="n"/>
      <c r="N29" s="116" t="n"/>
      <c r="O29" s="116" t="n"/>
      <c r="P29" s="116" t="n"/>
      <c r="Q29" s="116" t="n"/>
      <c r="R29" s="116" t="n"/>
      <c r="S29" s="116" t="n"/>
      <c r="T29" s="116" t="n"/>
      <c r="U29" s="116" t="n"/>
      <c r="V29" s="116" t="n"/>
      <c r="W29" s="116" t="n"/>
      <c r="X29" s="116" t="n"/>
      <c r="Y29" s="116" t="n"/>
      <c r="Z29" s="116" t="n"/>
    </row>
    <row r="30">
      <c r="A30" s="116" t="n"/>
      <c r="B30" s="116" t="n"/>
      <c r="C30" s="116" t="n"/>
      <c r="D30" s="116" t="n"/>
      <c r="E30" s="116" t="n"/>
      <c r="F30" s="116" t="n"/>
      <c r="G30" s="122" t="inlineStr">
        <is>
          <t>¿CUMPLE EL MÍNIMO DE OFERTAS?</t>
        </is>
      </c>
      <c r="H30" s="127">
        <f>IF(H14&gt;=H29,"SÍ","NO")</f>
        <v/>
      </c>
      <c r="I30" s="116" t="n"/>
      <c r="J30" s="116" t="n"/>
      <c r="K30" s="116" t="n"/>
      <c r="L30" s="116" t="n"/>
      <c r="M30" s="116" t="n"/>
      <c r="N30" s="116" t="n"/>
      <c r="O30" s="116" t="n"/>
      <c r="P30" s="116" t="n"/>
      <c r="Q30" s="116" t="n"/>
      <c r="R30" s="116" t="n"/>
      <c r="S30" s="116" t="n"/>
      <c r="T30" s="116" t="n"/>
      <c r="U30" s="116" t="n"/>
      <c r="V30" s="116" t="n"/>
      <c r="W30" s="116" t="n"/>
      <c r="X30" s="116" t="n"/>
      <c r="Y30" s="116" t="n"/>
      <c r="Z30" s="116" t="n"/>
    </row>
    <row r="31">
      <c r="A31" s="116" t="n"/>
      <c r="B31" s="116" t="n"/>
      <c r="C31" s="116" t="n"/>
      <c r="D31" s="116" t="n"/>
      <c r="E31" s="116" t="n"/>
      <c r="F31" s="116" t="n"/>
      <c r="G31" s="130" t="inlineStr">
        <is>
          <t>VALOR ADOPTADO $/m² (promedio redondeado a 100)</t>
        </is>
      </c>
      <c r="H31" s="131">
        <f>IF(AND(H30="SÍ",H28="SÍ"),ROUND(H15,-2),"NO CUMPLE")</f>
        <v/>
      </c>
      <c r="I31" s="116" t="n"/>
      <c r="J31" s="116" t="n"/>
      <c r="K31" s="116" t="n"/>
      <c r="L31" s="116" t="n"/>
      <c r="M31" s="116" t="n"/>
      <c r="N31" s="116" t="n"/>
      <c r="O31" s="116" t="n"/>
      <c r="P31" s="116" t="n"/>
      <c r="Q31" s="116" t="n"/>
      <c r="R31" s="116" t="n"/>
      <c r="S31" s="116" t="n"/>
      <c r="T31" s="116" t="n"/>
      <c r="U31" s="116" t="n"/>
      <c r="V31" s="116" t="n"/>
      <c r="W31" s="116" t="n"/>
      <c r="X31" s="116" t="n"/>
      <c r="Y31" s="116" t="n"/>
      <c r="Z31" s="116" t="n"/>
    </row>
    <row r="32" ht="40.05" customHeight="1" s="54">
      <c r="A32" s="116" t="n"/>
      <c r="B32" s="116" t="n"/>
      <c r="C32" s="116" t="n"/>
      <c r="D32" s="116" t="n"/>
      <c r="E32" s="116" t="n"/>
      <c r="F32" s="116" t="n"/>
      <c r="G32" s="118" t="inlineStr">
        <is>
          <t>DICTAMEN</t>
        </is>
      </c>
      <c r="H32" s="172">
        <f>IF(H14&lt;H29,"Sin datos suficientes: se requieren al menos "&amp;H29&amp;" ofertas.",IF(H19&lt;=H27,"CUMPLE: el valor de $ "&amp;FIXED(H31,0)&amp;" /m² se soporta en "&amp;H14&amp;" ofertas con CV de "&amp;ROUND(H19*100,2)&amp;" % (máximo "&amp;ROUND(H27*100,2)&amp;" %, Res. 941 Art. 21).","NO CUMPLE: el CV de "&amp;ROUND(H19*100,2)&amp;" % supera el máximo de "&amp;ROUND(H27*100,2)&amp;" %."))</f>
        <v/>
      </c>
      <c r="O32" s="116" t="n"/>
      <c r="P32" s="116" t="n"/>
      <c r="Q32" s="116" t="n"/>
      <c r="R32" s="116" t="n"/>
      <c r="S32" s="116" t="n"/>
      <c r="T32" s="116" t="n"/>
      <c r="U32" s="116" t="n"/>
      <c r="V32" s="116" t="n"/>
      <c r="W32" s="116" t="n"/>
      <c r="X32" s="116" t="n"/>
      <c r="Y32" s="116" t="n"/>
      <c r="Z32" s="116" t="n"/>
    </row>
  </sheetData>
  <mergeCells count="10">
    <mergeCell ref="H32:N32"/>
    <mergeCell ref="D6:H6"/>
    <mergeCell ref="A5:C5"/>
    <mergeCell ref="A6:C6"/>
    <mergeCell ref="D5:H5"/>
    <mergeCell ref="A3:C3"/>
    <mergeCell ref="D4:H4"/>
    <mergeCell ref="A4:C4"/>
    <mergeCell ref="D3:H3"/>
    <mergeCell ref="A1:N1"/>
  </mergeCells>
  <hyperlinks>
    <hyperlink xmlns:r="http://schemas.openxmlformats.org/officeDocument/2006/relationships" ref="T9" r:id="rId1"/>
    <hyperlink xmlns:r="http://schemas.openxmlformats.org/officeDocument/2006/relationships" ref="T10" r:id="rId2"/>
    <hyperlink xmlns:r="http://schemas.openxmlformats.org/officeDocument/2006/relationships" ref="T11" r:id="rId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B165"/>
  <sheetViews>
    <sheetView workbookViewId="0">
      <selection activeCell="D9" sqref="D9"/>
    </sheetView>
  </sheetViews>
  <sheetFormatPr baseColWidth="10" defaultRowHeight="14.4"/>
  <cols>
    <col width="15.6640625" customWidth="1" style="54" min="1" max="1"/>
    <col width="12.88671875" customWidth="1" style="54" min="2" max="2"/>
    <col width="10.109375" customWidth="1" style="54" min="3" max="3"/>
    <col width="27.6640625" customWidth="1" style="54" min="4" max="4"/>
    <col width="15.33203125" customWidth="1" style="54" min="5" max="5"/>
    <col width="9.5546875" customWidth="1" style="54" min="6" max="6"/>
    <col width="13.109375" customWidth="1" style="54" min="7" max="7"/>
    <col width="11.44140625" customWidth="1" style="54" min="8" max="8"/>
    <col width="16.6640625" customWidth="1" style="54" min="9" max="10"/>
    <col width="12.88671875" customWidth="1" style="54" min="11" max="11"/>
    <col width="16.6640625" customWidth="1" style="54" min="12" max="13"/>
    <col width="11.109375" customWidth="1" style="54" min="14" max="14"/>
    <col width="6.33203125" customWidth="1" style="54" min="15" max="28"/>
  </cols>
  <sheetData>
    <row r="1" ht="15.6" customHeight="1" s="54">
      <c r="A1" s="137" t="inlineStr">
        <is>
          <t>COMBINACIONES DE OFERTAS – CASA Y APARTAMENTO EN BELLO – VALOR INTEGRAL $/m² CONSTRUIDO</t>
        </is>
      </c>
      <c r="B1" s="115" t="n"/>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c r="AA1" s="115" t="n"/>
      <c r="AB1" s="115" t="n"/>
    </row>
    <row r="2" ht="37.95" customHeight="1" s="54">
      <c r="A2" s="138" t="inlineStr">
        <is>
          <t>Todas las combinaciones posibles de mínimo 3 ofertas (sin descartar ninguna oferta) cuyo coeficiente de variación queda dentro del máximo admisible. Cada fila marca con 1 las ofertas que la componen; los estadísticos son fórmulas sobre la hoja OFERTAS CASA-APTO BELLO.</t>
        </is>
      </c>
      <c r="O2" s="115" t="n"/>
      <c r="P2" s="115" t="n"/>
      <c r="Q2" s="115" t="n"/>
      <c r="R2" s="115" t="n"/>
      <c r="S2" s="115" t="n"/>
      <c r="T2" s="115" t="n"/>
      <c r="U2" s="115" t="n"/>
      <c r="V2" s="115" t="n"/>
      <c r="W2" s="115" t="n"/>
      <c r="X2" s="115" t="n"/>
      <c r="Y2" s="115" t="n"/>
      <c r="Z2" s="115" t="n"/>
      <c r="AA2" s="115" t="n"/>
      <c r="AB2" s="115" t="n"/>
    </row>
    <row r="3">
      <c r="A3" s="115" t="n"/>
      <c r="B3" s="115" t="n"/>
      <c r="C3" s="115" t="n"/>
      <c r="D3" s="115" t="n"/>
      <c r="E3" s="115" t="n"/>
      <c r="F3" s="115" t="n"/>
      <c r="G3" s="142" t="inlineStr">
        <is>
          <t>RESUMEN</t>
        </is>
      </c>
      <c r="H3" s="142" t="inlineStr">
        <is>
          <t>CASAS</t>
        </is>
      </c>
      <c r="I3" s="142" t="inlineStr">
        <is>
          <t>APARTAMENTOS</t>
        </is>
      </c>
      <c r="J3" s="142" t="inlineStr">
        <is>
          <t>TODAS</t>
        </is>
      </c>
      <c r="K3" s="115" t="n"/>
      <c r="L3" s="115" t="n"/>
      <c r="M3" s="115" t="n"/>
      <c r="N3" s="115" t="n"/>
      <c r="O3" s="115" t="n"/>
      <c r="P3" s="115" t="n"/>
      <c r="Q3" s="115" t="n"/>
      <c r="R3" s="115" t="n"/>
      <c r="S3" s="115" t="n"/>
      <c r="T3" s="115" t="n"/>
      <c r="U3" s="115" t="n"/>
      <c r="V3" s="115" t="n"/>
      <c r="W3" s="115" t="n"/>
      <c r="X3" s="115" t="n"/>
      <c r="Y3" s="115" t="n"/>
      <c r="Z3" s="115" t="n"/>
      <c r="AA3" s="115" t="n"/>
      <c r="AB3" s="115" t="n"/>
    </row>
    <row r="4" ht="25.95" customHeight="1" s="54">
      <c r="A4" s="139" t="inlineStr">
        <is>
          <t>CV máximo admisible (DATOS, urbano)</t>
        </is>
      </c>
      <c r="B4" s="115" t="n"/>
      <c r="C4" s="115" t="n"/>
      <c r="D4" s="208">
        <f>DATOS!$C$16</f>
        <v/>
      </c>
      <c r="E4" s="115" t="n"/>
      <c r="F4" s="115" t="n"/>
      <c r="G4" s="165" t="inlineStr">
        <is>
          <t>Nº de combinaciones</t>
        </is>
      </c>
      <c r="H4" s="143">
        <f>COUNTIF($A$9:$A$165,"Casas")</f>
        <v/>
      </c>
      <c r="I4" s="143">
        <f>COUNTIF($A$9:$A$165,"Apartamentos")</f>
        <v/>
      </c>
      <c r="J4" s="143">
        <f>COUNTIF($A$9:$A$165,"Todas")</f>
        <v/>
      </c>
      <c r="K4" s="115" t="n"/>
      <c r="L4" s="115" t="n"/>
      <c r="M4" s="115" t="n"/>
      <c r="N4" s="115" t="n"/>
      <c r="O4" s="115" t="n"/>
      <c r="P4" s="115" t="n"/>
      <c r="Q4" s="115" t="n"/>
      <c r="R4" s="115" t="n"/>
      <c r="S4" s="115" t="n"/>
      <c r="T4" s="115" t="n"/>
      <c r="U4" s="115" t="n"/>
      <c r="V4" s="115" t="n"/>
      <c r="W4" s="115" t="n"/>
      <c r="X4" s="115" t="n"/>
      <c r="Y4" s="115" t="n"/>
      <c r="Z4" s="115" t="n"/>
      <c r="AA4" s="115" t="n"/>
      <c r="AB4" s="115" t="n"/>
    </row>
    <row r="5" ht="25.95" customHeight="1" s="54">
      <c r="A5" s="139" t="inlineStr">
        <is>
          <t>Mínimo de ofertas por combinación (DATOS)</t>
        </is>
      </c>
      <c r="B5" s="115" t="n"/>
      <c r="C5" s="115" t="n"/>
      <c r="D5" s="141">
        <f>DATOS!$C$19</f>
        <v/>
      </c>
      <c r="E5" s="115" t="n"/>
      <c r="F5" s="115" t="n"/>
      <c r="G5" s="165" t="inlineStr">
        <is>
          <t>Máx. de ofertas</t>
        </is>
      </c>
      <c r="H5" s="143">
        <f>_xlfn.MAXIFS($C$9:$C$165,$A$9:$A$165,"Casas")</f>
        <v/>
      </c>
      <c r="I5" s="143">
        <f>_xlfn.MAXIFS($C$9:$C$165,$A$9:$A$165,"Apartamentos")</f>
        <v/>
      </c>
      <c r="J5" s="143">
        <f>_xlfn.MAXIFS($C$9:$C$165,$A$9:$A$165,"Todas")</f>
        <v/>
      </c>
      <c r="K5" s="115" t="n"/>
      <c r="L5" s="115" t="n"/>
      <c r="M5" s="115" t="n"/>
      <c r="N5" s="115" t="n"/>
      <c r="O5" s="115" t="n"/>
      <c r="P5" s="115" t="n"/>
      <c r="Q5" s="115" t="n"/>
      <c r="R5" s="115" t="n"/>
      <c r="S5" s="115" t="n"/>
      <c r="T5" s="115" t="n"/>
      <c r="U5" s="115" t="n"/>
      <c r="V5" s="115" t="n"/>
      <c r="W5" s="115" t="n"/>
      <c r="X5" s="115" t="n"/>
      <c r="Y5" s="115" t="n"/>
      <c r="Z5" s="115" t="n"/>
      <c r="AA5" s="115" t="n"/>
      <c r="AB5" s="115" t="n"/>
    </row>
    <row r="6" ht="25.95" customHeight="1" s="54">
      <c r="A6" s="115" t="n"/>
      <c r="B6" s="115" t="n"/>
      <c r="C6" s="115" t="n"/>
      <c r="D6" s="115" t="n"/>
      <c r="E6" s="115" t="n"/>
      <c r="F6" s="115" t="n"/>
      <c r="G6" s="165" t="inlineStr">
        <is>
          <t>Menor CV</t>
        </is>
      </c>
      <c r="H6" s="144">
        <f>_xlfn.MINIFS($K$9:$K$165,$A$9:$A$165,"Casas")</f>
        <v/>
      </c>
      <c r="I6" s="144">
        <f>_xlfn.MINIFS($K$9:$K$165,$A$9:$A$165,"Apartamentos")</f>
        <v/>
      </c>
      <c r="J6" s="144">
        <f>_xlfn.MINIFS($K$9:$K$165,$A$9:$A$165,"Todas")</f>
        <v/>
      </c>
      <c r="K6" s="115" t="n"/>
      <c r="L6" s="115" t="n"/>
      <c r="M6" s="115" t="n"/>
      <c r="N6" s="145" t="inlineStr">
        <is>
          <t>Nº de oferta →</t>
        </is>
      </c>
      <c r="O6" s="146">
        <f>'OFERTAS CASA-APTO BELLO'!A5</f>
        <v/>
      </c>
      <c r="P6" s="146">
        <f>'OFERTAS CASA-APTO BELLO'!A6</f>
        <v/>
      </c>
      <c r="Q6" s="146">
        <f>'OFERTAS CASA-APTO BELLO'!A7</f>
        <v/>
      </c>
      <c r="R6" s="146">
        <f>'OFERTAS CASA-APTO BELLO'!A8</f>
        <v/>
      </c>
      <c r="S6" s="146">
        <f>'OFERTAS CASA-APTO BELLO'!A9</f>
        <v/>
      </c>
      <c r="T6" s="146">
        <f>'OFERTAS CASA-APTO BELLO'!A10</f>
        <v/>
      </c>
      <c r="U6" s="146">
        <f>'OFERTAS CASA-APTO BELLO'!A11</f>
        <v/>
      </c>
      <c r="V6" s="146">
        <f>'OFERTAS CASA-APTO BELLO'!A12</f>
        <v/>
      </c>
      <c r="W6" s="146">
        <f>'OFERTAS CASA-APTO BELLO'!A13</f>
        <v/>
      </c>
      <c r="X6" s="146">
        <f>'OFERTAS CASA-APTO BELLO'!A14</f>
        <v/>
      </c>
      <c r="Y6" s="146">
        <f>'OFERTAS CASA-APTO BELLO'!A15</f>
        <v/>
      </c>
      <c r="Z6" s="146">
        <f>'OFERTAS CASA-APTO BELLO'!A16</f>
        <v/>
      </c>
      <c r="AA6" s="146">
        <f>'OFERTAS CASA-APTO BELLO'!A17</f>
        <v/>
      </c>
      <c r="AB6" s="146">
        <f>'OFERTAS CASA-APTO BELLO'!A18</f>
        <v/>
      </c>
    </row>
    <row r="7">
      <c r="A7" s="115" t="n"/>
      <c r="B7" s="115" t="n"/>
      <c r="C7" s="115" t="n"/>
      <c r="D7" s="115" t="n"/>
      <c r="E7" s="115" t="n"/>
      <c r="F7" s="115" t="n"/>
      <c r="G7" s="115" t="n"/>
      <c r="H7" s="115" t="n"/>
      <c r="I7" s="115" t="n"/>
      <c r="J7" s="115" t="n"/>
      <c r="K7" s="115" t="n"/>
      <c r="L7" s="115" t="n"/>
      <c r="M7" s="115" t="n"/>
      <c r="N7" s="145" t="inlineStr">
        <is>
          <t>$/m² construido →</t>
        </is>
      </c>
      <c r="O7" s="147">
        <f>'OFERTAS CASA-APTO BELLO'!M5</f>
        <v/>
      </c>
      <c r="P7" s="147">
        <f>'OFERTAS CASA-APTO BELLO'!M6</f>
        <v/>
      </c>
      <c r="Q7" s="147">
        <f>'OFERTAS CASA-APTO BELLO'!M7</f>
        <v/>
      </c>
      <c r="R7" s="147">
        <f>'OFERTAS CASA-APTO BELLO'!M8</f>
        <v/>
      </c>
      <c r="S7" s="147">
        <f>'OFERTAS CASA-APTO BELLO'!M9</f>
        <v/>
      </c>
      <c r="T7" s="147">
        <f>'OFERTAS CASA-APTO BELLO'!M10</f>
        <v/>
      </c>
      <c r="U7" s="147">
        <f>'OFERTAS CASA-APTO BELLO'!M11</f>
        <v/>
      </c>
      <c r="V7" s="147">
        <f>'OFERTAS CASA-APTO BELLO'!M12</f>
        <v/>
      </c>
      <c r="W7" s="147">
        <f>'OFERTAS CASA-APTO BELLO'!M13</f>
        <v/>
      </c>
      <c r="X7" s="147">
        <f>'OFERTAS CASA-APTO BELLO'!M14</f>
        <v/>
      </c>
      <c r="Y7" s="147">
        <f>'OFERTAS CASA-APTO BELLO'!M15</f>
        <v/>
      </c>
      <c r="Z7" s="147">
        <f>'OFERTAS CASA-APTO BELLO'!M16</f>
        <v/>
      </c>
      <c r="AA7" s="147">
        <f>'OFERTAS CASA-APTO BELLO'!M17</f>
        <v/>
      </c>
      <c r="AB7" s="147">
        <f>'OFERTAS CASA-APTO BELLO'!M18</f>
        <v/>
      </c>
    </row>
    <row r="8" ht="40.05" customHeight="1" s="54">
      <c r="A8" s="148" t="inlineStr">
        <is>
          <t>GRUPO</t>
        </is>
      </c>
      <c r="B8" s="148" t="inlineStr">
        <is>
          <t>Nº COMBINACIÓN</t>
        </is>
      </c>
      <c r="C8" s="148" t="inlineStr">
        <is>
          <t>Nº DE OFERTAS</t>
        </is>
      </c>
      <c r="D8" s="148" t="inlineStr">
        <is>
          <t>OFERTAS UTILIZADAS (No.)</t>
        </is>
      </c>
      <c r="E8" s="148" t="inlineStr">
        <is>
          <t>COMPOSICIÓN</t>
        </is>
      </c>
      <c r="F8" s="148" t="inlineStr">
        <is>
          <t>VALOR MÍNIMO $/m²</t>
        </is>
      </c>
      <c r="G8" s="148" t="inlineStr">
        <is>
          <t>VALOR MÁXIMO $/m²</t>
        </is>
      </c>
      <c r="H8" s="148" t="inlineStr">
        <is>
          <t>PROMEDIO $/m²</t>
        </is>
      </c>
      <c r="I8" s="148" t="inlineStr">
        <is>
          <t>MEDIANA $/m²</t>
        </is>
      </c>
      <c r="J8" s="148" t="inlineStr">
        <is>
          <t>DESVIACIÓN ESTÁNDAR</t>
        </is>
      </c>
      <c r="K8" s="148" t="inlineStr">
        <is>
          <t>COEF. DE VARIACIÓN</t>
        </is>
      </c>
      <c r="L8" s="148" t="inlineStr">
        <is>
          <t>LÍMITE INFERIOR</t>
        </is>
      </c>
      <c r="M8" s="148" t="inlineStr">
        <is>
          <t>LÍMITE SUPERIOR</t>
        </is>
      </c>
      <c r="N8" s="148" t="inlineStr">
        <is>
          <t>¿CV ≤ MÁXIMO?</t>
        </is>
      </c>
      <c r="O8" s="148" t="inlineStr">
        <is>
          <t>Of. 1</t>
        </is>
      </c>
      <c r="P8" s="148" t="inlineStr">
        <is>
          <t>Of. 2</t>
        </is>
      </c>
      <c r="Q8" s="148" t="inlineStr">
        <is>
          <t>Of. 3</t>
        </is>
      </c>
      <c r="R8" s="148" t="inlineStr">
        <is>
          <t>Of. 4</t>
        </is>
      </c>
      <c r="S8" s="148" t="inlineStr">
        <is>
          <t>Of. 5</t>
        </is>
      </c>
      <c r="T8" s="148" t="inlineStr">
        <is>
          <t>Of. 6</t>
        </is>
      </c>
      <c r="U8" s="148" t="inlineStr">
        <is>
          <t>Of. 7</t>
        </is>
      </c>
      <c r="V8" s="148" t="inlineStr">
        <is>
          <t>Of. 8</t>
        </is>
      </c>
      <c r="W8" s="148" t="inlineStr">
        <is>
          <t>Of. 9</t>
        </is>
      </c>
      <c r="X8" s="148" t="inlineStr">
        <is>
          <t>Of. 10</t>
        </is>
      </c>
      <c r="Y8" s="148" t="inlineStr">
        <is>
          <t>Of. 11</t>
        </is>
      </c>
      <c r="Z8" s="148" t="inlineStr">
        <is>
          <t>Of. 12</t>
        </is>
      </c>
      <c r="AA8" s="148" t="inlineStr">
        <is>
          <t>Of. 13</t>
        </is>
      </c>
      <c r="AB8" s="148" t="inlineStr">
        <is>
          <t>Of. 14</t>
        </is>
      </c>
    </row>
    <row r="9">
      <c r="A9" s="162" t="inlineStr">
        <is>
          <t>Casas</t>
        </is>
      </c>
      <c r="B9" s="155" t="n">
        <v>1</v>
      </c>
      <c r="C9" s="155">
        <f>SUM($O9:$AB9)</f>
        <v/>
      </c>
      <c r="D9" s="162">
        <f>SUBSTITUTE(TRIM(IF(O9=1,O$6&amp;" ","")&amp;IF(P9=1,P$6&amp;" ","")&amp;IF(Q9=1,Q$6&amp;" ","")&amp;IF(R9=1,R$6&amp;" ","")&amp;IF(S9=1,S$6&amp;" ","")&amp;IF(T9=1,T$6&amp;" ","")&amp;IF(U9=1,U$6&amp;" ","")&amp;IF(V9=1,V$6&amp;" ","")&amp;IF(W9=1,W$6&amp;" ","")&amp;IF(X9=1,X$6&amp;" ","")&amp;IF(Y9=1,Y$6&amp;" ","")&amp;IF(Z9=1,Z$6&amp;" ","")&amp;IF(AA9=1,AA$6&amp;" ","")&amp;IF(AB9=1,AB$6&amp;" ",""))," ",", ")</f>
        <v/>
      </c>
      <c r="E9" s="162">
        <f>IF(SUMPRODUCT($O9:$AB9*($O$6:$AB$6&lt;=6))=$C9,"Solo casas",IF(SUMPRODUCT($O9:$AB9*($O$6:$AB$6&gt;6))=$C9,"Solo apartamentos","Mixta ("&amp;SUMPRODUCT($O9:$AB9*($O$6:$AB$6&lt;=6))&amp;" casas + "&amp;SUMPRODUCT($O9:$AB9*($O$6:$AB$6&gt;6))&amp;" aptos)"))</f>
        <v/>
      </c>
      <c r="F9" s="156">
        <f>_xlfn.MINIFS($O$7:$AB$7,$O9:$AB9,1)</f>
        <v/>
      </c>
      <c r="G9" s="156">
        <f>_xlfn.MAXIFS($O$7:$AB$7,$O9:$AB9,1)</f>
        <v/>
      </c>
      <c r="H9" s="156">
        <f>SUMPRODUCT($O9:$AB9,$O$7:$AB$7)/C9</f>
        <v/>
      </c>
      <c r="I9" s="156">
        <f>_xlfn.AGGREGATE(16,6,$O$7:$AB$7/($O9:$AB9=1),0.5)</f>
        <v/>
      </c>
      <c r="J9" s="156">
        <f>SQRT((SUMPRODUCT($O9:$AB9,$O$7:$AB$7^2)-C9*H9^2)/(C9-1))</f>
        <v/>
      </c>
      <c r="K9" s="157">
        <f>J9/H9</f>
        <v/>
      </c>
      <c r="L9" s="156">
        <f>H9-J9</f>
        <v/>
      </c>
      <c r="M9" s="156">
        <f>H9+J9</f>
        <v/>
      </c>
      <c r="N9" s="155">
        <f>IF(K9&lt;=$D$4,"SÍ","NO")</f>
        <v/>
      </c>
      <c r="O9" s="153" t="n">
        <v>1</v>
      </c>
      <c r="P9" s="153" t="n">
        <v>1</v>
      </c>
      <c r="Q9" s="153" t="n">
        <v>1</v>
      </c>
      <c r="R9" s="153" t="n">
        <v>0</v>
      </c>
      <c r="S9" s="153" t="n">
        <v>0</v>
      </c>
      <c r="T9" s="153" t="n">
        <v>0</v>
      </c>
      <c r="U9" s="153" t="n">
        <v>0</v>
      </c>
      <c r="V9" s="153" t="n">
        <v>0</v>
      </c>
      <c r="W9" s="153" t="n">
        <v>0</v>
      </c>
      <c r="X9" s="153" t="n">
        <v>0</v>
      </c>
      <c r="Y9" s="153" t="n">
        <v>0</v>
      </c>
      <c r="Z9" s="153" t="n">
        <v>0</v>
      </c>
      <c r="AA9" s="153" t="n">
        <v>0</v>
      </c>
      <c r="AB9" s="153" t="n">
        <v>0</v>
      </c>
    </row>
    <row r="10">
      <c r="A10" s="163" t="inlineStr">
        <is>
          <t>Apartamentos</t>
        </is>
      </c>
      <c r="B10" s="159" t="n">
        <v>1</v>
      </c>
      <c r="C10" s="159">
        <f>SUM($O10:$AB10)</f>
        <v/>
      </c>
      <c r="D10" s="163">
        <f>SUBSTITUTE(TRIM(IF(O10=1,O$6&amp;" ","")&amp;IF(P10=1,P$6&amp;" ","")&amp;IF(Q10=1,Q$6&amp;" ","")&amp;IF(R10=1,R$6&amp;" ","")&amp;IF(S10=1,S$6&amp;" ","")&amp;IF(T10=1,T$6&amp;" ","")&amp;IF(U10=1,U$6&amp;" ","")&amp;IF(V10=1,V$6&amp;" ","")&amp;IF(W10=1,W$6&amp;" ","")&amp;IF(X10=1,X$6&amp;" ","")&amp;IF(Y10=1,Y$6&amp;" ","")&amp;IF(Z10=1,Z$6&amp;" ","")&amp;IF(AA10=1,AA$6&amp;" ","")&amp;IF(AB10=1,AB$6&amp;" ",""))," ",", ")</f>
        <v/>
      </c>
      <c r="E10" s="163">
        <f>IF(SUMPRODUCT($O10:$AB10*($O$6:$AB$6&lt;=6))=$C10,"Solo casas",IF(SUMPRODUCT($O10:$AB10*($O$6:$AB$6&gt;6))=$C10,"Solo apartamentos","Mixta ("&amp;SUMPRODUCT($O10:$AB10*($O$6:$AB$6&lt;=6))&amp;" casas + "&amp;SUMPRODUCT($O10:$AB10*($O$6:$AB$6&gt;6))&amp;" aptos)"))</f>
        <v/>
      </c>
      <c r="F10" s="160">
        <f>_xlfn.MINIFS($O$7:$AB$7,$O10:$AB10,1)</f>
        <v/>
      </c>
      <c r="G10" s="160">
        <f>_xlfn.MAXIFS($O$7:$AB$7,$O10:$AB10,1)</f>
        <v/>
      </c>
      <c r="H10" s="160">
        <f>SUMPRODUCT($O10:$AB10,$O$7:$AB$7)/C10</f>
        <v/>
      </c>
      <c r="I10" s="160">
        <f>_xlfn.AGGREGATE(16,6,$O$7:$AB$7/($O10:$AB10=1),0.5)</f>
        <v/>
      </c>
      <c r="J10" s="160">
        <f>SQRT((SUMPRODUCT($O10:$AB10,$O$7:$AB$7^2)-C10*H10^2)/(C10-1))</f>
        <v/>
      </c>
      <c r="K10" s="161">
        <f>J10/H10</f>
        <v/>
      </c>
      <c r="L10" s="160">
        <f>H10-J10</f>
        <v/>
      </c>
      <c r="M10" s="160">
        <f>H10+J10</f>
        <v/>
      </c>
      <c r="N10" s="159">
        <f>IF(K10&lt;=$D$4,"SÍ","NO")</f>
        <v/>
      </c>
      <c r="O10" s="153" t="n">
        <v>0</v>
      </c>
      <c r="P10" s="153" t="n">
        <v>0</v>
      </c>
      <c r="Q10" s="153" t="n">
        <v>0</v>
      </c>
      <c r="R10" s="153" t="n">
        <v>0</v>
      </c>
      <c r="S10" s="153" t="n">
        <v>0</v>
      </c>
      <c r="T10" s="153" t="n">
        <v>0</v>
      </c>
      <c r="U10" s="153" t="n">
        <v>1</v>
      </c>
      <c r="V10" s="153" t="n">
        <v>1</v>
      </c>
      <c r="W10" s="153" t="n">
        <v>1</v>
      </c>
      <c r="X10" s="153" t="n">
        <v>0</v>
      </c>
      <c r="Y10" s="153" t="n">
        <v>1</v>
      </c>
      <c r="Z10" s="153" t="n">
        <v>1</v>
      </c>
      <c r="AA10" s="153" t="n">
        <v>0</v>
      </c>
      <c r="AB10" s="153" t="n">
        <v>0</v>
      </c>
    </row>
    <row r="11">
      <c r="A11" s="163" t="inlineStr">
        <is>
          <t>Apartamentos</t>
        </is>
      </c>
      <c r="B11" s="159" t="n">
        <v>2</v>
      </c>
      <c r="C11" s="159">
        <f>SUM($O11:$AB11)</f>
        <v/>
      </c>
      <c r="D11" s="163">
        <f>SUBSTITUTE(TRIM(IF(O11=1,O$6&amp;" ","")&amp;IF(P11=1,P$6&amp;" ","")&amp;IF(Q11=1,Q$6&amp;" ","")&amp;IF(R11=1,R$6&amp;" ","")&amp;IF(S11=1,S$6&amp;" ","")&amp;IF(T11=1,T$6&amp;" ","")&amp;IF(U11=1,U$6&amp;" ","")&amp;IF(V11=1,V$6&amp;" ","")&amp;IF(W11=1,W$6&amp;" ","")&amp;IF(X11=1,X$6&amp;" ","")&amp;IF(Y11=1,Y$6&amp;" ","")&amp;IF(Z11=1,Z$6&amp;" ","")&amp;IF(AA11=1,AA$6&amp;" ","")&amp;IF(AB11=1,AB$6&amp;" ",""))," ",", ")</f>
        <v/>
      </c>
      <c r="E11" s="163">
        <f>IF(SUMPRODUCT($O11:$AB11*($O$6:$AB$6&lt;=6))=$C11,"Solo casas",IF(SUMPRODUCT($O11:$AB11*($O$6:$AB$6&gt;6))=$C11,"Solo apartamentos","Mixta ("&amp;SUMPRODUCT($O11:$AB11*($O$6:$AB$6&lt;=6))&amp;" casas + "&amp;SUMPRODUCT($O11:$AB11*($O$6:$AB$6&gt;6))&amp;" aptos)"))</f>
        <v/>
      </c>
      <c r="F11" s="160">
        <f>_xlfn.MINIFS($O$7:$AB$7,$O11:$AB11,1)</f>
        <v/>
      </c>
      <c r="G11" s="160">
        <f>_xlfn.MAXIFS($O$7:$AB$7,$O11:$AB11,1)</f>
        <v/>
      </c>
      <c r="H11" s="160">
        <f>SUMPRODUCT($O11:$AB11,$O$7:$AB$7)/C11</f>
        <v/>
      </c>
      <c r="I11" s="160">
        <f>_xlfn.AGGREGATE(16,6,$O$7:$AB$7/($O11:$AB11=1),0.5)</f>
        <v/>
      </c>
      <c r="J11" s="160">
        <f>SQRT((SUMPRODUCT($O11:$AB11,$O$7:$AB$7^2)-C11*H11^2)/(C11-1))</f>
        <v/>
      </c>
      <c r="K11" s="161">
        <f>J11/H11</f>
        <v/>
      </c>
      <c r="L11" s="160">
        <f>H11-J11</f>
        <v/>
      </c>
      <c r="M11" s="160">
        <f>H11+J11</f>
        <v/>
      </c>
      <c r="N11" s="159">
        <f>IF(K11&lt;=$D$4,"SÍ","NO")</f>
        <v/>
      </c>
      <c r="O11" s="153" t="n">
        <v>0</v>
      </c>
      <c r="P11" s="153" t="n">
        <v>0</v>
      </c>
      <c r="Q11" s="153" t="n">
        <v>0</v>
      </c>
      <c r="R11" s="153" t="n">
        <v>0</v>
      </c>
      <c r="S11" s="153" t="n">
        <v>0</v>
      </c>
      <c r="T11" s="153" t="n">
        <v>0</v>
      </c>
      <c r="U11" s="153" t="n">
        <v>1</v>
      </c>
      <c r="V11" s="153" t="n">
        <v>1</v>
      </c>
      <c r="W11" s="153" t="n">
        <v>1</v>
      </c>
      <c r="X11" s="153" t="n">
        <v>0</v>
      </c>
      <c r="Y11" s="153" t="n">
        <v>1</v>
      </c>
      <c r="Z11" s="153" t="n">
        <v>0</v>
      </c>
      <c r="AA11" s="153" t="n">
        <v>0</v>
      </c>
      <c r="AB11" s="153" t="n">
        <v>1</v>
      </c>
    </row>
    <row r="12">
      <c r="A12" s="163" t="inlineStr">
        <is>
          <t>Apartamentos</t>
        </is>
      </c>
      <c r="B12" s="159" t="n">
        <v>3</v>
      </c>
      <c r="C12" s="159">
        <f>SUM($O12:$AB12)</f>
        <v/>
      </c>
      <c r="D12" s="163">
        <f>SUBSTITUTE(TRIM(IF(O12=1,O$6&amp;" ","")&amp;IF(P12=1,P$6&amp;" ","")&amp;IF(Q12=1,Q$6&amp;" ","")&amp;IF(R12=1,R$6&amp;" ","")&amp;IF(S12=1,S$6&amp;" ","")&amp;IF(T12=1,T$6&amp;" ","")&amp;IF(U12=1,U$6&amp;" ","")&amp;IF(V12=1,V$6&amp;" ","")&amp;IF(W12=1,W$6&amp;" ","")&amp;IF(X12=1,X$6&amp;" ","")&amp;IF(Y12=1,Y$6&amp;" ","")&amp;IF(Z12=1,Z$6&amp;" ","")&amp;IF(AA12=1,AA$6&amp;" ","")&amp;IF(AB12=1,AB$6&amp;" ",""))," ",", ")</f>
        <v/>
      </c>
      <c r="E12" s="163">
        <f>IF(SUMPRODUCT($O12:$AB12*($O$6:$AB$6&lt;=6))=$C12,"Solo casas",IF(SUMPRODUCT($O12:$AB12*($O$6:$AB$6&gt;6))=$C12,"Solo apartamentos","Mixta ("&amp;SUMPRODUCT($O12:$AB12*($O$6:$AB$6&lt;=6))&amp;" casas + "&amp;SUMPRODUCT($O12:$AB12*($O$6:$AB$6&gt;6))&amp;" aptos)"))</f>
        <v/>
      </c>
      <c r="F12" s="160">
        <f>_xlfn.MINIFS($O$7:$AB$7,$O12:$AB12,1)</f>
        <v/>
      </c>
      <c r="G12" s="160">
        <f>_xlfn.MAXIFS($O$7:$AB$7,$O12:$AB12,1)</f>
        <v/>
      </c>
      <c r="H12" s="160">
        <f>SUMPRODUCT($O12:$AB12,$O$7:$AB$7)/C12</f>
        <v/>
      </c>
      <c r="I12" s="160">
        <f>_xlfn.AGGREGATE(16,6,$O$7:$AB$7/($O12:$AB12=1),0.5)</f>
        <v/>
      </c>
      <c r="J12" s="160">
        <f>SQRT((SUMPRODUCT($O12:$AB12,$O$7:$AB$7^2)-C12*H12^2)/(C12-1))</f>
        <v/>
      </c>
      <c r="K12" s="161">
        <f>J12/H12</f>
        <v/>
      </c>
      <c r="L12" s="160">
        <f>H12-J12</f>
        <v/>
      </c>
      <c r="M12" s="160">
        <f>H12+J12</f>
        <v/>
      </c>
      <c r="N12" s="159">
        <f>IF(K12&lt;=$D$4,"SÍ","NO")</f>
        <v/>
      </c>
      <c r="O12" s="153" t="n">
        <v>0</v>
      </c>
      <c r="P12" s="153" t="n">
        <v>0</v>
      </c>
      <c r="Q12" s="153" t="n">
        <v>0</v>
      </c>
      <c r="R12" s="153" t="n">
        <v>0</v>
      </c>
      <c r="S12" s="153" t="n">
        <v>0</v>
      </c>
      <c r="T12" s="153" t="n">
        <v>0</v>
      </c>
      <c r="U12" s="153" t="n">
        <v>1</v>
      </c>
      <c r="V12" s="153" t="n">
        <v>1</v>
      </c>
      <c r="W12" s="153" t="n">
        <v>0</v>
      </c>
      <c r="X12" s="153" t="n">
        <v>0</v>
      </c>
      <c r="Y12" s="153" t="n">
        <v>1</v>
      </c>
      <c r="Z12" s="153" t="n">
        <v>1</v>
      </c>
      <c r="AA12" s="153" t="n">
        <v>0</v>
      </c>
      <c r="AB12" s="153" t="n">
        <v>0</v>
      </c>
    </row>
    <row r="13">
      <c r="A13" s="163" t="inlineStr">
        <is>
          <t>Apartamentos</t>
        </is>
      </c>
      <c r="B13" s="159" t="n">
        <v>4</v>
      </c>
      <c r="C13" s="159">
        <f>SUM($O13:$AB13)</f>
        <v/>
      </c>
      <c r="D13" s="163">
        <f>SUBSTITUTE(TRIM(IF(O13=1,O$6&amp;" ","")&amp;IF(P13=1,P$6&amp;" ","")&amp;IF(Q13=1,Q$6&amp;" ","")&amp;IF(R13=1,R$6&amp;" ","")&amp;IF(S13=1,S$6&amp;" ","")&amp;IF(T13=1,T$6&amp;" ","")&amp;IF(U13=1,U$6&amp;" ","")&amp;IF(V13=1,V$6&amp;" ","")&amp;IF(W13=1,W$6&amp;" ","")&amp;IF(X13=1,X$6&amp;" ","")&amp;IF(Y13=1,Y$6&amp;" ","")&amp;IF(Z13=1,Z$6&amp;" ","")&amp;IF(AA13=1,AA$6&amp;" ","")&amp;IF(AB13=1,AB$6&amp;" ",""))," ",", ")</f>
        <v/>
      </c>
      <c r="E13" s="163">
        <f>IF(SUMPRODUCT($O13:$AB13*($O$6:$AB$6&lt;=6))=$C13,"Solo casas",IF(SUMPRODUCT($O13:$AB13*($O$6:$AB$6&gt;6))=$C13,"Solo apartamentos","Mixta ("&amp;SUMPRODUCT($O13:$AB13*($O$6:$AB$6&lt;=6))&amp;" casas + "&amp;SUMPRODUCT($O13:$AB13*($O$6:$AB$6&gt;6))&amp;" aptos)"))</f>
        <v/>
      </c>
      <c r="F13" s="160">
        <f>_xlfn.MINIFS($O$7:$AB$7,$O13:$AB13,1)</f>
        <v/>
      </c>
      <c r="G13" s="160">
        <f>_xlfn.MAXIFS($O$7:$AB$7,$O13:$AB13,1)</f>
        <v/>
      </c>
      <c r="H13" s="160">
        <f>SUMPRODUCT($O13:$AB13,$O$7:$AB$7)/C13</f>
        <v/>
      </c>
      <c r="I13" s="160">
        <f>_xlfn.AGGREGATE(16,6,$O$7:$AB$7/($O13:$AB13=1),0.5)</f>
        <v/>
      </c>
      <c r="J13" s="160">
        <f>SQRT((SUMPRODUCT($O13:$AB13,$O$7:$AB$7^2)-C13*H13^2)/(C13-1))</f>
        <v/>
      </c>
      <c r="K13" s="161">
        <f>J13/H13</f>
        <v/>
      </c>
      <c r="L13" s="160">
        <f>H13-J13</f>
        <v/>
      </c>
      <c r="M13" s="160">
        <f>H13+J13</f>
        <v/>
      </c>
      <c r="N13" s="159">
        <f>IF(K13&lt;=$D$4,"SÍ","NO")</f>
        <v/>
      </c>
      <c r="O13" s="153" t="n">
        <v>0</v>
      </c>
      <c r="P13" s="153" t="n">
        <v>0</v>
      </c>
      <c r="Q13" s="153" t="n">
        <v>0</v>
      </c>
      <c r="R13" s="153" t="n">
        <v>0</v>
      </c>
      <c r="S13" s="153" t="n">
        <v>0</v>
      </c>
      <c r="T13" s="153" t="n">
        <v>0</v>
      </c>
      <c r="U13" s="153" t="n">
        <v>1</v>
      </c>
      <c r="V13" s="153" t="n">
        <v>1</v>
      </c>
      <c r="W13" s="153" t="n">
        <v>1</v>
      </c>
      <c r="X13" s="153" t="n">
        <v>0</v>
      </c>
      <c r="Y13" s="153" t="n">
        <v>1</v>
      </c>
      <c r="Z13" s="153" t="n">
        <v>0</v>
      </c>
      <c r="AA13" s="153" t="n">
        <v>0</v>
      </c>
      <c r="AB13" s="153" t="n">
        <v>0</v>
      </c>
    </row>
    <row r="14">
      <c r="A14" s="163" t="inlineStr">
        <is>
          <t>Apartamentos</t>
        </is>
      </c>
      <c r="B14" s="159" t="n">
        <v>5</v>
      </c>
      <c r="C14" s="159">
        <f>SUM($O14:$AB14)</f>
        <v/>
      </c>
      <c r="D14" s="163">
        <f>SUBSTITUTE(TRIM(IF(O14=1,O$6&amp;" ","")&amp;IF(P14=1,P$6&amp;" ","")&amp;IF(Q14=1,Q$6&amp;" ","")&amp;IF(R14=1,R$6&amp;" ","")&amp;IF(S14=1,S$6&amp;" ","")&amp;IF(T14=1,T$6&amp;" ","")&amp;IF(U14=1,U$6&amp;" ","")&amp;IF(V14=1,V$6&amp;" ","")&amp;IF(W14=1,W$6&amp;" ","")&amp;IF(X14=1,X$6&amp;" ","")&amp;IF(Y14=1,Y$6&amp;" ","")&amp;IF(Z14=1,Z$6&amp;" ","")&amp;IF(AA14=1,AA$6&amp;" ","")&amp;IF(AB14=1,AB$6&amp;" ",""))," ",", ")</f>
        <v/>
      </c>
      <c r="E14" s="163">
        <f>IF(SUMPRODUCT($O14:$AB14*($O$6:$AB$6&lt;=6))=$C14,"Solo casas",IF(SUMPRODUCT($O14:$AB14*($O$6:$AB$6&gt;6))=$C14,"Solo apartamentos","Mixta ("&amp;SUMPRODUCT($O14:$AB14*($O$6:$AB$6&lt;=6))&amp;" casas + "&amp;SUMPRODUCT($O14:$AB14*($O$6:$AB$6&gt;6))&amp;" aptos)"))</f>
        <v/>
      </c>
      <c r="F14" s="160">
        <f>_xlfn.MINIFS($O$7:$AB$7,$O14:$AB14,1)</f>
        <v/>
      </c>
      <c r="G14" s="160">
        <f>_xlfn.MAXIFS($O$7:$AB$7,$O14:$AB14,1)</f>
        <v/>
      </c>
      <c r="H14" s="160">
        <f>SUMPRODUCT($O14:$AB14,$O$7:$AB$7)/C14</f>
        <v/>
      </c>
      <c r="I14" s="160">
        <f>_xlfn.AGGREGATE(16,6,$O$7:$AB$7/($O14:$AB14=1),0.5)</f>
        <v/>
      </c>
      <c r="J14" s="160">
        <f>SQRT((SUMPRODUCT($O14:$AB14,$O$7:$AB$7^2)-C14*H14^2)/(C14-1))</f>
        <v/>
      </c>
      <c r="K14" s="161">
        <f>J14/H14</f>
        <v/>
      </c>
      <c r="L14" s="160">
        <f>H14-J14</f>
        <v/>
      </c>
      <c r="M14" s="160">
        <f>H14+J14</f>
        <v/>
      </c>
      <c r="N14" s="159">
        <f>IF(K14&lt;=$D$4,"SÍ","NO")</f>
        <v/>
      </c>
      <c r="O14" s="153" t="n">
        <v>0</v>
      </c>
      <c r="P14" s="153" t="n">
        <v>0</v>
      </c>
      <c r="Q14" s="153" t="n">
        <v>0</v>
      </c>
      <c r="R14" s="153" t="n">
        <v>0</v>
      </c>
      <c r="S14" s="153" t="n">
        <v>0</v>
      </c>
      <c r="T14" s="153" t="n">
        <v>0</v>
      </c>
      <c r="U14" s="153" t="n">
        <v>0</v>
      </c>
      <c r="V14" s="153" t="n">
        <v>1</v>
      </c>
      <c r="W14" s="153" t="n">
        <v>1</v>
      </c>
      <c r="X14" s="153" t="n">
        <v>0</v>
      </c>
      <c r="Y14" s="153" t="n">
        <v>1</v>
      </c>
      <c r="Z14" s="153" t="n">
        <v>0</v>
      </c>
      <c r="AA14" s="153" t="n">
        <v>0</v>
      </c>
      <c r="AB14" s="153" t="n">
        <v>1</v>
      </c>
    </row>
    <row r="15">
      <c r="A15" s="163" t="inlineStr">
        <is>
          <t>Apartamentos</t>
        </is>
      </c>
      <c r="B15" s="159" t="n">
        <v>6</v>
      </c>
      <c r="C15" s="159">
        <f>SUM($O15:$AB15)</f>
        <v/>
      </c>
      <c r="D15" s="163">
        <f>SUBSTITUTE(TRIM(IF(O15=1,O$6&amp;" ","")&amp;IF(P15=1,P$6&amp;" ","")&amp;IF(Q15=1,Q$6&amp;" ","")&amp;IF(R15=1,R$6&amp;" ","")&amp;IF(S15=1,S$6&amp;" ","")&amp;IF(T15=1,T$6&amp;" ","")&amp;IF(U15=1,U$6&amp;" ","")&amp;IF(V15=1,V$6&amp;" ","")&amp;IF(W15=1,W$6&amp;" ","")&amp;IF(X15=1,X$6&amp;" ","")&amp;IF(Y15=1,Y$6&amp;" ","")&amp;IF(Z15=1,Z$6&amp;" ","")&amp;IF(AA15=1,AA$6&amp;" ","")&amp;IF(AB15=1,AB$6&amp;" ",""))," ",", ")</f>
        <v/>
      </c>
      <c r="E15" s="163">
        <f>IF(SUMPRODUCT($O15:$AB15*($O$6:$AB$6&lt;=6))=$C15,"Solo casas",IF(SUMPRODUCT($O15:$AB15*($O$6:$AB$6&gt;6))=$C15,"Solo apartamentos","Mixta ("&amp;SUMPRODUCT($O15:$AB15*($O$6:$AB$6&lt;=6))&amp;" casas + "&amp;SUMPRODUCT($O15:$AB15*($O$6:$AB$6&gt;6))&amp;" aptos)"))</f>
        <v/>
      </c>
      <c r="F15" s="160">
        <f>_xlfn.MINIFS($O$7:$AB$7,$O15:$AB15,1)</f>
        <v/>
      </c>
      <c r="G15" s="160">
        <f>_xlfn.MAXIFS($O$7:$AB$7,$O15:$AB15,1)</f>
        <v/>
      </c>
      <c r="H15" s="160">
        <f>SUMPRODUCT($O15:$AB15,$O$7:$AB$7)/C15</f>
        <v/>
      </c>
      <c r="I15" s="160">
        <f>_xlfn.AGGREGATE(16,6,$O$7:$AB$7/($O15:$AB15=1),0.5)</f>
        <v/>
      </c>
      <c r="J15" s="160">
        <f>SQRT((SUMPRODUCT($O15:$AB15,$O$7:$AB$7^2)-C15*H15^2)/(C15-1))</f>
        <v/>
      </c>
      <c r="K15" s="161">
        <f>J15/H15</f>
        <v/>
      </c>
      <c r="L15" s="160">
        <f>H15-J15</f>
        <v/>
      </c>
      <c r="M15" s="160">
        <f>H15+J15</f>
        <v/>
      </c>
      <c r="N15" s="159">
        <f>IF(K15&lt;=$D$4,"SÍ","NO")</f>
        <v/>
      </c>
      <c r="O15" s="153" t="n">
        <v>0</v>
      </c>
      <c r="P15" s="153" t="n">
        <v>0</v>
      </c>
      <c r="Q15" s="153" t="n">
        <v>0</v>
      </c>
      <c r="R15" s="153" t="n">
        <v>0</v>
      </c>
      <c r="S15" s="153" t="n">
        <v>0</v>
      </c>
      <c r="T15" s="153" t="n">
        <v>0</v>
      </c>
      <c r="U15" s="153" t="n">
        <v>0</v>
      </c>
      <c r="V15" s="153" t="n">
        <v>0</v>
      </c>
      <c r="W15" s="153" t="n">
        <v>1</v>
      </c>
      <c r="X15" s="153" t="n">
        <v>1</v>
      </c>
      <c r="Y15" s="153" t="n">
        <v>0</v>
      </c>
      <c r="Z15" s="153" t="n">
        <v>0</v>
      </c>
      <c r="AA15" s="153" t="n">
        <v>1</v>
      </c>
      <c r="AB15" s="153" t="n">
        <v>1</v>
      </c>
    </row>
    <row r="16">
      <c r="A16" s="163" t="inlineStr">
        <is>
          <t>Apartamentos</t>
        </is>
      </c>
      <c r="B16" s="159" t="n">
        <v>7</v>
      </c>
      <c r="C16" s="159">
        <f>SUM($O16:$AB16)</f>
        <v/>
      </c>
      <c r="D16" s="163">
        <f>SUBSTITUTE(TRIM(IF(O16=1,O$6&amp;" ","")&amp;IF(P16=1,P$6&amp;" ","")&amp;IF(Q16=1,Q$6&amp;" ","")&amp;IF(R16=1,R$6&amp;" ","")&amp;IF(S16=1,S$6&amp;" ","")&amp;IF(T16=1,T$6&amp;" ","")&amp;IF(U16=1,U$6&amp;" ","")&amp;IF(V16=1,V$6&amp;" ","")&amp;IF(W16=1,W$6&amp;" ","")&amp;IF(X16=1,X$6&amp;" ","")&amp;IF(Y16=1,Y$6&amp;" ","")&amp;IF(Z16=1,Z$6&amp;" ","")&amp;IF(AA16=1,AA$6&amp;" ","")&amp;IF(AB16=1,AB$6&amp;" ",""))," ",", ")</f>
        <v/>
      </c>
      <c r="E16" s="163">
        <f>IF(SUMPRODUCT($O16:$AB16*($O$6:$AB$6&lt;=6))=$C16,"Solo casas",IF(SUMPRODUCT($O16:$AB16*($O$6:$AB$6&gt;6))=$C16,"Solo apartamentos","Mixta ("&amp;SUMPRODUCT($O16:$AB16*($O$6:$AB$6&lt;=6))&amp;" casas + "&amp;SUMPRODUCT($O16:$AB16*($O$6:$AB$6&gt;6))&amp;" aptos)"))</f>
        <v/>
      </c>
      <c r="F16" s="160">
        <f>_xlfn.MINIFS($O$7:$AB$7,$O16:$AB16,1)</f>
        <v/>
      </c>
      <c r="G16" s="160">
        <f>_xlfn.MAXIFS($O$7:$AB$7,$O16:$AB16,1)</f>
        <v/>
      </c>
      <c r="H16" s="160">
        <f>SUMPRODUCT($O16:$AB16,$O$7:$AB$7)/C16</f>
        <v/>
      </c>
      <c r="I16" s="160">
        <f>_xlfn.AGGREGATE(16,6,$O$7:$AB$7/($O16:$AB16=1),0.5)</f>
        <v/>
      </c>
      <c r="J16" s="160">
        <f>SQRT((SUMPRODUCT($O16:$AB16,$O$7:$AB$7^2)-C16*H16^2)/(C16-1))</f>
        <v/>
      </c>
      <c r="K16" s="161">
        <f>J16/H16</f>
        <v/>
      </c>
      <c r="L16" s="160">
        <f>H16-J16</f>
        <v/>
      </c>
      <c r="M16" s="160">
        <f>H16+J16</f>
        <v/>
      </c>
      <c r="N16" s="159">
        <f>IF(K16&lt;=$D$4,"SÍ","NO")</f>
        <v/>
      </c>
      <c r="O16" s="153" t="n">
        <v>0</v>
      </c>
      <c r="P16" s="153" t="n">
        <v>0</v>
      </c>
      <c r="Q16" s="153" t="n">
        <v>0</v>
      </c>
      <c r="R16" s="153" t="n">
        <v>0</v>
      </c>
      <c r="S16" s="153" t="n">
        <v>0</v>
      </c>
      <c r="T16" s="153" t="n">
        <v>0</v>
      </c>
      <c r="U16" s="153" t="n">
        <v>0</v>
      </c>
      <c r="V16" s="153" t="n">
        <v>1</v>
      </c>
      <c r="W16" s="153" t="n">
        <v>1</v>
      </c>
      <c r="X16" s="153" t="n">
        <v>0</v>
      </c>
      <c r="Y16" s="153" t="n">
        <v>1</v>
      </c>
      <c r="Z16" s="153" t="n">
        <v>1</v>
      </c>
      <c r="AA16" s="153" t="n">
        <v>0</v>
      </c>
      <c r="AB16" s="153" t="n">
        <v>0</v>
      </c>
    </row>
    <row r="17">
      <c r="A17" s="163" t="inlineStr">
        <is>
          <t>Apartamentos</t>
        </is>
      </c>
      <c r="B17" s="159" t="n">
        <v>8</v>
      </c>
      <c r="C17" s="159">
        <f>SUM($O17:$AB17)</f>
        <v/>
      </c>
      <c r="D17" s="163">
        <f>SUBSTITUTE(TRIM(IF(O17=1,O$6&amp;" ","")&amp;IF(P17=1,P$6&amp;" ","")&amp;IF(Q17=1,Q$6&amp;" ","")&amp;IF(R17=1,R$6&amp;" ","")&amp;IF(S17=1,S$6&amp;" ","")&amp;IF(T17=1,T$6&amp;" ","")&amp;IF(U17=1,U$6&amp;" ","")&amp;IF(V17=1,V$6&amp;" ","")&amp;IF(W17=1,W$6&amp;" ","")&amp;IF(X17=1,X$6&amp;" ","")&amp;IF(Y17=1,Y$6&amp;" ","")&amp;IF(Z17=1,Z$6&amp;" ","")&amp;IF(AA17=1,AA$6&amp;" ","")&amp;IF(AB17=1,AB$6&amp;" ",""))," ",", ")</f>
        <v/>
      </c>
      <c r="E17" s="163">
        <f>IF(SUMPRODUCT($O17:$AB17*($O$6:$AB$6&lt;=6))=$C17,"Solo casas",IF(SUMPRODUCT($O17:$AB17*($O$6:$AB$6&gt;6))=$C17,"Solo apartamentos","Mixta ("&amp;SUMPRODUCT($O17:$AB17*($O$6:$AB$6&lt;=6))&amp;" casas + "&amp;SUMPRODUCT($O17:$AB17*($O$6:$AB$6&gt;6))&amp;" aptos)"))</f>
        <v/>
      </c>
      <c r="F17" s="160">
        <f>_xlfn.MINIFS($O$7:$AB$7,$O17:$AB17,1)</f>
        <v/>
      </c>
      <c r="G17" s="160">
        <f>_xlfn.MAXIFS($O$7:$AB$7,$O17:$AB17,1)</f>
        <v/>
      </c>
      <c r="H17" s="160">
        <f>SUMPRODUCT($O17:$AB17,$O$7:$AB$7)/C17</f>
        <v/>
      </c>
      <c r="I17" s="160">
        <f>_xlfn.AGGREGATE(16,6,$O$7:$AB$7/($O17:$AB17=1),0.5)</f>
        <v/>
      </c>
      <c r="J17" s="160">
        <f>SQRT((SUMPRODUCT($O17:$AB17,$O$7:$AB$7^2)-C17*H17^2)/(C17-1))</f>
        <v/>
      </c>
      <c r="K17" s="161">
        <f>J17/H17</f>
        <v/>
      </c>
      <c r="L17" s="160">
        <f>H17-J17</f>
        <v/>
      </c>
      <c r="M17" s="160">
        <f>H17+J17</f>
        <v/>
      </c>
      <c r="N17" s="159">
        <f>IF(K17&lt;=$D$4,"SÍ","NO")</f>
        <v/>
      </c>
      <c r="O17" s="153" t="n">
        <v>0</v>
      </c>
      <c r="P17" s="153" t="n">
        <v>0</v>
      </c>
      <c r="Q17" s="153" t="n">
        <v>0</v>
      </c>
      <c r="R17" s="153" t="n">
        <v>0</v>
      </c>
      <c r="S17" s="153" t="n">
        <v>0</v>
      </c>
      <c r="T17" s="153" t="n">
        <v>0</v>
      </c>
      <c r="U17" s="153" t="n">
        <v>1</v>
      </c>
      <c r="V17" s="153" t="n">
        <v>0</v>
      </c>
      <c r="W17" s="153" t="n">
        <v>1</v>
      </c>
      <c r="X17" s="153" t="n">
        <v>0</v>
      </c>
      <c r="Y17" s="153" t="n">
        <v>1</v>
      </c>
      <c r="Z17" s="153" t="n">
        <v>1</v>
      </c>
      <c r="AA17" s="153" t="n">
        <v>0</v>
      </c>
      <c r="AB17" s="153" t="n">
        <v>0</v>
      </c>
    </row>
    <row r="18">
      <c r="A18" s="163" t="inlineStr">
        <is>
          <t>Apartamentos</t>
        </is>
      </c>
      <c r="B18" s="159" t="n">
        <v>9</v>
      </c>
      <c r="C18" s="159">
        <f>SUM($O18:$AB18)</f>
        <v/>
      </c>
      <c r="D18" s="163">
        <f>SUBSTITUTE(TRIM(IF(O18=1,O$6&amp;" ","")&amp;IF(P18=1,P$6&amp;" ","")&amp;IF(Q18=1,Q$6&amp;" ","")&amp;IF(R18=1,R$6&amp;" ","")&amp;IF(S18=1,S$6&amp;" ","")&amp;IF(T18=1,T$6&amp;" ","")&amp;IF(U18=1,U$6&amp;" ","")&amp;IF(V18=1,V$6&amp;" ","")&amp;IF(W18=1,W$6&amp;" ","")&amp;IF(X18=1,X$6&amp;" ","")&amp;IF(Y18=1,Y$6&amp;" ","")&amp;IF(Z18=1,Z$6&amp;" ","")&amp;IF(AA18=1,AA$6&amp;" ","")&amp;IF(AB18=1,AB$6&amp;" ",""))," ",", ")</f>
        <v/>
      </c>
      <c r="E18" s="163">
        <f>IF(SUMPRODUCT($O18:$AB18*($O$6:$AB$6&lt;=6))=$C18,"Solo casas",IF(SUMPRODUCT($O18:$AB18*($O$6:$AB$6&gt;6))=$C18,"Solo apartamentos","Mixta ("&amp;SUMPRODUCT($O18:$AB18*($O$6:$AB$6&lt;=6))&amp;" casas + "&amp;SUMPRODUCT($O18:$AB18*($O$6:$AB$6&gt;6))&amp;" aptos)"))</f>
        <v/>
      </c>
      <c r="F18" s="160">
        <f>_xlfn.MINIFS($O$7:$AB$7,$O18:$AB18,1)</f>
        <v/>
      </c>
      <c r="G18" s="160">
        <f>_xlfn.MAXIFS($O$7:$AB$7,$O18:$AB18,1)</f>
        <v/>
      </c>
      <c r="H18" s="160">
        <f>SUMPRODUCT($O18:$AB18,$O$7:$AB$7)/C18</f>
        <v/>
      </c>
      <c r="I18" s="160">
        <f>_xlfn.AGGREGATE(16,6,$O$7:$AB$7/($O18:$AB18=1),0.5)</f>
        <v/>
      </c>
      <c r="J18" s="160">
        <f>SQRT((SUMPRODUCT($O18:$AB18,$O$7:$AB$7^2)-C18*H18^2)/(C18-1))</f>
        <v/>
      </c>
      <c r="K18" s="161">
        <f>J18/H18</f>
        <v/>
      </c>
      <c r="L18" s="160">
        <f>H18-J18</f>
        <v/>
      </c>
      <c r="M18" s="160">
        <f>H18+J18</f>
        <v/>
      </c>
      <c r="N18" s="159">
        <f>IF(K18&lt;=$D$4,"SÍ","NO")</f>
        <v/>
      </c>
      <c r="O18" s="153" t="n">
        <v>0</v>
      </c>
      <c r="P18" s="153" t="n">
        <v>0</v>
      </c>
      <c r="Q18" s="153" t="n">
        <v>0</v>
      </c>
      <c r="R18" s="153" t="n">
        <v>0</v>
      </c>
      <c r="S18" s="153" t="n">
        <v>0</v>
      </c>
      <c r="T18" s="153" t="n">
        <v>0</v>
      </c>
      <c r="U18" s="153" t="n">
        <v>1</v>
      </c>
      <c r="V18" s="153" t="n">
        <v>1</v>
      </c>
      <c r="W18" s="153" t="n">
        <v>1</v>
      </c>
      <c r="X18" s="153" t="n">
        <v>0</v>
      </c>
      <c r="Y18" s="153" t="n">
        <v>0</v>
      </c>
      <c r="Z18" s="153" t="n">
        <v>0</v>
      </c>
      <c r="AA18" s="153" t="n">
        <v>0</v>
      </c>
      <c r="AB18" s="153" t="n">
        <v>1</v>
      </c>
    </row>
    <row r="19">
      <c r="A19" s="163" t="inlineStr">
        <is>
          <t>Apartamentos</t>
        </is>
      </c>
      <c r="B19" s="159" t="n">
        <v>10</v>
      </c>
      <c r="C19" s="159">
        <f>SUM($O19:$AB19)</f>
        <v/>
      </c>
      <c r="D19" s="163">
        <f>SUBSTITUTE(TRIM(IF(O19=1,O$6&amp;" ","")&amp;IF(P19=1,P$6&amp;" ","")&amp;IF(Q19=1,Q$6&amp;" ","")&amp;IF(R19=1,R$6&amp;" ","")&amp;IF(S19=1,S$6&amp;" ","")&amp;IF(T19=1,T$6&amp;" ","")&amp;IF(U19=1,U$6&amp;" ","")&amp;IF(V19=1,V$6&amp;" ","")&amp;IF(W19=1,W$6&amp;" ","")&amp;IF(X19=1,X$6&amp;" ","")&amp;IF(Y19=1,Y$6&amp;" ","")&amp;IF(Z19=1,Z$6&amp;" ","")&amp;IF(AA19=1,AA$6&amp;" ","")&amp;IF(AB19=1,AB$6&amp;" ",""))," ",", ")</f>
        <v/>
      </c>
      <c r="E19" s="163">
        <f>IF(SUMPRODUCT($O19:$AB19*($O$6:$AB$6&lt;=6))=$C19,"Solo casas",IF(SUMPRODUCT($O19:$AB19*($O$6:$AB$6&gt;6))=$C19,"Solo apartamentos","Mixta ("&amp;SUMPRODUCT($O19:$AB19*($O$6:$AB$6&lt;=6))&amp;" casas + "&amp;SUMPRODUCT($O19:$AB19*($O$6:$AB$6&gt;6))&amp;" aptos)"))</f>
        <v/>
      </c>
      <c r="F19" s="160">
        <f>_xlfn.MINIFS($O$7:$AB$7,$O19:$AB19,1)</f>
        <v/>
      </c>
      <c r="G19" s="160">
        <f>_xlfn.MAXIFS($O$7:$AB$7,$O19:$AB19,1)</f>
        <v/>
      </c>
      <c r="H19" s="160">
        <f>SUMPRODUCT($O19:$AB19,$O$7:$AB$7)/C19</f>
        <v/>
      </c>
      <c r="I19" s="160">
        <f>_xlfn.AGGREGATE(16,6,$O$7:$AB$7/($O19:$AB19=1),0.5)</f>
        <v/>
      </c>
      <c r="J19" s="160">
        <f>SQRT((SUMPRODUCT($O19:$AB19,$O$7:$AB$7^2)-C19*H19^2)/(C19-1))</f>
        <v/>
      </c>
      <c r="K19" s="161">
        <f>J19/H19</f>
        <v/>
      </c>
      <c r="L19" s="160">
        <f>H19-J19</f>
        <v/>
      </c>
      <c r="M19" s="160">
        <f>H19+J19</f>
        <v/>
      </c>
      <c r="N19" s="159">
        <f>IF(K19&lt;=$D$4,"SÍ","NO")</f>
        <v/>
      </c>
      <c r="O19" s="153" t="n">
        <v>0</v>
      </c>
      <c r="P19" s="153" t="n">
        <v>0</v>
      </c>
      <c r="Q19" s="153" t="n">
        <v>0</v>
      </c>
      <c r="R19" s="153" t="n">
        <v>0</v>
      </c>
      <c r="S19" s="153" t="n">
        <v>0</v>
      </c>
      <c r="T19" s="153" t="n">
        <v>0</v>
      </c>
      <c r="U19" s="153" t="n">
        <v>1</v>
      </c>
      <c r="V19" s="153" t="n">
        <v>1</v>
      </c>
      <c r="W19" s="153" t="n">
        <v>1</v>
      </c>
      <c r="X19" s="153" t="n">
        <v>0</v>
      </c>
      <c r="Y19" s="153" t="n">
        <v>0</v>
      </c>
      <c r="Z19" s="153" t="n">
        <v>1</v>
      </c>
      <c r="AA19" s="153" t="n">
        <v>0</v>
      </c>
      <c r="AB19" s="153" t="n">
        <v>0</v>
      </c>
    </row>
    <row r="20">
      <c r="A20" s="163" t="inlineStr">
        <is>
          <t>Apartamentos</t>
        </is>
      </c>
      <c r="B20" s="159" t="n">
        <v>11</v>
      </c>
      <c r="C20" s="159">
        <f>SUM($O20:$AB20)</f>
        <v/>
      </c>
      <c r="D20" s="163">
        <f>SUBSTITUTE(TRIM(IF(O20=1,O$6&amp;" ","")&amp;IF(P20=1,P$6&amp;" ","")&amp;IF(Q20=1,Q$6&amp;" ","")&amp;IF(R20=1,R$6&amp;" ","")&amp;IF(S20=1,S$6&amp;" ","")&amp;IF(T20=1,T$6&amp;" ","")&amp;IF(U20=1,U$6&amp;" ","")&amp;IF(V20=1,V$6&amp;" ","")&amp;IF(W20=1,W$6&amp;" ","")&amp;IF(X20=1,X$6&amp;" ","")&amp;IF(Y20=1,Y$6&amp;" ","")&amp;IF(Z20=1,Z$6&amp;" ","")&amp;IF(AA20=1,AA$6&amp;" ","")&amp;IF(AB20=1,AB$6&amp;" ",""))," ",", ")</f>
        <v/>
      </c>
      <c r="E20" s="163">
        <f>IF(SUMPRODUCT($O20:$AB20*($O$6:$AB$6&lt;=6))=$C20,"Solo casas",IF(SUMPRODUCT($O20:$AB20*($O$6:$AB$6&gt;6))=$C20,"Solo apartamentos","Mixta ("&amp;SUMPRODUCT($O20:$AB20*($O$6:$AB$6&lt;=6))&amp;" casas + "&amp;SUMPRODUCT($O20:$AB20*($O$6:$AB$6&gt;6))&amp;" aptos)"))</f>
        <v/>
      </c>
      <c r="F20" s="160">
        <f>_xlfn.MINIFS($O$7:$AB$7,$O20:$AB20,1)</f>
        <v/>
      </c>
      <c r="G20" s="160">
        <f>_xlfn.MAXIFS($O$7:$AB$7,$O20:$AB20,1)</f>
        <v/>
      </c>
      <c r="H20" s="160">
        <f>SUMPRODUCT($O20:$AB20,$O$7:$AB$7)/C20</f>
        <v/>
      </c>
      <c r="I20" s="160">
        <f>_xlfn.AGGREGATE(16,6,$O$7:$AB$7/($O20:$AB20=1),0.5)</f>
        <v/>
      </c>
      <c r="J20" s="160">
        <f>SQRT((SUMPRODUCT($O20:$AB20,$O$7:$AB$7^2)-C20*H20^2)/(C20-1))</f>
        <v/>
      </c>
      <c r="K20" s="161">
        <f>J20/H20</f>
        <v/>
      </c>
      <c r="L20" s="160">
        <f>H20-J20</f>
        <v/>
      </c>
      <c r="M20" s="160">
        <f>H20+J20</f>
        <v/>
      </c>
      <c r="N20" s="159">
        <f>IF(K20&lt;=$D$4,"SÍ","NO")</f>
        <v/>
      </c>
      <c r="O20" s="153" t="n">
        <v>0</v>
      </c>
      <c r="P20" s="153" t="n">
        <v>0</v>
      </c>
      <c r="Q20" s="153" t="n">
        <v>0</v>
      </c>
      <c r="R20" s="153" t="n">
        <v>0</v>
      </c>
      <c r="S20" s="153" t="n">
        <v>0</v>
      </c>
      <c r="T20" s="153" t="n">
        <v>0</v>
      </c>
      <c r="U20" s="153" t="n">
        <v>1</v>
      </c>
      <c r="V20" s="153" t="n">
        <v>1</v>
      </c>
      <c r="W20" s="153" t="n">
        <v>0</v>
      </c>
      <c r="X20" s="153" t="n">
        <v>0</v>
      </c>
      <c r="Y20" s="153" t="n">
        <v>1</v>
      </c>
      <c r="Z20" s="153" t="n">
        <v>0</v>
      </c>
      <c r="AA20" s="153" t="n">
        <v>0</v>
      </c>
      <c r="AB20" s="153" t="n">
        <v>1</v>
      </c>
    </row>
    <row r="21">
      <c r="A21" s="163" t="inlineStr">
        <is>
          <t>Apartamentos</t>
        </is>
      </c>
      <c r="B21" s="159" t="n">
        <v>12</v>
      </c>
      <c r="C21" s="159">
        <f>SUM($O21:$AB21)</f>
        <v/>
      </c>
      <c r="D21" s="163">
        <f>SUBSTITUTE(TRIM(IF(O21=1,O$6&amp;" ","")&amp;IF(P21=1,P$6&amp;" ","")&amp;IF(Q21=1,Q$6&amp;" ","")&amp;IF(R21=1,R$6&amp;" ","")&amp;IF(S21=1,S$6&amp;" ","")&amp;IF(T21=1,T$6&amp;" ","")&amp;IF(U21=1,U$6&amp;" ","")&amp;IF(V21=1,V$6&amp;" ","")&amp;IF(W21=1,W$6&amp;" ","")&amp;IF(X21=1,X$6&amp;" ","")&amp;IF(Y21=1,Y$6&amp;" ","")&amp;IF(Z21=1,Z$6&amp;" ","")&amp;IF(AA21=1,AA$6&amp;" ","")&amp;IF(AB21=1,AB$6&amp;" ",""))," ",", ")</f>
        <v/>
      </c>
      <c r="E21" s="163">
        <f>IF(SUMPRODUCT($O21:$AB21*($O$6:$AB$6&lt;=6))=$C21,"Solo casas",IF(SUMPRODUCT($O21:$AB21*($O$6:$AB$6&gt;6))=$C21,"Solo apartamentos","Mixta ("&amp;SUMPRODUCT($O21:$AB21*($O$6:$AB$6&lt;=6))&amp;" casas + "&amp;SUMPRODUCT($O21:$AB21*($O$6:$AB$6&gt;6))&amp;" aptos)"))</f>
        <v/>
      </c>
      <c r="F21" s="160">
        <f>_xlfn.MINIFS($O$7:$AB$7,$O21:$AB21,1)</f>
        <v/>
      </c>
      <c r="G21" s="160">
        <f>_xlfn.MAXIFS($O$7:$AB$7,$O21:$AB21,1)</f>
        <v/>
      </c>
      <c r="H21" s="160">
        <f>SUMPRODUCT($O21:$AB21,$O$7:$AB$7)/C21</f>
        <v/>
      </c>
      <c r="I21" s="160">
        <f>_xlfn.AGGREGATE(16,6,$O$7:$AB$7/($O21:$AB21=1),0.5)</f>
        <v/>
      </c>
      <c r="J21" s="160">
        <f>SQRT((SUMPRODUCT($O21:$AB21,$O$7:$AB$7^2)-C21*H21^2)/(C21-1))</f>
        <v/>
      </c>
      <c r="K21" s="161">
        <f>J21/H21</f>
        <v/>
      </c>
      <c r="L21" s="160">
        <f>H21-J21</f>
        <v/>
      </c>
      <c r="M21" s="160">
        <f>H21+J21</f>
        <v/>
      </c>
      <c r="N21" s="159">
        <f>IF(K21&lt;=$D$4,"SÍ","NO")</f>
        <v/>
      </c>
      <c r="O21" s="153" t="n">
        <v>0</v>
      </c>
      <c r="P21" s="153" t="n">
        <v>0</v>
      </c>
      <c r="Q21" s="153" t="n">
        <v>0</v>
      </c>
      <c r="R21" s="153" t="n">
        <v>0</v>
      </c>
      <c r="S21" s="153" t="n">
        <v>0</v>
      </c>
      <c r="T21" s="153" t="n">
        <v>0</v>
      </c>
      <c r="U21" s="153" t="n">
        <v>1</v>
      </c>
      <c r="V21" s="153" t="n">
        <v>1</v>
      </c>
      <c r="W21" s="153" t="n">
        <v>0</v>
      </c>
      <c r="X21" s="153" t="n">
        <v>0</v>
      </c>
      <c r="Y21" s="153" t="n">
        <v>1</v>
      </c>
      <c r="Z21" s="153" t="n">
        <v>0</v>
      </c>
      <c r="AA21" s="153" t="n">
        <v>0</v>
      </c>
      <c r="AB21" s="153" t="n">
        <v>0</v>
      </c>
    </row>
    <row r="22">
      <c r="A22" s="163" t="inlineStr">
        <is>
          <t>Apartamentos</t>
        </is>
      </c>
      <c r="B22" s="159" t="n">
        <v>13</v>
      </c>
      <c r="C22" s="159">
        <f>SUM($O22:$AB22)</f>
        <v/>
      </c>
      <c r="D22" s="163">
        <f>SUBSTITUTE(TRIM(IF(O22=1,O$6&amp;" ","")&amp;IF(P22=1,P$6&amp;" ","")&amp;IF(Q22=1,Q$6&amp;" ","")&amp;IF(R22=1,R$6&amp;" ","")&amp;IF(S22=1,S$6&amp;" ","")&amp;IF(T22=1,T$6&amp;" ","")&amp;IF(U22=1,U$6&amp;" ","")&amp;IF(V22=1,V$6&amp;" ","")&amp;IF(W22=1,W$6&amp;" ","")&amp;IF(X22=1,X$6&amp;" ","")&amp;IF(Y22=1,Y$6&amp;" ","")&amp;IF(Z22=1,Z$6&amp;" ","")&amp;IF(AA22=1,AA$6&amp;" ","")&amp;IF(AB22=1,AB$6&amp;" ",""))," ",", ")</f>
        <v/>
      </c>
      <c r="E22" s="163">
        <f>IF(SUMPRODUCT($O22:$AB22*($O$6:$AB$6&lt;=6))=$C22,"Solo casas",IF(SUMPRODUCT($O22:$AB22*($O$6:$AB$6&gt;6))=$C22,"Solo apartamentos","Mixta ("&amp;SUMPRODUCT($O22:$AB22*($O$6:$AB$6&lt;=6))&amp;" casas + "&amp;SUMPRODUCT($O22:$AB22*($O$6:$AB$6&gt;6))&amp;" aptos)"))</f>
        <v/>
      </c>
      <c r="F22" s="160">
        <f>_xlfn.MINIFS($O$7:$AB$7,$O22:$AB22,1)</f>
        <v/>
      </c>
      <c r="G22" s="160">
        <f>_xlfn.MAXIFS($O$7:$AB$7,$O22:$AB22,1)</f>
        <v/>
      </c>
      <c r="H22" s="160">
        <f>SUMPRODUCT($O22:$AB22,$O$7:$AB$7)/C22</f>
        <v/>
      </c>
      <c r="I22" s="160">
        <f>_xlfn.AGGREGATE(16,6,$O$7:$AB$7/($O22:$AB22=1),0.5)</f>
        <v/>
      </c>
      <c r="J22" s="160">
        <f>SQRT((SUMPRODUCT($O22:$AB22,$O$7:$AB$7^2)-C22*H22^2)/(C22-1))</f>
        <v/>
      </c>
      <c r="K22" s="161">
        <f>J22/H22</f>
        <v/>
      </c>
      <c r="L22" s="160">
        <f>H22-J22</f>
        <v/>
      </c>
      <c r="M22" s="160">
        <f>H22+J22</f>
        <v/>
      </c>
      <c r="N22" s="159">
        <f>IF(K22&lt;=$D$4,"SÍ","NO")</f>
        <v/>
      </c>
      <c r="O22" s="153" t="n">
        <v>0</v>
      </c>
      <c r="P22" s="153" t="n">
        <v>0</v>
      </c>
      <c r="Q22" s="153" t="n">
        <v>0</v>
      </c>
      <c r="R22" s="153" t="n">
        <v>0</v>
      </c>
      <c r="S22" s="153" t="n">
        <v>0</v>
      </c>
      <c r="T22" s="153" t="n">
        <v>0</v>
      </c>
      <c r="U22" s="153" t="n">
        <v>1</v>
      </c>
      <c r="V22" s="153" t="n">
        <v>0</v>
      </c>
      <c r="W22" s="153" t="n">
        <v>0</v>
      </c>
      <c r="X22" s="153" t="n">
        <v>0</v>
      </c>
      <c r="Y22" s="153" t="n">
        <v>1</v>
      </c>
      <c r="Z22" s="153" t="n">
        <v>1</v>
      </c>
      <c r="AA22" s="153" t="n">
        <v>0</v>
      </c>
      <c r="AB22" s="153" t="n">
        <v>0</v>
      </c>
    </row>
    <row r="23">
      <c r="A23" s="163" t="inlineStr">
        <is>
          <t>Apartamentos</t>
        </is>
      </c>
      <c r="B23" s="159" t="n">
        <v>14</v>
      </c>
      <c r="C23" s="159">
        <f>SUM($O23:$AB23)</f>
        <v/>
      </c>
      <c r="D23" s="163">
        <f>SUBSTITUTE(TRIM(IF(O23=1,O$6&amp;" ","")&amp;IF(P23=1,P$6&amp;" ","")&amp;IF(Q23=1,Q$6&amp;" ","")&amp;IF(R23=1,R$6&amp;" ","")&amp;IF(S23=1,S$6&amp;" ","")&amp;IF(T23=1,T$6&amp;" ","")&amp;IF(U23=1,U$6&amp;" ","")&amp;IF(V23=1,V$6&amp;" ","")&amp;IF(W23=1,W$6&amp;" ","")&amp;IF(X23=1,X$6&amp;" ","")&amp;IF(Y23=1,Y$6&amp;" ","")&amp;IF(Z23=1,Z$6&amp;" ","")&amp;IF(AA23=1,AA$6&amp;" ","")&amp;IF(AB23=1,AB$6&amp;" ",""))," ",", ")</f>
        <v/>
      </c>
      <c r="E23" s="163">
        <f>IF(SUMPRODUCT($O23:$AB23*($O$6:$AB$6&lt;=6))=$C23,"Solo casas",IF(SUMPRODUCT($O23:$AB23*($O$6:$AB$6&gt;6))=$C23,"Solo apartamentos","Mixta ("&amp;SUMPRODUCT($O23:$AB23*($O$6:$AB$6&lt;=6))&amp;" casas + "&amp;SUMPRODUCT($O23:$AB23*($O$6:$AB$6&gt;6))&amp;" aptos)"))</f>
        <v/>
      </c>
      <c r="F23" s="160">
        <f>_xlfn.MINIFS($O$7:$AB$7,$O23:$AB23,1)</f>
        <v/>
      </c>
      <c r="G23" s="160">
        <f>_xlfn.MAXIFS($O$7:$AB$7,$O23:$AB23,1)</f>
        <v/>
      </c>
      <c r="H23" s="160">
        <f>SUMPRODUCT($O23:$AB23,$O$7:$AB$7)/C23</f>
        <v/>
      </c>
      <c r="I23" s="160">
        <f>_xlfn.AGGREGATE(16,6,$O$7:$AB$7/($O23:$AB23=1),0.5)</f>
        <v/>
      </c>
      <c r="J23" s="160">
        <f>SQRT((SUMPRODUCT($O23:$AB23,$O$7:$AB$7^2)-C23*H23^2)/(C23-1))</f>
        <v/>
      </c>
      <c r="K23" s="161">
        <f>J23/H23</f>
        <v/>
      </c>
      <c r="L23" s="160">
        <f>H23-J23</f>
        <v/>
      </c>
      <c r="M23" s="160">
        <f>H23+J23</f>
        <v/>
      </c>
      <c r="N23" s="159">
        <f>IF(K23&lt;=$D$4,"SÍ","NO")</f>
        <v/>
      </c>
      <c r="O23" s="153" t="n">
        <v>0</v>
      </c>
      <c r="P23" s="153" t="n">
        <v>0</v>
      </c>
      <c r="Q23" s="153" t="n">
        <v>0</v>
      </c>
      <c r="R23" s="153" t="n">
        <v>0</v>
      </c>
      <c r="S23" s="153" t="n">
        <v>0</v>
      </c>
      <c r="T23" s="153" t="n">
        <v>0</v>
      </c>
      <c r="U23" s="153" t="n">
        <v>0</v>
      </c>
      <c r="V23" s="153" t="n">
        <v>1</v>
      </c>
      <c r="W23" s="153" t="n">
        <v>0</v>
      </c>
      <c r="X23" s="153" t="n">
        <v>0</v>
      </c>
      <c r="Y23" s="153" t="n">
        <v>1</v>
      </c>
      <c r="Z23" s="153" t="n">
        <v>1</v>
      </c>
      <c r="AA23" s="153" t="n">
        <v>0</v>
      </c>
      <c r="AB23" s="153" t="n">
        <v>0</v>
      </c>
    </row>
    <row r="24">
      <c r="A24" s="163" t="inlineStr">
        <is>
          <t>Apartamentos</t>
        </is>
      </c>
      <c r="B24" s="159" t="n">
        <v>15</v>
      </c>
      <c r="C24" s="159">
        <f>SUM($O24:$AB24)</f>
        <v/>
      </c>
      <c r="D24" s="163">
        <f>SUBSTITUTE(TRIM(IF(O24=1,O$6&amp;" ","")&amp;IF(P24=1,P$6&amp;" ","")&amp;IF(Q24=1,Q$6&amp;" ","")&amp;IF(R24=1,R$6&amp;" ","")&amp;IF(S24=1,S$6&amp;" ","")&amp;IF(T24=1,T$6&amp;" ","")&amp;IF(U24=1,U$6&amp;" ","")&amp;IF(V24=1,V$6&amp;" ","")&amp;IF(W24=1,W$6&amp;" ","")&amp;IF(X24=1,X$6&amp;" ","")&amp;IF(Y24=1,Y$6&amp;" ","")&amp;IF(Z24=1,Z$6&amp;" ","")&amp;IF(AA24=1,AA$6&amp;" ","")&amp;IF(AB24=1,AB$6&amp;" ",""))," ",", ")</f>
        <v/>
      </c>
      <c r="E24" s="163">
        <f>IF(SUMPRODUCT($O24:$AB24*($O$6:$AB$6&lt;=6))=$C24,"Solo casas",IF(SUMPRODUCT($O24:$AB24*($O$6:$AB$6&gt;6))=$C24,"Solo apartamentos","Mixta ("&amp;SUMPRODUCT($O24:$AB24*($O$6:$AB$6&lt;=6))&amp;" casas + "&amp;SUMPRODUCT($O24:$AB24*($O$6:$AB$6&gt;6))&amp;" aptos)"))</f>
        <v/>
      </c>
      <c r="F24" s="160">
        <f>_xlfn.MINIFS($O$7:$AB$7,$O24:$AB24,1)</f>
        <v/>
      </c>
      <c r="G24" s="160">
        <f>_xlfn.MAXIFS($O$7:$AB$7,$O24:$AB24,1)</f>
        <v/>
      </c>
      <c r="H24" s="160">
        <f>SUMPRODUCT($O24:$AB24,$O$7:$AB$7)/C24</f>
        <v/>
      </c>
      <c r="I24" s="160">
        <f>_xlfn.AGGREGATE(16,6,$O$7:$AB$7/($O24:$AB24=1),0.5)</f>
        <v/>
      </c>
      <c r="J24" s="160">
        <f>SQRT((SUMPRODUCT($O24:$AB24,$O$7:$AB$7^2)-C24*H24^2)/(C24-1))</f>
        <v/>
      </c>
      <c r="K24" s="161">
        <f>J24/H24</f>
        <v/>
      </c>
      <c r="L24" s="160">
        <f>H24-J24</f>
        <v/>
      </c>
      <c r="M24" s="160">
        <f>H24+J24</f>
        <v/>
      </c>
      <c r="N24" s="159">
        <f>IF(K24&lt;=$D$4,"SÍ","NO")</f>
        <v/>
      </c>
      <c r="O24" s="153" t="n">
        <v>0</v>
      </c>
      <c r="P24" s="153" t="n">
        <v>0</v>
      </c>
      <c r="Q24" s="153" t="n">
        <v>0</v>
      </c>
      <c r="R24" s="153" t="n">
        <v>0</v>
      </c>
      <c r="S24" s="153" t="n">
        <v>0</v>
      </c>
      <c r="T24" s="153" t="n">
        <v>0</v>
      </c>
      <c r="U24" s="153" t="n">
        <v>1</v>
      </c>
      <c r="V24" s="153" t="n">
        <v>1</v>
      </c>
      <c r="W24" s="153" t="n">
        <v>0</v>
      </c>
      <c r="X24" s="153" t="n">
        <v>0</v>
      </c>
      <c r="Y24" s="153" t="n">
        <v>0</v>
      </c>
      <c r="Z24" s="153" t="n">
        <v>1</v>
      </c>
      <c r="AA24" s="153" t="n">
        <v>0</v>
      </c>
      <c r="AB24" s="153" t="n">
        <v>0</v>
      </c>
    </row>
    <row r="25">
      <c r="A25" s="163" t="inlineStr">
        <is>
          <t>Apartamentos</t>
        </is>
      </c>
      <c r="B25" s="159" t="n">
        <v>16</v>
      </c>
      <c r="C25" s="159">
        <f>SUM($O25:$AB25)</f>
        <v/>
      </c>
      <c r="D25" s="163">
        <f>SUBSTITUTE(TRIM(IF(O25=1,O$6&amp;" ","")&amp;IF(P25=1,P$6&amp;" ","")&amp;IF(Q25=1,Q$6&amp;" ","")&amp;IF(R25=1,R$6&amp;" ","")&amp;IF(S25=1,S$6&amp;" ","")&amp;IF(T25=1,T$6&amp;" ","")&amp;IF(U25=1,U$6&amp;" ","")&amp;IF(V25=1,V$6&amp;" ","")&amp;IF(W25=1,W$6&amp;" ","")&amp;IF(X25=1,X$6&amp;" ","")&amp;IF(Y25=1,Y$6&amp;" ","")&amp;IF(Z25=1,Z$6&amp;" ","")&amp;IF(AA25=1,AA$6&amp;" ","")&amp;IF(AB25=1,AB$6&amp;" ",""))," ",", ")</f>
        <v/>
      </c>
      <c r="E25" s="163">
        <f>IF(SUMPRODUCT($O25:$AB25*($O$6:$AB$6&lt;=6))=$C25,"Solo casas",IF(SUMPRODUCT($O25:$AB25*($O$6:$AB$6&gt;6))=$C25,"Solo apartamentos","Mixta ("&amp;SUMPRODUCT($O25:$AB25*($O$6:$AB$6&lt;=6))&amp;" casas + "&amp;SUMPRODUCT($O25:$AB25*($O$6:$AB$6&gt;6))&amp;" aptos)"))</f>
        <v/>
      </c>
      <c r="F25" s="160">
        <f>_xlfn.MINIFS($O$7:$AB$7,$O25:$AB25,1)</f>
        <v/>
      </c>
      <c r="G25" s="160">
        <f>_xlfn.MAXIFS($O$7:$AB$7,$O25:$AB25,1)</f>
        <v/>
      </c>
      <c r="H25" s="160">
        <f>SUMPRODUCT($O25:$AB25,$O$7:$AB$7)/C25</f>
        <v/>
      </c>
      <c r="I25" s="160">
        <f>_xlfn.AGGREGATE(16,6,$O$7:$AB$7/($O25:$AB25=1),0.5)</f>
        <v/>
      </c>
      <c r="J25" s="160">
        <f>SQRT((SUMPRODUCT($O25:$AB25,$O$7:$AB$7^2)-C25*H25^2)/(C25-1))</f>
        <v/>
      </c>
      <c r="K25" s="161">
        <f>J25/H25</f>
        <v/>
      </c>
      <c r="L25" s="160">
        <f>H25-J25</f>
        <v/>
      </c>
      <c r="M25" s="160">
        <f>H25+J25</f>
        <v/>
      </c>
      <c r="N25" s="159">
        <f>IF(K25&lt;=$D$4,"SÍ","NO")</f>
        <v/>
      </c>
      <c r="O25" s="153" t="n">
        <v>0</v>
      </c>
      <c r="P25" s="153" t="n">
        <v>0</v>
      </c>
      <c r="Q25" s="153" t="n">
        <v>0</v>
      </c>
      <c r="R25" s="153" t="n">
        <v>0</v>
      </c>
      <c r="S25" s="153" t="n">
        <v>0</v>
      </c>
      <c r="T25" s="153" t="n">
        <v>0</v>
      </c>
      <c r="U25" s="153" t="n">
        <v>0</v>
      </c>
      <c r="V25" s="153" t="n">
        <v>0</v>
      </c>
      <c r="W25" s="153" t="n">
        <v>0</v>
      </c>
      <c r="X25" s="153" t="n">
        <v>1</v>
      </c>
      <c r="Y25" s="153" t="n">
        <v>0</v>
      </c>
      <c r="Z25" s="153" t="n">
        <v>0</v>
      </c>
      <c r="AA25" s="153" t="n">
        <v>1</v>
      </c>
      <c r="AB25" s="153" t="n">
        <v>1</v>
      </c>
    </row>
    <row r="26">
      <c r="A26" s="163" t="inlineStr">
        <is>
          <t>Apartamentos</t>
        </is>
      </c>
      <c r="B26" s="159" t="n">
        <v>17</v>
      </c>
      <c r="C26" s="159">
        <f>SUM($O26:$AB26)</f>
        <v/>
      </c>
      <c r="D26" s="163">
        <f>SUBSTITUTE(TRIM(IF(O26=1,O$6&amp;" ","")&amp;IF(P26=1,P$6&amp;" ","")&amp;IF(Q26=1,Q$6&amp;" ","")&amp;IF(R26=1,R$6&amp;" ","")&amp;IF(S26=1,S$6&amp;" ","")&amp;IF(T26=1,T$6&amp;" ","")&amp;IF(U26=1,U$6&amp;" ","")&amp;IF(V26=1,V$6&amp;" ","")&amp;IF(W26=1,W$6&amp;" ","")&amp;IF(X26=1,X$6&amp;" ","")&amp;IF(Y26=1,Y$6&amp;" ","")&amp;IF(Z26=1,Z$6&amp;" ","")&amp;IF(AA26=1,AA$6&amp;" ","")&amp;IF(AB26=1,AB$6&amp;" ",""))," ",", ")</f>
        <v/>
      </c>
      <c r="E26" s="163">
        <f>IF(SUMPRODUCT($O26:$AB26*($O$6:$AB$6&lt;=6))=$C26,"Solo casas",IF(SUMPRODUCT($O26:$AB26*($O$6:$AB$6&gt;6))=$C26,"Solo apartamentos","Mixta ("&amp;SUMPRODUCT($O26:$AB26*($O$6:$AB$6&lt;=6))&amp;" casas + "&amp;SUMPRODUCT($O26:$AB26*($O$6:$AB$6&gt;6))&amp;" aptos)"))</f>
        <v/>
      </c>
      <c r="F26" s="160">
        <f>_xlfn.MINIFS($O$7:$AB$7,$O26:$AB26,1)</f>
        <v/>
      </c>
      <c r="G26" s="160">
        <f>_xlfn.MAXIFS($O$7:$AB$7,$O26:$AB26,1)</f>
        <v/>
      </c>
      <c r="H26" s="160">
        <f>SUMPRODUCT($O26:$AB26,$O$7:$AB$7)/C26</f>
        <v/>
      </c>
      <c r="I26" s="160">
        <f>_xlfn.AGGREGATE(16,6,$O$7:$AB$7/($O26:$AB26=1),0.5)</f>
        <v/>
      </c>
      <c r="J26" s="160">
        <f>SQRT((SUMPRODUCT($O26:$AB26,$O$7:$AB$7^2)-C26*H26^2)/(C26-1))</f>
        <v/>
      </c>
      <c r="K26" s="161">
        <f>J26/H26</f>
        <v/>
      </c>
      <c r="L26" s="160">
        <f>H26-J26</f>
        <v/>
      </c>
      <c r="M26" s="160">
        <f>H26+J26</f>
        <v/>
      </c>
      <c r="N26" s="159">
        <f>IF(K26&lt;=$D$4,"SÍ","NO")</f>
        <v/>
      </c>
      <c r="O26" s="153" t="n">
        <v>0</v>
      </c>
      <c r="P26" s="153" t="n">
        <v>0</v>
      </c>
      <c r="Q26" s="153" t="n">
        <v>0</v>
      </c>
      <c r="R26" s="153" t="n">
        <v>0</v>
      </c>
      <c r="S26" s="153" t="n">
        <v>0</v>
      </c>
      <c r="T26" s="153" t="n">
        <v>0</v>
      </c>
      <c r="U26" s="153" t="n">
        <v>0</v>
      </c>
      <c r="V26" s="153" t="n">
        <v>1</v>
      </c>
      <c r="W26" s="153" t="n">
        <v>1</v>
      </c>
      <c r="X26" s="153" t="n">
        <v>0</v>
      </c>
      <c r="Y26" s="153" t="n">
        <v>0</v>
      </c>
      <c r="Z26" s="153" t="n">
        <v>0</v>
      </c>
      <c r="AA26" s="153" t="n">
        <v>0</v>
      </c>
      <c r="AB26" s="153" t="n">
        <v>1</v>
      </c>
    </row>
    <row r="27">
      <c r="A27" s="163" t="inlineStr">
        <is>
          <t>Apartamentos</t>
        </is>
      </c>
      <c r="B27" s="159" t="n">
        <v>18</v>
      </c>
      <c r="C27" s="159">
        <f>SUM($O27:$AB27)</f>
        <v/>
      </c>
      <c r="D27" s="163">
        <f>SUBSTITUTE(TRIM(IF(O27=1,O$6&amp;" ","")&amp;IF(P27=1,P$6&amp;" ","")&amp;IF(Q27=1,Q$6&amp;" ","")&amp;IF(R27=1,R$6&amp;" ","")&amp;IF(S27=1,S$6&amp;" ","")&amp;IF(T27=1,T$6&amp;" ","")&amp;IF(U27=1,U$6&amp;" ","")&amp;IF(V27=1,V$6&amp;" ","")&amp;IF(W27=1,W$6&amp;" ","")&amp;IF(X27=1,X$6&amp;" ","")&amp;IF(Y27=1,Y$6&amp;" ","")&amp;IF(Z27=1,Z$6&amp;" ","")&amp;IF(AA27=1,AA$6&amp;" ","")&amp;IF(AB27=1,AB$6&amp;" ",""))," ",", ")</f>
        <v/>
      </c>
      <c r="E27" s="163">
        <f>IF(SUMPRODUCT($O27:$AB27*($O$6:$AB$6&lt;=6))=$C27,"Solo casas",IF(SUMPRODUCT($O27:$AB27*($O$6:$AB$6&gt;6))=$C27,"Solo apartamentos","Mixta ("&amp;SUMPRODUCT($O27:$AB27*($O$6:$AB$6&lt;=6))&amp;" casas + "&amp;SUMPRODUCT($O27:$AB27*($O$6:$AB$6&gt;6))&amp;" aptos)"))</f>
        <v/>
      </c>
      <c r="F27" s="160">
        <f>_xlfn.MINIFS($O$7:$AB$7,$O27:$AB27,1)</f>
        <v/>
      </c>
      <c r="G27" s="160">
        <f>_xlfn.MAXIFS($O$7:$AB$7,$O27:$AB27,1)</f>
        <v/>
      </c>
      <c r="H27" s="160">
        <f>SUMPRODUCT($O27:$AB27,$O$7:$AB$7)/C27</f>
        <v/>
      </c>
      <c r="I27" s="160">
        <f>_xlfn.AGGREGATE(16,6,$O$7:$AB$7/($O27:$AB27=1),0.5)</f>
        <v/>
      </c>
      <c r="J27" s="160">
        <f>SQRT((SUMPRODUCT($O27:$AB27,$O$7:$AB$7^2)-C27*H27^2)/(C27-1))</f>
        <v/>
      </c>
      <c r="K27" s="161">
        <f>J27/H27</f>
        <v/>
      </c>
      <c r="L27" s="160">
        <f>H27-J27</f>
        <v/>
      </c>
      <c r="M27" s="160">
        <f>H27+J27</f>
        <v/>
      </c>
      <c r="N27" s="159">
        <f>IF(K27&lt;=$D$4,"SÍ","NO")</f>
        <v/>
      </c>
      <c r="O27" s="153" t="n">
        <v>0</v>
      </c>
      <c r="P27" s="153" t="n">
        <v>0</v>
      </c>
      <c r="Q27" s="153" t="n">
        <v>0</v>
      </c>
      <c r="R27" s="153" t="n">
        <v>0</v>
      </c>
      <c r="S27" s="153" t="n">
        <v>0</v>
      </c>
      <c r="T27" s="153" t="n">
        <v>0</v>
      </c>
      <c r="U27" s="153" t="n">
        <v>0</v>
      </c>
      <c r="V27" s="153" t="n">
        <v>1</v>
      </c>
      <c r="W27" s="153" t="n">
        <v>1</v>
      </c>
      <c r="X27" s="153" t="n">
        <v>0</v>
      </c>
      <c r="Y27" s="153" t="n">
        <v>1</v>
      </c>
      <c r="Z27" s="153" t="n">
        <v>0</v>
      </c>
      <c r="AA27" s="153" t="n">
        <v>0</v>
      </c>
      <c r="AB27" s="153" t="n">
        <v>0</v>
      </c>
    </row>
    <row r="28">
      <c r="A28" s="163" t="inlineStr">
        <is>
          <t>Apartamentos</t>
        </is>
      </c>
      <c r="B28" s="159" t="n">
        <v>19</v>
      </c>
      <c r="C28" s="159">
        <f>SUM($O28:$AB28)</f>
        <v/>
      </c>
      <c r="D28" s="163">
        <f>SUBSTITUTE(TRIM(IF(O28=1,O$6&amp;" ","")&amp;IF(P28=1,P$6&amp;" ","")&amp;IF(Q28=1,Q$6&amp;" ","")&amp;IF(R28=1,R$6&amp;" ","")&amp;IF(S28=1,S$6&amp;" ","")&amp;IF(T28=1,T$6&amp;" ","")&amp;IF(U28=1,U$6&amp;" ","")&amp;IF(V28=1,V$6&amp;" ","")&amp;IF(W28=1,W$6&amp;" ","")&amp;IF(X28=1,X$6&amp;" ","")&amp;IF(Y28=1,Y$6&amp;" ","")&amp;IF(Z28=1,Z$6&amp;" ","")&amp;IF(AA28=1,AA$6&amp;" ","")&amp;IF(AB28=1,AB$6&amp;" ",""))," ",", ")</f>
        <v/>
      </c>
      <c r="E28" s="163">
        <f>IF(SUMPRODUCT($O28:$AB28*($O$6:$AB$6&lt;=6))=$C28,"Solo casas",IF(SUMPRODUCT($O28:$AB28*($O$6:$AB$6&gt;6))=$C28,"Solo apartamentos","Mixta ("&amp;SUMPRODUCT($O28:$AB28*($O$6:$AB$6&lt;=6))&amp;" casas + "&amp;SUMPRODUCT($O28:$AB28*($O$6:$AB$6&gt;6))&amp;" aptos)"))</f>
        <v/>
      </c>
      <c r="F28" s="160">
        <f>_xlfn.MINIFS($O$7:$AB$7,$O28:$AB28,1)</f>
        <v/>
      </c>
      <c r="G28" s="160">
        <f>_xlfn.MAXIFS($O$7:$AB$7,$O28:$AB28,1)</f>
        <v/>
      </c>
      <c r="H28" s="160">
        <f>SUMPRODUCT($O28:$AB28,$O$7:$AB$7)/C28</f>
        <v/>
      </c>
      <c r="I28" s="160">
        <f>_xlfn.AGGREGATE(16,6,$O$7:$AB$7/($O28:$AB28=1),0.5)</f>
        <v/>
      </c>
      <c r="J28" s="160">
        <f>SQRT((SUMPRODUCT($O28:$AB28,$O$7:$AB$7^2)-C28*H28^2)/(C28-1))</f>
        <v/>
      </c>
      <c r="K28" s="161">
        <f>J28/H28</f>
        <v/>
      </c>
      <c r="L28" s="160">
        <f>H28-J28</f>
        <v/>
      </c>
      <c r="M28" s="160">
        <f>H28+J28</f>
        <v/>
      </c>
      <c r="N28" s="159">
        <f>IF(K28&lt;=$D$4,"SÍ","NO")</f>
        <v/>
      </c>
      <c r="O28" s="153" t="n">
        <v>0</v>
      </c>
      <c r="P28" s="153" t="n">
        <v>0</v>
      </c>
      <c r="Q28" s="153" t="n">
        <v>0</v>
      </c>
      <c r="R28" s="153" t="n">
        <v>0</v>
      </c>
      <c r="S28" s="153" t="n">
        <v>0</v>
      </c>
      <c r="T28" s="153" t="n">
        <v>0</v>
      </c>
      <c r="U28" s="153" t="n">
        <v>0</v>
      </c>
      <c r="V28" s="153" t="n">
        <v>0</v>
      </c>
      <c r="W28" s="153" t="n">
        <v>1</v>
      </c>
      <c r="X28" s="153" t="n">
        <v>1</v>
      </c>
      <c r="Y28" s="153" t="n">
        <v>0</v>
      </c>
      <c r="Z28" s="153" t="n">
        <v>0</v>
      </c>
      <c r="AA28" s="153" t="n">
        <v>0</v>
      </c>
      <c r="AB28" s="153" t="n">
        <v>1</v>
      </c>
    </row>
    <row r="29">
      <c r="A29" s="163" t="inlineStr">
        <is>
          <t>Apartamentos</t>
        </is>
      </c>
      <c r="B29" s="159" t="n">
        <v>20</v>
      </c>
      <c r="C29" s="159">
        <f>SUM($O29:$AB29)</f>
        <v/>
      </c>
      <c r="D29" s="163">
        <f>SUBSTITUTE(TRIM(IF(O29=1,O$6&amp;" ","")&amp;IF(P29=1,P$6&amp;" ","")&amp;IF(Q29=1,Q$6&amp;" ","")&amp;IF(R29=1,R$6&amp;" ","")&amp;IF(S29=1,S$6&amp;" ","")&amp;IF(T29=1,T$6&amp;" ","")&amp;IF(U29=1,U$6&amp;" ","")&amp;IF(V29=1,V$6&amp;" ","")&amp;IF(W29=1,W$6&amp;" ","")&amp;IF(X29=1,X$6&amp;" ","")&amp;IF(Y29=1,Y$6&amp;" ","")&amp;IF(Z29=1,Z$6&amp;" ","")&amp;IF(AA29=1,AA$6&amp;" ","")&amp;IF(AB29=1,AB$6&amp;" ",""))," ",", ")</f>
        <v/>
      </c>
      <c r="E29" s="163">
        <f>IF(SUMPRODUCT($O29:$AB29*($O$6:$AB$6&lt;=6))=$C29,"Solo casas",IF(SUMPRODUCT($O29:$AB29*($O$6:$AB$6&gt;6))=$C29,"Solo apartamentos","Mixta ("&amp;SUMPRODUCT($O29:$AB29*($O$6:$AB$6&lt;=6))&amp;" casas + "&amp;SUMPRODUCT($O29:$AB29*($O$6:$AB$6&gt;6))&amp;" aptos)"))</f>
        <v/>
      </c>
      <c r="F29" s="160">
        <f>_xlfn.MINIFS($O$7:$AB$7,$O29:$AB29,1)</f>
        <v/>
      </c>
      <c r="G29" s="160">
        <f>_xlfn.MAXIFS($O$7:$AB$7,$O29:$AB29,1)</f>
        <v/>
      </c>
      <c r="H29" s="160">
        <f>SUMPRODUCT($O29:$AB29,$O$7:$AB$7)/C29</f>
        <v/>
      </c>
      <c r="I29" s="160">
        <f>_xlfn.AGGREGATE(16,6,$O$7:$AB$7/($O29:$AB29=1),0.5)</f>
        <v/>
      </c>
      <c r="J29" s="160">
        <f>SQRT((SUMPRODUCT($O29:$AB29,$O$7:$AB$7^2)-C29*H29^2)/(C29-1))</f>
        <v/>
      </c>
      <c r="K29" s="161">
        <f>J29/H29</f>
        <v/>
      </c>
      <c r="L29" s="160">
        <f>H29-J29</f>
        <v/>
      </c>
      <c r="M29" s="160">
        <f>H29+J29</f>
        <v/>
      </c>
      <c r="N29" s="159">
        <f>IF(K29&lt;=$D$4,"SÍ","NO")</f>
        <v/>
      </c>
      <c r="O29" s="153" t="n">
        <v>0</v>
      </c>
      <c r="P29" s="153" t="n">
        <v>0</v>
      </c>
      <c r="Q29" s="153" t="n">
        <v>0</v>
      </c>
      <c r="R29" s="153" t="n">
        <v>0</v>
      </c>
      <c r="S29" s="153" t="n">
        <v>0</v>
      </c>
      <c r="T29" s="153" t="n">
        <v>0</v>
      </c>
      <c r="U29" s="153" t="n">
        <v>1</v>
      </c>
      <c r="V29" s="153" t="n">
        <v>1</v>
      </c>
      <c r="W29" s="153" t="n">
        <v>1</v>
      </c>
      <c r="X29" s="153" t="n">
        <v>0</v>
      </c>
      <c r="Y29" s="153" t="n">
        <v>0</v>
      </c>
      <c r="Z29" s="153" t="n">
        <v>0</v>
      </c>
      <c r="AA29" s="153" t="n">
        <v>0</v>
      </c>
      <c r="AB29" s="153" t="n">
        <v>0</v>
      </c>
    </row>
    <row r="30">
      <c r="A30" s="163" t="inlineStr">
        <is>
          <t>Apartamentos</t>
        </is>
      </c>
      <c r="B30" s="159" t="n">
        <v>21</v>
      </c>
      <c r="C30" s="159">
        <f>SUM($O30:$AB30)</f>
        <v/>
      </c>
      <c r="D30" s="163">
        <f>SUBSTITUTE(TRIM(IF(O30=1,O$6&amp;" ","")&amp;IF(P30=1,P$6&amp;" ","")&amp;IF(Q30=1,Q$6&amp;" ","")&amp;IF(R30=1,R$6&amp;" ","")&amp;IF(S30=1,S$6&amp;" ","")&amp;IF(T30=1,T$6&amp;" ","")&amp;IF(U30=1,U$6&amp;" ","")&amp;IF(V30=1,V$6&amp;" ","")&amp;IF(W30=1,W$6&amp;" ","")&amp;IF(X30=1,X$6&amp;" ","")&amp;IF(Y30=1,Y$6&amp;" ","")&amp;IF(Z30=1,Z$6&amp;" ","")&amp;IF(AA30=1,AA$6&amp;" ","")&amp;IF(AB30=1,AB$6&amp;" ",""))," ",", ")</f>
        <v/>
      </c>
      <c r="E30" s="163">
        <f>IF(SUMPRODUCT($O30:$AB30*($O$6:$AB$6&lt;=6))=$C30,"Solo casas",IF(SUMPRODUCT($O30:$AB30*($O$6:$AB$6&gt;6))=$C30,"Solo apartamentos","Mixta ("&amp;SUMPRODUCT($O30:$AB30*($O$6:$AB$6&lt;=6))&amp;" casas + "&amp;SUMPRODUCT($O30:$AB30*($O$6:$AB$6&gt;6))&amp;" aptos)"))</f>
        <v/>
      </c>
      <c r="F30" s="160">
        <f>_xlfn.MINIFS($O$7:$AB$7,$O30:$AB30,1)</f>
        <v/>
      </c>
      <c r="G30" s="160">
        <f>_xlfn.MAXIFS($O$7:$AB$7,$O30:$AB30,1)</f>
        <v/>
      </c>
      <c r="H30" s="160">
        <f>SUMPRODUCT($O30:$AB30,$O$7:$AB$7)/C30</f>
        <v/>
      </c>
      <c r="I30" s="160">
        <f>_xlfn.AGGREGATE(16,6,$O$7:$AB$7/($O30:$AB30=1),0.5)</f>
        <v/>
      </c>
      <c r="J30" s="160">
        <f>SQRT((SUMPRODUCT($O30:$AB30,$O$7:$AB$7^2)-C30*H30^2)/(C30-1))</f>
        <v/>
      </c>
      <c r="K30" s="161">
        <f>J30/H30</f>
        <v/>
      </c>
      <c r="L30" s="160">
        <f>H30-J30</f>
        <v/>
      </c>
      <c r="M30" s="160">
        <f>H30+J30</f>
        <v/>
      </c>
      <c r="N30" s="159">
        <f>IF(K30&lt;=$D$4,"SÍ","NO")</f>
        <v/>
      </c>
      <c r="O30" s="153" t="n">
        <v>0</v>
      </c>
      <c r="P30" s="153" t="n">
        <v>0</v>
      </c>
      <c r="Q30" s="153" t="n">
        <v>0</v>
      </c>
      <c r="R30" s="153" t="n">
        <v>0</v>
      </c>
      <c r="S30" s="153" t="n">
        <v>0</v>
      </c>
      <c r="T30" s="153" t="n">
        <v>0</v>
      </c>
      <c r="U30" s="153" t="n">
        <v>0</v>
      </c>
      <c r="V30" s="153" t="n">
        <v>0</v>
      </c>
      <c r="W30" s="153" t="n">
        <v>1</v>
      </c>
      <c r="X30" s="153" t="n">
        <v>0</v>
      </c>
      <c r="Y30" s="153" t="n">
        <v>0</v>
      </c>
      <c r="Z30" s="153" t="n">
        <v>0</v>
      </c>
      <c r="AA30" s="153" t="n">
        <v>1</v>
      </c>
      <c r="AB30" s="153" t="n">
        <v>1</v>
      </c>
    </row>
    <row r="31">
      <c r="A31" s="163" t="inlineStr">
        <is>
          <t>Apartamentos</t>
        </is>
      </c>
      <c r="B31" s="159" t="n">
        <v>22</v>
      </c>
      <c r="C31" s="159">
        <f>SUM($O31:$AB31)</f>
        <v/>
      </c>
      <c r="D31" s="163">
        <f>SUBSTITUTE(TRIM(IF(O31=1,O$6&amp;" ","")&amp;IF(P31=1,P$6&amp;" ","")&amp;IF(Q31=1,Q$6&amp;" ","")&amp;IF(R31=1,R$6&amp;" ","")&amp;IF(S31=1,S$6&amp;" ","")&amp;IF(T31=1,T$6&amp;" ","")&amp;IF(U31=1,U$6&amp;" ","")&amp;IF(V31=1,V$6&amp;" ","")&amp;IF(W31=1,W$6&amp;" ","")&amp;IF(X31=1,X$6&amp;" ","")&amp;IF(Y31=1,Y$6&amp;" ","")&amp;IF(Z31=1,Z$6&amp;" ","")&amp;IF(AA31=1,AA$6&amp;" ","")&amp;IF(AB31=1,AB$6&amp;" ",""))," ",", ")</f>
        <v/>
      </c>
      <c r="E31" s="163">
        <f>IF(SUMPRODUCT($O31:$AB31*($O$6:$AB$6&lt;=6))=$C31,"Solo casas",IF(SUMPRODUCT($O31:$AB31*($O$6:$AB$6&gt;6))=$C31,"Solo apartamentos","Mixta ("&amp;SUMPRODUCT($O31:$AB31*($O$6:$AB$6&lt;=6))&amp;" casas + "&amp;SUMPRODUCT($O31:$AB31*($O$6:$AB$6&gt;6))&amp;" aptos)"))</f>
        <v/>
      </c>
      <c r="F31" s="160">
        <f>_xlfn.MINIFS($O$7:$AB$7,$O31:$AB31,1)</f>
        <v/>
      </c>
      <c r="G31" s="160">
        <f>_xlfn.MAXIFS($O$7:$AB$7,$O31:$AB31,1)</f>
        <v/>
      </c>
      <c r="H31" s="160">
        <f>SUMPRODUCT($O31:$AB31,$O$7:$AB$7)/C31</f>
        <v/>
      </c>
      <c r="I31" s="160">
        <f>_xlfn.AGGREGATE(16,6,$O$7:$AB$7/($O31:$AB31=1),0.5)</f>
        <v/>
      </c>
      <c r="J31" s="160">
        <f>SQRT((SUMPRODUCT($O31:$AB31,$O$7:$AB$7^2)-C31*H31^2)/(C31-1))</f>
        <v/>
      </c>
      <c r="K31" s="161">
        <f>J31/H31</f>
        <v/>
      </c>
      <c r="L31" s="160">
        <f>H31-J31</f>
        <v/>
      </c>
      <c r="M31" s="160">
        <f>H31+J31</f>
        <v/>
      </c>
      <c r="N31" s="159">
        <f>IF(K31&lt;=$D$4,"SÍ","NO")</f>
        <v/>
      </c>
      <c r="O31" s="153" t="n">
        <v>0</v>
      </c>
      <c r="P31" s="153" t="n">
        <v>0</v>
      </c>
      <c r="Q31" s="153" t="n">
        <v>0</v>
      </c>
      <c r="R31" s="153" t="n">
        <v>0</v>
      </c>
      <c r="S31" s="153" t="n">
        <v>0</v>
      </c>
      <c r="T31" s="153" t="n">
        <v>0</v>
      </c>
      <c r="U31" s="153" t="n">
        <v>0</v>
      </c>
      <c r="V31" s="153" t="n">
        <v>0</v>
      </c>
      <c r="W31" s="153" t="n">
        <v>1</v>
      </c>
      <c r="X31" s="153" t="n">
        <v>1</v>
      </c>
      <c r="Y31" s="153" t="n">
        <v>0</v>
      </c>
      <c r="Z31" s="153" t="n">
        <v>0</v>
      </c>
      <c r="AA31" s="153" t="n">
        <v>1</v>
      </c>
      <c r="AB31" s="153" t="n">
        <v>0</v>
      </c>
    </row>
    <row r="32">
      <c r="A32" s="163" t="inlineStr">
        <is>
          <t>Apartamentos</t>
        </is>
      </c>
      <c r="B32" s="159" t="n">
        <v>23</v>
      </c>
      <c r="C32" s="159">
        <f>SUM($O32:$AB32)</f>
        <v/>
      </c>
      <c r="D32" s="163">
        <f>SUBSTITUTE(TRIM(IF(O32=1,O$6&amp;" ","")&amp;IF(P32=1,P$6&amp;" ","")&amp;IF(Q32=1,Q$6&amp;" ","")&amp;IF(R32=1,R$6&amp;" ","")&amp;IF(S32=1,S$6&amp;" ","")&amp;IF(T32=1,T$6&amp;" ","")&amp;IF(U32=1,U$6&amp;" ","")&amp;IF(V32=1,V$6&amp;" ","")&amp;IF(W32=1,W$6&amp;" ","")&amp;IF(X32=1,X$6&amp;" ","")&amp;IF(Y32=1,Y$6&amp;" ","")&amp;IF(Z32=1,Z$6&amp;" ","")&amp;IF(AA32=1,AA$6&amp;" ","")&amp;IF(AB32=1,AB$6&amp;" ",""))," ",", ")</f>
        <v/>
      </c>
      <c r="E32" s="163">
        <f>IF(SUMPRODUCT($O32:$AB32*($O$6:$AB$6&lt;=6))=$C32,"Solo casas",IF(SUMPRODUCT($O32:$AB32*($O$6:$AB$6&gt;6))=$C32,"Solo apartamentos","Mixta ("&amp;SUMPRODUCT($O32:$AB32*($O$6:$AB$6&lt;=6))&amp;" casas + "&amp;SUMPRODUCT($O32:$AB32*($O$6:$AB$6&gt;6))&amp;" aptos)"))</f>
        <v/>
      </c>
      <c r="F32" s="160">
        <f>_xlfn.MINIFS($O$7:$AB$7,$O32:$AB32,1)</f>
        <v/>
      </c>
      <c r="G32" s="160">
        <f>_xlfn.MAXIFS($O$7:$AB$7,$O32:$AB32,1)</f>
        <v/>
      </c>
      <c r="H32" s="160">
        <f>SUMPRODUCT($O32:$AB32,$O$7:$AB$7)/C32</f>
        <v/>
      </c>
      <c r="I32" s="160">
        <f>_xlfn.AGGREGATE(16,6,$O$7:$AB$7/($O32:$AB32=1),0.5)</f>
        <v/>
      </c>
      <c r="J32" s="160">
        <f>SQRT((SUMPRODUCT($O32:$AB32,$O$7:$AB$7^2)-C32*H32^2)/(C32-1))</f>
        <v/>
      </c>
      <c r="K32" s="161">
        <f>J32/H32</f>
        <v/>
      </c>
      <c r="L32" s="160">
        <f>H32-J32</f>
        <v/>
      </c>
      <c r="M32" s="160">
        <f>H32+J32</f>
        <v/>
      </c>
      <c r="N32" s="159">
        <f>IF(K32&lt;=$D$4,"SÍ","NO")</f>
        <v/>
      </c>
      <c r="O32" s="153" t="n">
        <v>0</v>
      </c>
      <c r="P32" s="153" t="n">
        <v>0</v>
      </c>
      <c r="Q32" s="153" t="n">
        <v>0</v>
      </c>
      <c r="R32" s="153" t="n">
        <v>0</v>
      </c>
      <c r="S32" s="153" t="n">
        <v>0</v>
      </c>
      <c r="T32" s="153" t="n">
        <v>0</v>
      </c>
      <c r="U32" s="153" t="n">
        <v>0</v>
      </c>
      <c r="V32" s="153" t="n">
        <v>0</v>
      </c>
      <c r="W32" s="153" t="n">
        <v>1</v>
      </c>
      <c r="X32" s="153" t="n">
        <v>0</v>
      </c>
      <c r="Y32" s="153" t="n">
        <v>1</v>
      </c>
      <c r="Z32" s="153" t="n">
        <v>0</v>
      </c>
      <c r="AA32" s="153" t="n">
        <v>0</v>
      </c>
      <c r="AB32" s="153" t="n">
        <v>1</v>
      </c>
    </row>
    <row r="33">
      <c r="A33" s="163" t="inlineStr">
        <is>
          <t>Apartamentos</t>
        </is>
      </c>
      <c r="B33" s="159" t="n">
        <v>24</v>
      </c>
      <c r="C33" s="159">
        <f>SUM($O33:$AB33)</f>
        <v/>
      </c>
      <c r="D33" s="163">
        <f>SUBSTITUTE(TRIM(IF(O33=1,O$6&amp;" ","")&amp;IF(P33=1,P$6&amp;" ","")&amp;IF(Q33=1,Q$6&amp;" ","")&amp;IF(R33=1,R$6&amp;" ","")&amp;IF(S33=1,S$6&amp;" ","")&amp;IF(T33=1,T$6&amp;" ","")&amp;IF(U33=1,U$6&amp;" ","")&amp;IF(V33=1,V$6&amp;" ","")&amp;IF(W33=1,W$6&amp;" ","")&amp;IF(X33=1,X$6&amp;" ","")&amp;IF(Y33=1,Y$6&amp;" ","")&amp;IF(Z33=1,Z$6&amp;" ","")&amp;IF(AA33=1,AA$6&amp;" ","")&amp;IF(AB33=1,AB$6&amp;" ",""))," ",", ")</f>
        <v/>
      </c>
      <c r="E33" s="163">
        <f>IF(SUMPRODUCT($O33:$AB33*($O$6:$AB$6&lt;=6))=$C33,"Solo casas",IF(SUMPRODUCT($O33:$AB33*($O$6:$AB$6&gt;6))=$C33,"Solo apartamentos","Mixta ("&amp;SUMPRODUCT($O33:$AB33*($O$6:$AB$6&lt;=6))&amp;" casas + "&amp;SUMPRODUCT($O33:$AB33*($O$6:$AB$6&gt;6))&amp;" aptos)"))</f>
        <v/>
      </c>
      <c r="F33" s="160">
        <f>_xlfn.MINIFS($O$7:$AB$7,$O33:$AB33,1)</f>
        <v/>
      </c>
      <c r="G33" s="160">
        <f>_xlfn.MAXIFS($O$7:$AB$7,$O33:$AB33,1)</f>
        <v/>
      </c>
      <c r="H33" s="160">
        <f>SUMPRODUCT($O33:$AB33,$O$7:$AB$7)/C33</f>
        <v/>
      </c>
      <c r="I33" s="160">
        <f>_xlfn.AGGREGATE(16,6,$O$7:$AB$7/($O33:$AB33=1),0.5)</f>
        <v/>
      </c>
      <c r="J33" s="160">
        <f>SQRT((SUMPRODUCT($O33:$AB33,$O$7:$AB$7^2)-C33*H33^2)/(C33-1))</f>
        <v/>
      </c>
      <c r="K33" s="161">
        <f>J33/H33</f>
        <v/>
      </c>
      <c r="L33" s="160">
        <f>H33-J33</f>
        <v/>
      </c>
      <c r="M33" s="160">
        <f>H33+J33</f>
        <v/>
      </c>
      <c r="N33" s="159">
        <f>IF(K33&lt;=$D$4,"SÍ","NO")</f>
        <v/>
      </c>
      <c r="O33" s="153" t="n">
        <v>0</v>
      </c>
      <c r="P33" s="153" t="n">
        <v>0</v>
      </c>
      <c r="Q33" s="153" t="n">
        <v>0</v>
      </c>
      <c r="R33" s="153" t="n">
        <v>0</v>
      </c>
      <c r="S33" s="153" t="n">
        <v>0</v>
      </c>
      <c r="T33" s="153" t="n">
        <v>0</v>
      </c>
      <c r="U33" s="153" t="n">
        <v>1</v>
      </c>
      <c r="V33" s="153" t="n">
        <v>0</v>
      </c>
      <c r="W33" s="153" t="n">
        <v>1</v>
      </c>
      <c r="X33" s="153" t="n">
        <v>0</v>
      </c>
      <c r="Y33" s="153" t="n">
        <v>1</v>
      </c>
      <c r="Z33" s="153" t="n">
        <v>0</v>
      </c>
      <c r="AA33" s="153" t="n">
        <v>0</v>
      </c>
      <c r="AB33" s="153" t="n">
        <v>0</v>
      </c>
    </row>
    <row r="34">
      <c r="A34" s="163" t="inlineStr">
        <is>
          <t>Apartamentos</t>
        </is>
      </c>
      <c r="B34" s="159" t="n">
        <v>25</v>
      </c>
      <c r="C34" s="159">
        <f>SUM($O34:$AB34)</f>
        <v/>
      </c>
      <c r="D34" s="163">
        <f>SUBSTITUTE(TRIM(IF(O34=1,O$6&amp;" ","")&amp;IF(P34=1,P$6&amp;" ","")&amp;IF(Q34=1,Q$6&amp;" ","")&amp;IF(R34=1,R$6&amp;" ","")&amp;IF(S34=1,S$6&amp;" ","")&amp;IF(T34=1,T$6&amp;" ","")&amp;IF(U34=1,U$6&amp;" ","")&amp;IF(V34=1,V$6&amp;" ","")&amp;IF(W34=1,W$6&amp;" ","")&amp;IF(X34=1,X$6&amp;" ","")&amp;IF(Y34=1,Y$6&amp;" ","")&amp;IF(Z34=1,Z$6&amp;" ","")&amp;IF(AA34=1,AA$6&amp;" ","")&amp;IF(AB34=1,AB$6&amp;" ",""))," ",", ")</f>
        <v/>
      </c>
      <c r="E34" s="163">
        <f>IF(SUMPRODUCT($O34:$AB34*($O$6:$AB$6&lt;=6))=$C34,"Solo casas",IF(SUMPRODUCT($O34:$AB34*($O$6:$AB$6&gt;6))=$C34,"Solo apartamentos","Mixta ("&amp;SUMPRODUCT($O34:$AB34*($O$6:$AB$6&lt;=6))&amp;" casas + "&amp;SUMPRODUCT($O34:$AB34*($O$6:$AB$6&gt;6))&amp;" aptos)"))</f>
        <v/>
      </c>
      <c r="F34" s="160">
        <f>_xlfn.MINIFS($O$7:$AB$7,$O34:$AB34,1)</f>
        <v/>
      </c>
      <c r="G34" s="160">
        <f>_xlfn.MAXIFS($O$7:$AB$7,$O34:$AB34,1)</f>
        <v/>
      </c>
      <c r="H34" s="160">
        <f>SUMPRODUCT($O34:$AB34,$O$7:$AB$7)/C34</f>
        <v/>
      </c>
      <c r="I34" s="160">
        <f>_xlfn.AGGREGATE(16,6,$O$7:$AB$7/($O34:$AB34=1),0.5)</f>
        <v/>
      </c>
      <c r="J34" s="160">
        <f>SQRT((SUMPRODUCT($O34:$AB34,$O$7:$AB$7^2)-C34*H34^2)/(C34-1))</f>
        <v/>
      </c>
      <c r="K34" s="161">
        <f>J34/H34</f>
        <v/>
      </c>
      <c r="L34" s="160">
        <f>H34-J34</f>
        <v/>
      </c>
      <c r="M34" s="160">
        <f>H34+J34</f>
        <v/>
      </c>
      <c r="N34" s="159">
        <f>IF(K34&lt;=$D$4,"SÍ","NO")</f>
        <v/>
      </c>
      <c r="O34" s="153" t="n">
        <v>0</v>
      </c>
      <c r="P34" s="153" t="n">
        <v>0</v>
      </c>
      <c r="Q34" s="153" t="n">
        <v>0</v>
      </c>
      <c r="R34" s="153" t="n">
        <v>0</v>
      </c>
      <c r="S34" s="153" t="n">
        <v>0</v>
      </c>
      <c r="T34" s="153" t="n">
        <v>0</v>
      </c>
      <c r="U34" s="153" t="n">
        <v>0</v>
      </c>
      <c r="V34" s="153" t="n">
        <v>1</v>
      </c>
      <c r="W34" s="153" t="n">
        <v>0</v>
      </c>
      <c r="X34" s="153" t="n">
        <v>0</v>
      </c>
      <c r="Y34" s="153" t="n">
        <v>1</v>
      </c>
      <c r="Z34" s="153" t="n">
        <v>0</v>
      </c>
      <c r="AA34" s="153" t="n">
        <v>0</v>
      </c>
      <c r="AB34" s="153" t="n">
        <v>1</v>
      </c>
    </row>
    <row r="35">
      <c r="A35" s="164" t="inlineStr">
        <is>
          <t>Todas</t>
        </is>
      </c>
      <c r="B35" s="150" t="n">
        <v>1</v>
      </c>
      <c r="C35" s="150">
        <f>SUM($O35:$AB35)</f>
        <v/>
      </c>
      <c r="D35" s="164">
        <f>SUBSTITUTE(TRIM(IF(O35=1,O$6&amp;" ","")&amp;IF(P35=1,P$6&amp;" ","")&amp;IF(Q35=1,Q$6&amp;" ","")&amp;IF(R35=1,R$6&amp;" ","")&amp;IF(S35=1,S$6&amp;" ","")&amp;IF(T35=1,T$6&amp;" ","")&amp;IF(U35=1,U$6&amp;" ","")&amp;IF(V35=1,V$6&amp;" ","")&amp;IF(W35=1,W$6&amp;" ","")&amp;IF(X35=1,X$6&amp;" ","")&amp;IF(Y35=1,Y$6&amp;" ","")&amp;IF(Z35=1,Z$6&amp;" ","")&amp;IF(AA35=1,AA$6&amp;" ","")&amp;IF(AB35=1,AB$6&amp;" ",""))," ",", ")</f>
        <v/>
      </c>
      <c r="E35" s="164">
        <f>IF(SUMPRODUCT($O35:$AB35*($O$6:$AB$6&lt;=6))=$C35,"Solo casas",IF(SUMPRODUCT($O35:$AB35*($O$6:$AB$6&gt;6))=$C35,"Solo apartamentos","Mixta ("&amp;SUMPRODUCT($O35:$AB35*($O$6:$AB$6&lt;=6))&amp;" casas + "&amp;SUMPRODUCT($O35:$AB35*($O$6:$AB$6&gt;6))&amp;" aptos)"))</f>
        <v/>
      </c>
      <c r="F35" s="151">
        <f>_xlfn.MINIFS($O$7:$AB$7,$O35:$AB35,1)</f>
        <v/>
      </c>
      <c r="G35" s="151">
        <f>_xlfn.MAXIFS($O$7:$AB$7,$O35:$AB35,1)</f>
        <v/>
      </c>
      <c r="H35" s="151">
        <f>SUMPRODUCT($O35:$AB35,$O$7:$AB$7)/C35</f>
        <v/>
      </c>
      <c r="I35" s="151">
        <f>_xlfn.AGGREGATE(16,6,$O$7:$AB$7/($O35:$AB35=1),0.5)</f>
        <v/>
      </c>
      <c r="J35" s="151">
        <f>SQRT((SUMPRODUCT($O35:$AB35,$O$7:$AB$7^2)-C35*H35^2)/(C35-1))</f>
        <v/>
      </c>
      <c r="K35" s="152">
        <f>J35/H35</f>
        <v/>
      </c>
      <c r="L35" s="151">
        <f>H35-J35</f>
        <v/>
      </c>
      <c r="M35" s="151">
        <f>H35+J35</f>
        <v/>
      </c>
      <c r="N35" s="150">
        <f>IF(K35&lt;=$D$4,"SÍ","NO")</f>
        <v/>
      </c>
      <c r="O35" s="153" t="n">
        <v>0</v>
      </c>
      <c r="P35" s="153" t="n">
        <v>0</v>
      </c>
      <c r="Q35" s="153" t="n">
        <v>0</v>
      </c>
      <c r="R35" s="153" t="n">
        <v>0</v>
      </c>
      <c r="S35" s="153" t="n">
        <v>1</v>
      </c>
      <c r="T35" s="153" t="n">
        <v>1</v>
      </c>
      <c r="U35" s="153" t="n">
        <v>1</v>
      </c>
      <c r="V35" s="153" t="n">
        <v>1</v>
      </c>
      <c r="W35" s="153" t="n">
        <v>1</v>
      </c>
      <c r="X35" s="153" t="n">
        <v>0</v>
      </c>
      <c r="Y35" s="153" t="n">
        <v>1</v>
      </c>
      <c r="Z35" s="153" t="n">
        <v>1</v>
      </c>
      <c r="AA35" s="153" t="n">
        <v>0</v>
      </c>
      <c r="AB35" s="153" t="n">
        <v>1</v>
      </c>
    </row>
    <row r="36">
      <c r="A36" s="164" t="inlineStr">
        <is>
          <t>Todas</t>
        </is>
      </c>
      <c r="B36" s="150" t="n">
        <v>2</v>
      </c>
      <c r="C36" s="150">
        <f>SUM($O36:$AB36)</f>
        <v/>
      </c>
      <c r="D36" s="164">
        <f>SUBSTITUTE(TRIM(IF(O36=1,O$6&amp;" ","")&amp;IF(P36=1,P$6&amp;" ","")&amp;IF(Q36=1,Q$6&amp;" ","")&amp;IF(R36=1,R$6&amp;" ","")&amp;IF(S36=1,S$6&amp;" ","")&amp;IF(T36=1,T$6&amp;" ","")&amp;IF(U36=1,U$6&amp;" ","")&amp;IF(V36=1,V$6&amp;" ","")&amp;IF(W36=1,W$6&amp;" ","")&amp;IF(X36=1,X$6&amp;" ","")&amp;IF(Y36=1,Y$6&amp;" ","")&amp;IF(Z36=1,Z$6&amp;" ","")&amp;IF(AA36=1,AA$6&amp;" ","")&amp;IF(AB36=1,AB$6&amp;" ",""))," ",", ")</f>
        <v/>
      </c>
      <c r="E36" s="164">
        <f>IF(SUMPRODUCT($O36:$AB36*($O$6:$AB$6&lt;=6))=$C36,"Solo casas",IF(SUMPRODUCT($O36:$AB36*($O$6:$AB$6&gt;6))=$C36,"Solo apartamentos","Mixta ("&amp;SUMPRODUCT($O36:$AB36*($O$6:$AB$6&lt;=6))&amp;" casas + "&amp;SUMPRODUCT($O36:$AB36*($O$6:$AB$6&gt;6))&amp;" aptos)"))</f>
        <v/>
      </c>
      <c r="F36" s="151">
        <f>_xlfn.MINIFS($O$7:$AB$7,$O36:$AB36,1)</f>
        <v/>
      </c>
      <c r="G36" s="151">
        <f>_xlfn.MAXIFS($O$7:$AB$7,$O36:$AB36,1)</f>
        <v/>
      </c>
      <c r="H36" s="151">
        <f>SUMPRODUCT($O36:$AB36,$O$7:$AB$7)/C36</f>
        <v/>
      </c>
      <c r="I36" s="151">
        <f>_xlfn.AGGREGATE(16,6,$O$7:$AB$7/($O36:$AB36=1),0.5)</f>
        <v/>
      </c>
      <c r="J36" s="151">
        <f>SQRT((SUMPRODUCT($O36:$AB36,$O$7:$AB$7^2)-C36*H36^2)/(C36-1))</f>
        <v/>
      </c>
      <c r="K36" s="152">
        <f>J36/H36</f>
        <v/>
      </c>
      <c r="L36" s="151">
        <f>H36-J36</f>
        <v/>
      </c>
      <c r="M36" s="151">
        <f>H36+J36</f>
        <v/>
      </c>
      <c r="N36" s="150">
        <f>IF(K36&lt;=$D$4,"SÍ","NO")</f>
        <v/>
      </c>
      <c r="O36" s="153" t="n">
        <v>0</v>
      </c>
      <c r="P36" s="153" t="n">
        <v>0</v>
      </c>
      <c r="Q36" s="153" t="n">
        <v>0</v>
      </c>
      <c r="R36" s="153" t="n">
        <v>0</v>
      </c>
      <c r="S36" s="153" t="n">
        <v>1</v>
      </c>
      <c r="T36" s="153" t="n">
        <v>1</v>
      </c>
      <c r="U36" s="153" t="n">
        <v>1</v>
      </c>
      <c r="V36" s="153" t="n">
        <v>1</v>
      </c>
      <c r="W36" s="153" t="n">
        <v>1</v>
      </c>
      <c r="X36" s="153" t="n">
        <v>0</v>
      </c>
      <c r="Y36" s="153" t="n">
        <v>1</v>
      </c>
      <c r="Z36" s="153" t="n">
        <v>1</v>
      </c>
      <c r="AA36" s="153" t="n">
        <v>0</v>
      </c>
      <c r="AB36" s="153" t="n">
        <v>0</v>
      </c>
    </row>
    <row r="37">
      <c r="A37" s="164" t="inlineStr">
        <is>
          <t>Todas</t>
        </is>
      </c>
      <c r="B37" s="150" t="n">
        <v>3</v>
      </c>
      <c r="C37" s="150">
        <f>SUM($O37:$AB37)</f>
        <v/>
      </c>
      <c r="D37" s="164">
        <f>SUBSTITUTE(TRIM(IF(O37=1,O$6&amp;" ","")&amp;IF(P37=1,P$6&amp;" ","")&amp;IF(Q37=1,Q$6&amp;" ","")&amp;IF(R37=1,R$6&amp;" ","")&amp;IF(S37=1,S$6&amp;" ","")&amp;IF(T37=1,T$6&amp;" ","")&amp;IF(U37=1,U$6&amp;" ","")&amp;IF(V37=1,V$6&amp;" ","")&amp;IF(W37=1,W$6&amp;" ","")&amp;IF(X37=1,X$6&amp;" ","")&amp;IF(Y37=1,Y$6&amp;" ","")&amp;IF(Z37=1,Z$6&amp;" ","")&amp;IF(AA37=1,AA$6&amp;" ","")&amp;IF(AB37=1,AB$6&amp;" ",""))," ",", ")</f>
        <v/>
      </c>
      <c r="E37" s="164">
        <f>IF(SUMPRODUCT($O37:$AB37*($O$6:$AB$6&lt;=6))=$C37,"Solo casas",IF(SUMPRODUCT($O37:$AB37*($O$6:$AB$6&gt;6))=$C37,"Solo apartamentos","Mixta ("&amp;SUMPRODUCT($O37:$AB37*($O$6:$AB$6&lt;=6))&amp;" casas + "&amp;SUMPRODUCT($O37:$AB37*($O$6:$AB$6&gt;6))&amp;" aptos)"))</f>
        <v/>
      </c>
      <c r="F37" s="151">
        <f>_xlfn.MINIFS($O$7:$AB$7,$O37:$AB37,1)</f>
        <v/>
      </c>
      <c r="G37" s="151">
        <f>_xlfn.MAXIFS($O$7:$AB$7,$O37:$AB37,1)</f>
        <v/>
      </c>
      <c r="H37" s="151">
        <f>SUMPRODUCT($O37:$AB37,$O$7:$AB$7)/C37</f>
        <v/>
      </c>
      <c r="I37" s="151">
        <f>_xlfn.AGGREGATE(16,6,$O$7:$AB$7/($O37:$AB37=1),0.5)</f>
        <v/>
      </c>
      <c r="J37" s="151">
        <f>SQRT((SUMPRODUCT($O37:$AB37,$O$7:$AB$7^2)-C37*H37^2)/(C37-1))</f>
        <v/>
      </c>
      <c r="K37" s="152">
        <f>J37/H37</f>
        <v/>
      </c>
      <c r="L37" s="151">
        <f>H37-J37</f>
        <v/>
      </c>
      <c r="M37" s="151">
        <f>H37+J37</f>
        <v/>
      </c>
      <c r="N37" s="150">
        <f>IF(K37&lt;=$D$4,"SÍ","NO")</f>
        <v/>
      </c>
      <c r="O37" s="153" t="n">
        <v>0</v>
      </c>
      <c r="P37" s="153" t="n">
        <v>0</v>
      </c>
      <c r="Q37" s="153" t="n">
        <v>0</v>
      </c>
      <c r="R37" s="153" t="n">
        <v>0</v>
      </c>
      <c r="S37" s="153" t="n">
        <v>1</v>
      </c>
      <c r="T37" s="153" t="n">
        <v>1</v>
      </c>
      <c r="U37" s="153" t="n">
        <v>1</v>
      </c>
      <c r="V37" s="153" t="n">
        <v>1</v>
      </c>
      <c r="W37" s="153" t="n">
        <v>1</v>
      </c>
      <c r="X37" s="153" t="n">
        <v>0</v>
      </c>
      <c r="Y37" s="153" t="n">
        <v>1</v>
      </c>
      <c r="Z37" s="153" t="n">
        <v>0</v>
      </c>
      <c r="AA37" s="153" t="n">
        <v>0</v>
      </c>
      <c r="AB37" s="153" t="n">
        <v>1</v>
      </c>
    </row>
    <row r="38">
      <c r="A38" s="164" t="inlineStr">
        <is>
          <t>Todas</t>
        </is>
      </c>
      <c r="B38" s="150" t="n">
        <v>4</v>
      </c>
      <c r="C38" s="150">
        <f>SUM($O38:$AB38)</f>
        <v/>
      </c>
      <c r="D38" s="164">
        <f>SUBSTITUTE(TRIM(IF(O38=1,O$6&amp;" ","")&amp;IF(P38=1,P$6&amp;" ","")&amp;IF(Q38=1,Q$6&amp;" ","")&amp;IF(R38=1,R$6&amp;" ","")&amp;IF(S38=1,S$6&amp;" ","")&amp;IF(T38=1,T$6&amp;" ","")&amp;IF(U38=1,U$6&amp;" ","")&amp;IF(V38=1,V$6&amp;" ","")&amp;IF(W38=1,W$6&amp;" ","")&amp;IF(X38=1,X$6&amp;" ","")&amp;IF(Y38=1,Y$6&amp;" ","")&amp;IF(Z38=1,Z$6&amp;" ","")&amp;IF(AA38=1,AA$6&amp;" ","")&amp;IF(AB38=1,AB$6&amp;" ",""))," ",", ")</f>
        <v/>
      </c>
      <c r="E38" s="164">
        <f>IF(SUMPRODUCT($O38:$AB38*($O$6:$AB$6&lt;=6))=$C38,"Solo casas",IF(SUMPRODUCT($O38:$AB38*($O$6:$AB$6&gt;6))=$C38,"Solo apartamentos","Mixta ("&amp;SUMPRODUCT($O38:$AB38*($O$6:$AB$6&lt;=6))&amp;" casas + "&amp;SUMPRODUCT($O38:$AB38*($O$6:$AB$6&gt;6))&amp;" aptos)"))</f>
        <v/>
      </c>
      <c r="F38" s="151">
        <f>_xlfn.MINIFS($O$7:$AB$7,$O38:$AB38,1)</f>
        <v/>
      </c>
      <c r="G38" s="151">
        <f>_xlfn.MAXIFS($O$7:$AB$7,$O38:$AB38,1)</f>
        <v/>
      </c>
      <c r="H38" s="151">
        <f>SUMPRODUCT($O38:$AB38,$O$7:$AB$7)/C38</f>
        <v/>
      </c>
      <c r="I38" s="151">
        <f>_xlfn.AGGREGATE(16,6,$O$7:$AB$7/($O38:$AB38=1),0.5)</f>
        <v/>
      </c>
      <c r="J38" s="151">
        <f>SQRT((SUMPRODUCT($O38:$AB38,$O$7:$AB$7^2)-C38*H38^2)/(C38-1))</f>
        <v/>
      </c>
      <c r="K38" s="152">
        <f>J38/H38</f>
        <v/>
      </c>
      <c r="L38" s="151">
        <f>H38-J38</f>
        <v/>
      </c>
      <c r="M38" s="151">
        <f>H38+J38</f>
        <v/>
      </c>
      <c r="N38" s="150">
        <f>IF(K38&lt;=$D$4,"SÍ","NO")</f>
        <v/>
      </c>
      <c r="O38" s="153" t="n">
        <v>0</v>
      </c>
      <c r="P38" s="153" t="n">
        <v>0</v>
      </c>
      <c r="Q38" s="153" t="n">
        <v>0</v>
      </c>
      <c r="R38" s="153" t="n">
        <v>0</v>
      </c>
      <c r="S38" s="153" t="n">
        <v>1</v>
      </c>
      <c r="T38" s="153" t="n">
        <v>0</v>
      </c>
      <c r="U38" s="153" t="n">
        <v>1</v>
      </c>
      <c r="V38" s="153" t="n">
        <v>1</v>
      </c>
      <c r="W38" s="153" t="n">
        <v>1</v>
      </c>
      <c r="X38" s="153" t="n">
        <v>0</v>
      </c>
      <c r="Y38" s="153" t="n">
        <v>1</v>
      </c>
      <c r="Z38" s="153" t="n">
        <v>1</v>
      </c>
      <c r="AA38" s="153" t="n">
        <v>0</v>
      </c>
      <c r="AB38" s="153" t="n">
        <v>1</v>
      </c>
    </row>
    <row r="39">
      <c r="A39" s="164" t="inlineStr">
        <is>
          <t>Todas</t>
        </is>
      </c>
      <c r="B39" s="150" t="n">
        <v>5</v>
      </c>
      <c r="C39" s="150">
        <f>SUM($O39:$AB39)</f>
        <v/>
      </c>
      <c r="D39" s="164">
        <f>SUBSTITUTE(TRIM(IF(O39=1,O$6&amp;" ","")&amp;IF(P39=1,P$6&amp;" ","")&amp;IF(Q39=1,Q$6&amp;" ","")&amp;IF(R39=1,R$6&amp;" ","")&amp;IF(S39=1,S$6&amp;" ","")&amp;IF(T39=1,T$6&amp;" ","")&amp;IF(U39=1,U$6&amp;" ","")&amp;IF(V39=1,V$6&amp;" ","")&amp;IF(W39=1,W$6&amp;" ","")&amp;IF(X39=1,X$6&amp;" ","")&amp;IF(Y39=1,Y$6&amp;" ","")&amp;IF(Z39=1,Z$6&amp;" ","")&amp;IF(AA39=1,AA$6&amp;" ","")&amp;IF(AB39=1,AB$6&amp;" ",""))," ",", ")</f>
        <v/>
      </c>
      <c r="E39" s="164">
        <f>IF(SUMPRODUCT($O39:$AB39*($O$6:$AB$6&lt;=6))=$C39,"Solo casas",IF(SUMPRODUCT($O39:$AB39*($O$6:$AB$6&gt;6))=$C39,"Solo apartamentos","Mixta ("&amp;SUMPRODUCT($O39:$AB39*($O$6:$AB$6&lt;=6))&amp;" casas + "&amp;SUMPRODUCT($O39:$AB39*($O$6:$AB$6&gt;6))&amp;" aptos)"))</f>
        <v/>
      </c>
      <c r="F39" s="151">
        <f>_xlfn.MINIFS($O$7:$AB$7,$O39:$AB39,1)</f>
        <v/>
      </c>
      <c r="G39" s="151">
        <f>_xlfn.MAXIFS($O$7:$AB$7,$O39:$AB39,1)</f>
        <v/>
      </c>
      <c r="H39" s="151">
        <f>SUMPRODUCT($O39:$AB39,$O$7:$AB$7)/C39</f>
        <v/>
      </c>
      <c r="I39" s="151">
        <f>_xlfn.AGGREGATE(16,6,$O$7:$AB$7/($O39:$AB39=1),0.5)</f>
        <v/>
      </c>
      <c r="J39" s="151">
        <f>SQRT((SUMPRODUCT($O39:$AB39,$O$7:$AB$7^2)-C39*H39^2)/(C39-1))</f>
        <v/>
      </c>
      <c r="K39" s="152">
        <f>J39/H39</f>
        <v/>
      </c>
      <c r="L39" s="151">
        <f>H39-J39</f>
        <v/>
      </c>
      <c r="M39" s="151">
        <f>H39+J39</f>
        <v/>
      </c>
      <c r="N39" s="150">
        <f>IF(K39&lt;=$D$4,"SÍ","NO")</f>
        <v/>
      </c>
      <c r="O39" s="153" t="n">
        <v>0</v>
      </c>
      <c r="P39" s="153" t="n">
        <v>0</v>
      </c>
      <c r="Q39" s="153" t="n">
        <v>0</v>
      </c>
      <c r="R39" s="153" t="n">
        <v>0</v>
      </c>
      <c r="S39" s="153" t="n">
        <v>1</v>
      </c>
      <c r="T39" s="153" t="n">
        <v>1</v>
      </c>
      <c r="U39" s="153" t="n">
        <v>1</v>
      </c>
      <c r="V39" s="153" t="n">
        <v>1</v>
      </c>
      <c r="W39" s="153" t="n">
        <v>0</v>
      </c>
      <c r="X39" s="153" t="n">
        <v>0</v>
      </c>
      <c r="Y39" s="153" t="n">
        <v>1</v>
      </c>
      <c r="Z39" s="153" t="n">
        <v>1</v>
      </c>
      <c r="AA39" s="153" t="n">
        <v>0</v>
      </c>
      <c r="AB39" s="153" t="n">
        <v>1</v>
      </c>
    </row>
    <row r="40">
      <c r="A40" s="164" t="inlineStr">
        <is>
          <t>Todas</t>
        </is>
      </c>
      <c r="B40" s="150" t="n">
        <v>6</v>
      </c>
      <c r="C40" s="150">
        <f>SUM($O40:$AB40)</f>
        <v/>
      </c>
      <c r="D40" s="164">
        <f>SUBSTITUTE(TRIM(IF(O40=1,O$6&amp;" ","")&amp;IF(P40=1,P$6&amp;" ","")&amp;IF(Q40=1,Q$6&amp;" ","")&amp;IF(R40=1,R$6&amp;" ","")&amp;IF(S40=1,S$6&amp;" ","")&amp;IF(T40=1,T$6&amp;" ","")&amp;IF(U40=1,U$6&amp;" ","")&amp;IF(V40=1,V$6&amp;" ","")&amp;IF(W40=1,W$6&amp;" ","")&amp;IF(X40=1,X$6&amp;" ","")&amp;IF(Y40=1,Y$6&amp;" ","")&amp;IF(Z40=1,Z$6&amp;" ","")&amp;IF(AA40=1,AA$6&amp;" ","")&amp;IF(AB40=1,AB$6&amp;" ",""))," ",", ")</f>
        <v/>
      </c>
      <c r="E40" s="164">
        <f>IF(SUMPRODUCT($O40:$AB40*($O$6:$AB$6&lt;=6))=$C40,"Solo casas",IF(SUMPRODUCT($O40:$AB40*($O$6:$AB$6&gt;6))=$C40,"Solo apartamentos","Mixta ("&amp;SUMPRODUCT($O40:$AB40*($O$6:$AB$6&lt;=6))&amp;" casas + "&amp;SUMPRODUCT($O40:$AB40*($O$6:$AB$6&gt;6))&amp;" aptos)"))</f>
        <v/>
      </c>
      <c r="F40" s="151">
        <f>_xlfn.MINIFS($O$7:$AB$7,$O40:$AB40,1)</f>
        <v/>
      </c>
      <c r="G40" s="151">
        <f>_xlfn.MAXIFS($O$7:$AB$7,$O40:$AB40,1)</f>
        <v/>
      </c>
      <c r="H40" s="151">
        <f>SUMPRODUCT($O40:$AB40,$O$7:$AB$7)/C40</f>
        <v/>
      </c>
      <c r="I40" s="151">
        <f>_xlfn.AGGREGATE(16,6,$O$7:$AB$7/($O40:$AB40=1),0.5)</f>
        <v/>
      </c>
      <c r="J40" s="151">
        <f>SQRT((SUMPRODUCT($O40:$AB40,$O$7:$AB$7^2)-C40*H40^2)/(C40-1))</f>
        <v/>
      </c>
      <c r="K40" s="152">
        <f>J40/H40</f>
        <v/>
      </c>
      <c r="L40" s="151">
        <f>H40-J40</f>
        <v/>
      </c>
      <c r="M40" s="151">
        <f>H40+J40</f>
        <v/>
      </c>
      <c r="N40" s="150">
        <f>IF(K40&lt;=$D$4,"SÍ","NO")</f>
        <v/>
      </c>
      <c r="O40" s="153" t="n">
        <v>0</v>
      </c>
      <c r="P40" s="153" t="n">
        <v>0</v>
      </c>
      <c r="Q40" s="153" t="n">
        <v>0</v>
      </c>
      <c r="R40" s="153" t="n">
        <v>0</v>
      </c>
      <c r="S40" s="153" t="n">
        <v>1</v>
      </c>
      <c r="T40" s="153" t="n">
        <v>1</v>
      </c>
      <c r="U40" s="153" t="n">
        <v>1</v>
      </c>
      <c r="V40" s="153" t="n">
        <v>1</v>
      </c>
      <c r="W40" s="153" t="n">
        <v>0</v>
      </c>
      <c r="X40" s="153" t="n">
        <v>0</v>
      </c>
      <c r="Y40" s="153" t="n">
        <v>1</v>
      </c>
      <c r="Z40" s="153" t="n">
        <v>1</v>
      </c>
      <c r="AA40" s="153" t="n">
        <v>0</v>
      </c>
      <c r="AB40" s="153" t="n">
        <v>0</v>
      </c>
    </row>
    <row r="41">
      <c r="A41" s="164" t="inlineStr">
        <is>
          <t>Todas</t>
        </is>
      </c>
      <c r="B41" s="150" t="n">
        <v>7</v>
      </c>
      <c r="C41" s="150">
        <f>SUM($O41:$AB41)</f>
        <v/>
      </c>
      <c r="D41" s="164">
        <f>SUBSTITUTE(TRIM(IF(O41=1,O$6&amp;" ","")&amp;IF(P41=1,P$6&amp;" ","")&amp;IF(Q41=1,Q$6&amp;" ","")&amp;IF(R41=1,R$6&amp;" ","")&amp;IF(S41=1,S$6&amp;" ","")&amp;IF(T41=1,T$6&amp;" ","")&amp;IF(U41=1,U$6&amp;" ","")&amp;IF(V41=1,V$6&amp;" ","")&amp;IF(W41=1,W$6&amp;" ","")&amp;IF(X41=1,X$6&amp;" ","")&amp;IF(Y41=1,Y$6&amp;" ","")&amp;IF(Z41=1,Z$6&amp;" ","")&amp;IF(AA41=1,AA$6&amp;" ","")&amp;IF(AB41=1,AB$6&amp;" ",""))," ",", ")</f>
        <v/>
      </c>
      <c r="E41" s="164">
        <f>IF(SUMPRODUCT($O41:$AB41*($O$6:$AB$6&lt;=6))=$C41,"Solo casas",IF(SUMPRODUCT($O41:$AB41*($O$6:$AB$6&gt;6))=$C41,"Solo apartamentos","Mixta ("&amp;SUMPRODUCT($O41:$AB41*($O$6:$AB$6&lt;=6))&amp;" casas + "&amp;SUMPRODUCT($O41:$AB41*($O$6:$AB$6&gt;6))&amp;" aptos)"))</f>
        <v/>
      </c>
      <c r="F41" s="151">
        <f>_xlfn.MINIFS($O$7:$AB$7,$O41:$AB41,1)</f>
        <v/>
      </c>
      <c r="G41" s="151">
        <f>_xlfn.MAXIFS($O$7:$AB$7,$O41:$AB41,1)</f>
        <v/>
      </c>
      <c r="H41" s="151">
        <f>SUMPRODUCT($O41:$AB41,$O$7:$AB$7)/C41</f>
        <v/>
      </c>
      <c r="I41" s="151">
        <f>_xlfn.AGGREGATE(16,6,$O$7:$AB$7/($O41:$AB41=1),0.5)</f>
        <v/>
      </c>
      <c r="J41" s="151">
        <f>SQRT((SUMPRODUCT($O41:$AB41,$O$7:$AB$7^2)-C41*H41^2)/(C41-1))</f>
        <v/>
      </c>
      <c r="K41" s="152">
        <f>J41/H41</f>
        <v/>
      </c>
      <c r="L41" s="151">
        <f>H41-J41</f>
        <v/>
      </c>
      <c r="M41" s="151">
        <f>H41+J41</f>
        <v/>
      </c>
      <c r="N41" s="150">
        <f>IF(K41&lt;=$D$4,"SÍ","NO")</f>
        <v/>
      </c>
      <c r="O41" s="153" t="n">
        <v>0</v>
      </c>
      <c r="P41" s="153" t="n">
        <v>0</v>
      </c>
      <c r="Q41" s="153" t="n">
        <v>0</v>
      </c>
      <c r="R41" s="153" t="n">
        <v>0</v>
      </c>
      <c r="S41" s="153" t="n">
        <v>1</v>
      </c>
      <c r="T41" s="153" t="n">
        <v>1</v>
      </c>
      <c r="U41" s="153" t="n">
        <v>1</v>
      </c>
      <c r="V41" s="153" t="n">
        <v>1</v>
      </c>
      <c r="W41" s="153" t="n">
        <v>1</v>
      </c>
      <c r="X41" s="153" t="n">
        <v>0</v>
      </c>
      <c r="Y41" s="153" t="n">
        <v>1</v>
      </c>
      <c r="Z41" s="153" t="n">
        <v>0</v>
      </c>
      <c r="AA41" s="153" t="n">
        <v>0</v>
      </c>
      <c r="AB41" s="153" t="n">
        <v>0</v>
      </c>
    </row>
    <row r="42">
      <c r="A42" s="164" t="inlineStr">
        <is>
          <t>Todas</t>
        </is>
      </c>
      <c r="B42" s="150" t="n">
        <v>8</v>
      </c>
      <c r="C42" s="150">
        <f>SUM($O42:$AB42)</f>
        <v/>
      </c>
      <c r="D42" s="164">
        <f>SUBSTITUTE(TRIM(IF(O42=1,O$6&amp;" ","")&amp;IF(P42=1,P$6&amp;" ","")&amp;IF(Q42=1,Q$6&amp;" ","")&amp;IF(R42=1,R$6&amp;" ","")&amp;IF(S42=1,S$6&amp;" ","")&amp;IF(T42=1,T$6&amp;" ","")&amp;IF(U42=1,U$6&amp;" ","")&amp;IF(V42=1,V$6&amp;" ","")&amp;IF(W42=1,W$6&amp;" ","")&amp;IF(X42=1,X$6&amp;" ","")&amp;IF(Y42=1,Y$6&amp;" ","")&amp;IF(Z42=1,Z$6&amp;" ","")&amp;IF(AA42=1,AA$6&amp;" ","")&amp;IF(AB42=1,AB$6&amp;" ",""))," ",", ")</f>
        <v/>
      </c>
      <c r="E42" s="164">
        <f>IF(SUMPRODUCT($O42:$AB42*($O$6:$AB$6&lt;=6))=$C42,"Solo casas",IF(SUMPRODUCT($O42:$AB42*($O$6:$AB$6&gt;6))=$C42,"Solo apartamentos","Mixta ("&amp;SUMPRODUCT($O42:$AB42*($O$6:$AB$6&lt;=6))&amp;" casas + "&amp;SUMPRODUCT($O42:$AB42*($O$6:$AB$6&gt;6))&amp;" aptos)"))</f>
        <v/>
      </c>
      <c r="F42" s="151">
        <f>_xlfn.MINIFS($O$7:$AB$7,$O42:$AB42,1)</f>
        <v/>
      </c>
      <c r="G42" s="151">
        <f>_xlfn.MAXIFS($O$7:$AB$7,$O42:$AB42,1)</f>
        <v/>
      </c>
      <c r="H42" s="151">
        <f>SUMPRODUCT($O42:$AB42,$O$7:$AB$7)/C42</f>
        <v/>
      </c>
      <c r="I42" s="151">
        <f>_xlfn.AGGREGATE(16,6,$O$7:$AB$7/($O42:$AB42=1),0.5)</f>
        <v/>
      </c>
      <c r="J42" s="151">
        <f>SQRT((SUMPRODUCT($O42:$AB42,$O$7:$AB$7^2)-C42*H42^2)/(C42-1))</f>
        <v/>
      </c>
      <c r="K42" s="152">
        <f>J42/H42</f>
        <v/>
      </c>
      <c r="L42" s="151">
        <f>H42-J42</f>
        <v/>
      </c>
      <c r="M42" s="151">
        <f>H42+J42</f>
        <v/>
      </c>
      <c r="N42" s="150">
        <f>IF(K42&lt;=$D$4,"SÍ","NO")</f>
        <v/>
      </c>
      <c r="O42" s="153" t="n">
        <v>0</v>
      </c>
      <c r="P42" s="153" t="n">
        <v>0</v>
      </c>
      <c r="Q42" s="153" t="n">
        <v>0</v>
      </c>
      <c r="R42" s="153" t="n">
        <v>0</v>
      </c>
      <c r="S42" s="153" t="n">
        <v>1</v>
      </c>
      <c r="T42" s="153" t="n">
        <v>0</v>
      </c>
      <c r="U42" s="153" t="n">
        <v>1</v>
      </c>
      <c r="V42" s="153" t="n">
        <v>1</v>
      </c>
      <c r="W42" s="153" t="n">
        <v>1</v>
      </c>
      <c r="X42" s="153" t="n">
        <v>0</v>
      </c>
      <c r="Y42" s="153" t="n">
        <v>1</v>
      </c>
      <c r="Z42" s="153" t="n">
        <v>1</v>
      </c>
      <c r="AA42" s="153" t="n">
        <v>0</v>
      </c>
      <c r="AB42" s="153" t="n">
        <v>0</v>
      </c>
    </row>
    <row r="43">
      <c r="A43" s="164" t="inlineStr">
        <is>
          <t>Todas</t>
        </is>
      </c>
      <c r="B43" s="150" t="n">
        <v>9</v>
      </c>
      <c r="C43" s="150">
        <f>SUM($O43:$AB43)</f>
        <v/>
      </c>
      <c r="D43" s="164">
        <f>SUBSTITUTE(TRIM(IF(O43=1,O$6&amp;" ","")&amp;IF(P43=1,P$6&amp;" ","")&amp;IF(Q43=1,Q$6&amp;" ","")&amp;IF(R43=1,R$6&amp;" ","")&amp;IF(S43=1,S$6&amp;" ","")&amp;IF(T43=1,T$6&amp;" ","")&amp;IF(U43=1,U$6&amp;" ","")&amp;IF(V43=1,V$6&amp;" ","")&amp;IF(W43=1,W$6&amp;" ","")&amp;IF(X43=1,X$6&amp;" ","")&amp;IF(Y43=1,Y$6&amp;" ","")&amp;IF(Z43=1,Z$6&amp;" ","")&amp;IF(AA43=1,AA$6&amp;" ","")&amp;IF(AB43=1,AB$6&amp;" ",""))," ",", ")</f>
        <v/>
      </c>
      <c r="E43" s="164">
        <f>IF(SUMPRODUCT($O43:$AB43*($O$6:$AB$6&lt;=6))=$C43,"Solo casas",IF(SUMPRODUCT($O43:$AB43*($O$6:$AB$6&gt;6))=$C43,"Solo apartamentos","Mixta ("&amp;SUMPRODUCT($O43:$AB43*($O$6:$AB$6&lt;=6))&amp;" casas + "&amp;SUMPRODUCT($O43:$AB43*($O$6:$AB$6&gt;6))&amp;" aptos)"))</f>
        <v/>
      </c>
      <c r="F43" s="151">
        <f>_xlfn.MINIFS($O$7:$AB$7,$O43:$AB43,1)</f>
        <v/>
      </c>
      <c r="G43" s="151">
        <f>_xlfn.MAXIFS($O$7:$AB$7,$O43:$AB43,1)</f>
        <v/>
      </c>
      <c r="H43" s="151">
        <f>SUMPRODUCT($O43:$AB43,$O$7:$AB$7)/C43</f>
        <v/>
      </c>
      <c r="I43" s="151">
        <f>_xlfn.AGGREGATE(16,6,$O$7:$AB$7/($O43:$AB43=1),0.5)</f>
        <v/>
      </c>
      <c r="J43" s="151">
        <f>SQRT((SUMPRODUCT($O43:$AB43,$O$7:$AB$7^2)-C43*H43^2)/(C43-1))</f>
        <v/>
      </c>
      <c r="K43" s="152">
        <f>J43/H43</f>
        <v/>
      </c>
      <c r="L43" s="151">
        <f>H43-J43</f>
        <v/>
      </c>
      <c r="M43" s="151">
        <f>H43+J43</f>
        <v/>
      </c>
      <c r="N43" s="150">
        <f>IF(K43&lt;=$D$4,"SÍ","NO")</f>
        <v/>
      </c>
      <c r="O43" s="153" t="n">
        <v>0</v>
      </c>
      <c r="P43" s="153" t="n">
        <v>0</v>
      </c>
      <c r="Q43" s="153" t="n">
        <v>0</v>
      </c>
      <c r="R43" s="153" t="n">
        <v>0</v>
      </c>
      <c r="S43" s="153" t="n">
        <v>1</v>
      </c>
      <c r="T43" s="153" t="n">
        <v>0</v>
      </c>
      <c r="U43" s="153" t="n">
        <v>1</v>
      </c>
      <c r="V43" s="153" t="n">
        <v>1</v>
      </c>
      <c r="W43" s="153" t="n">
        <v>1</v>
      </c>
      <c r="X43" s="153" t="n">
        <v>0</v>
      </c>
      <c r="Y43" s="153" t="n">
        <v>1</v>
      </c>
      <c r="Z43" s="153" t="n">
        <v>0</v>
      </c>
      <c r="AA43" s="153" t="n">
        <v>0</v>
      </c>
      <c r="AB43" s="153" t="n">
        <v>1</v>
      </c>
    </row>
    <row r="44">
      <c r="A44" s="164" t="inlineStr">
        <is>
          <t>Todas</t>
        </is>
      </c>
      <c r="B44" s="150" t="n">
        <v>10</v>
      </c>
      <c r="C44" s="150">
        <f>SUM($O44:$AB44)</f>
        <v/>
      </c>
      <c r="D44" s="164">
        <f>SUBSTITUTE(TRIM(IF(O44=1,O$6&amp;" ","")&amp;IF(P44=1,P$6&amp;" ","")&amp;IF(Q44=1,Q$6&amp;" ","")&amp;IF(R44=1,R$6&amp;" ","")&amp;IF(S44=1,S$6&amp;" ","")&amp;IF(T44=1,T$6&amp;" ","")&amp;IF(U44=1,U$6&amp;" ","")&amp;IF(V44=1,V$6&amp;" ","")&amp;IF(W44=1,W$6&amp;" ","")&amp;IF(X44=1,X$6&amp;" ","")&amp;IF(Y44=1,Y$6&amp;" ","")&amp;IF(Z44=1,Z$6&amp;" ","")&amp;IF(AA44=1,AA$6&amp;" ","")&amp;IF(AB44=1,AB$6&amp;" ",""))," ",", ")</f>
        <v/>
      </c>
      <c r="E44" s="164">
        <f>IF(SUMPRODUCT($O44:$AB44*($O$6:$AB$6&lt;=6))=$C44,"Solo casas",IF(SUMPRODUCT($O44:$AB44*($O$6:$AB$6&gt;6))=$C44,"Solo apartamentos","Mixta ("&amp;SUMPRODUCT($O44:$AB44*($O$6:$AB$6&lt;=6))&amp;" casas + "&amp;SUMPRODUCT($O44:$AB44*($O$6:$AB$6&gt;6))&amp;" aptos)"))</f>
        <v/>
      </c>
      <c r="F44" s="151">
        <f>_xlfn.MINIFS($O$7:$AB$7,$O44:$AB44,1)</f>
        <v/>
      </c>
      <c r="G44" s="151">
        <f>_xlfn.MAXIFS($O$7:$AB$7,$O44:$AB44,1)</f>
        <v/>
      </c>
      <c r="H44" s="151">
        <f>SUMPRODUCT($O44:$AB44,$O$7:$AB$7)/C44</f>
        <v/>
      </c>
      <c r="I44" s="151">
        <f>_xlfn.AGGREGATE(16,6,$O$7:$AB$7/($O44:$AB44=1),0.5)</f>
        <v/>
      </c>
      <c r="J44" s="151">
        <f>SQRT((SUMPRODUCT($O44:$AB44,$O$7:$AB$7^2)-C44*H44^2)/(C44-1))</f>
        <v/>
      </c>
      <c r="K44" s="152">
        <f>J44/H44</f>
        <v/>
      </c>
      <c r="L44" s="151">
        <f>H44-J44</f>
        <v/>
      </c>
      <c r="M44" s="151">
        <f>H44+J44</f>
        <v/>
      </c>
      <c r="N44" s="150">
        <f>IF(K44&lt;=$D$4,"SÍ","NO")</f>
        <v/>
      </c>
      <c r="O44" s="153" t="n">
        <v>0</v>
      </c>
      <c r="P44" s="153" t="n">
        <v>0</v>
      </c>
      <c r="Q44" s="153" t="n">
        <v>0</v>
      </c>
      <c r="R44" s="153" t="n">
        <v>0</v>
      </c>
      <c r="S44" s="153" t="n">
        <v>1</v>
      </c>
      <c r="T44" s="153" t="n">
        <v>1</v>
      </c>
      <c r="U44" s="153" t="n">
        <v>0</v>
      </c>
      <c r="V44" s="153" t="n">
        <v>1</v>
      </c>
      <c r="W44" s="153" t="n">
        <v>1</v>
      </c>
      <c r="X44" s="153" t="n">
        <v>0</v>
      </c>
      <c r="Y44" s="153" t="n">
        <v>1</v>
      </c>
      <c r="Z44" s="153" t="n">
        <v>1</v>
      </c>
      <c r="AA44" s="153" t="n">
        <v>0</v>
      </c>
      <c r="AB44" s="153" t="n">
        <v>0</v>
      </c>
    </row>
    <row r="45">
      <c r="A45" s="164" t="inlineStr">
        <is>
          <t>Todas</t>
        </is>
      </c>
      <c r="B45" s="150" t="n">
        <v>11</v>
      </c>
      <c r="C45" s="150">
        <f>SUM($O45:$AB45)</f>
        <v/>
      </c>
      <c r="D45" s="164">
        <f>SUBSTITUTE(TRIM(IF(O45=1,O$6&amp;" ","")&amp;IF(P45=1,P$6&amp;" ","")&amp;IF(Q45=1,Q$6&amp;" ","")&amp;IF(R45=1,R$6&amp;" ","")&amp;IF(S45=1,S$6&amp;" ","")&amp;IF(T45=1,T$6&amp;" ","")&amp;IF(U45=1,U$6&amp;" ","")&amp;IF(V45=1,V$6&amp;" ","")&amp;IF(W45=1,W$6&amp;" ","")&amp;IF(X45=1,X$6&amp;" ","")&amp;IF(Y45=1,Y$6&amp;" ","")&amp;IF(Z45=1,Z$6&amp;" ","")&amp;IF(AA45=1,AA$6&amp;" ","")&amp;IF(AB45=1,AB$6&amp;" ",""))," ",", ")</f>
        <v/>
      </c>
      <c r="E45" s="164">
        <f>IF(SUMPRODUCT($O45:$AB45*($O$6:$AB$6&lt;=6))=$C45,"Solo casas",IF(SUMPRODUCT($O45:$AB45*($O$6:$AB$6&gt;6))=$C45,"Solo apartamentos","Mixta ("&amp;SUMPRODUCT($O45:$AB45*($O$6:$AB$6&lt;=6))&amp;" casas + "&amp;SUMPRODUCT($O45:$AB45*($O$6:$AB$6&gt;6))&amp;" aptos)"))</f>
        <v/>
      </c>
      <c r="F45" s="151">
        <f>_xlfn.MINIFS($O$7:$AB$7,$O45:$AB45,1)</f>
        <v/>
      </c>
      <c r="G45" s="151">
        <f>_xlfn.MAXIFS($O$7:$AB$7,$O45:$AB45,1)</f>
        <v/>
      </c>
      <c r="H45" s="151">
        <f>SUMPRODUCT($O45:$AB45,$O$7:$AB$7)/C45</f>
        <v/>
      </c>
      <c r="I45" s="151">
        <f>_xlfn.AGGREGATE(16,6,$O$7:$AB$7/($O45:$AB45=1),0.5)</f>
        <v/>
      </c>
      <c r="J45" s="151">
        <f>SQRT((SUMPRODUCT($O45:$AB45,$O$7:$AB$7^2)-C45*H45^2)/(C45-1))</f>
        <v/>
      </c>
      <c r="K45" s="152">
        <f>J45/H45</f>
        <v/>
      </c>
      <c r="L45" s="151">
        <f>H45-J45</f>
        <v/>
      </c>
      <c r="M45" s="151">
        <f>H45+J45</f>
        <v/>
      </c>
      <c r="N45" s="150">
        <f>IF(K45&lt;=$D$4,"SÍ","NO")</f>
        <v/>
      </c>
      <c r="O45" s="153" t="n">
        <v>0</v>
      </c>
      <c r="P45" s="153" t="n">
        <v>0</v>
      </c>
      <c r="Q45" s="153" t="n">
        <v>0</v>
      </c>
      <c r="R45" s="153" t="n">
        <v>0</v>
      </c>
      <c r="S45" s="153" t="n">
        <v>0</v>
      </c>
      <c r="T45" s="153" t="n">
        <v>1</v>
      </c>
      <c r="U45" s="153" t="n">
        <v>1</v>
      </c>
      <c r="V45" s="153" t="n">
        <v>1</v>
      </c>
      <c r="W45" s="153" t="n">
        <v>1</v>
      </c>
      <c r="X45" s="153" t="n">
        <v>0</v>
      </c>
      <c r="Y45" s="153" t="n">
        <v>1</v>
      </c>
      <c r="Z45" s="153" t="n">
        <v>1</v>
      </c>
      <c r="AA45" s="153" t="n">
        <v>0</v>
      </c>
      <c r="AB45" s="153" t="n">
        <v>0</v>
      </c>
    </row>
    <row r="46">
      <c r="A46" s="164" t="inlineStr">
        <is>
          <t>Todas</t>
        </is>
      </c>
      <c r="B46" s="150" t="n">
        <v>12</v>
      </c>
      <c r="C46" s="150">
        <f>SUM($O46:$AB46)</f>
        <v/>
      </c>
      <c r="D46" s="164">
        <f>SUBSTITUTE(TRIM(IF(O46=1,O$6&amp;" ","")&amp;IF(P46=1,P$6&amp;" ","")&amp;IF(Q46=1,Q$6&amp;" ","")&amp;IF(R46=1,R$6&amp;" ","")&amp;IF(S46=1,S$6&amp;" ","")&amp;IF(T46=1,T$6&amp;" ","")&amp;IF(U46=1,U$6&amp;" ","")&amp;IF(V46=1,V$6&amp;" ","")&amp;IF(W46=1,W$6&amp;" ","")&amp;IF(X46=1,X$6&amp;" ","")&amp;IF(Y46=1,Y$6&amp;" ","")&amp;IF(Z46=1,Z$6&amp;" ","")&amp;IF(AA46=1,AA$6&amp;" ","")&amp;IF(AB46=1,AB$6&amp;" ",""))," ",", ")</f>
        <v/>
      </c>
      <c r="E46" s="164">
        <f>IF(SUMPRODUCT($O46:$AB46*($O$6:$AB$6&lt;=6))=$C46,"Solo casas",IF(SUMPRODUCT($O46:$AB46*($O$6:$AB$6&gt;6))=$C46,"Solo apartamentos","Mixta ("&amp;SUMPRODUCT($O46:$AB46*($O$6:$AB$6&lt;=6))&amp;" casas + "&amp;SUMPRODUCT($O46:$AB46*($O$6:$AB$6&gt;6))&amp;" aptos)"))</f>
        <v/>
      </c>
      <c r="F46" s="151">
        <f>_xlfn.MINIFS($O$7:$AB$7,$O46:$AB46,1)</f>
        <v/>
      </c>
      <c r="G46" s="151">
        <f>_xlfn.MAXIFS($O$7:$AB$7,$O46:$AB46,1)</f>
        <v/>
      </c>
      <c r="H46" s="151">
        <f>SUMPRODUCT($O46:$AB46,$O$7:$AB$7)/C46</f>
        <v/>
      </c>
      <c r="I46" s="151">
        <f>_xlfn.AGGREGATE(16,6,$O$7:$AB$7/($O46:$AB46=1),0.5)</f>
        <v/>
      </c>
      <c r="J46" s="151">
        <f>SQRT((SUMPRODUCT($O46:$AB46,$O$7:$AB$7^2)-C46*H46^2)/(C46-1))</f>
        <v/>
      </c>
      <c r="K46" s="152">
        <f>J46/H46</f>
        <v/>
      </c>
      <c r="L46" s="151">
        <f>H46-J46</f>
        <v/>
      </c>
      <c r="M46" s="151">
        <f>H46+J46</f>
        <v/>
      </c>
      <c r="N46" s="150">
        <f>IF(K46&lt;=$D$4,"SÍ","NO")</f>
        <v/>
      </c>
      <c r="O46" s="153" t="n">
        <v>0</v>
      </c>
      <c r="P46" s="153" t="n">
        <v>0</v>
      </c>
      <c r="Q46" s="153" t="n">
        <v>0</v>
      </c>
      <c r="R46" s="153" t="n">
        <v>0</v>
      </c>
      <c r="S46" s="153" t="n">
        <v>1</v>
      </c>
      <c r="T46" s="153" t="n">
        <v>1</v>
      </c>
      <c r="U46" s="153" t="n">
        <v>1</v>
      </c>
      <c r="V46" s="153" t="n">
        <v>0</v>
      </c>
      <c r="W46" s="153" t="n">
        <v>1</v>
      </c>
      <c r="X46" s="153" t="n">
        <v>0</v>
      </c>
      <c r="Y46" s="153" t="n">
        <v>1</v>
      </c>
      <c r="Z46" s="153" t="n">
        <v>1</v>
      </c>
      <c r="AA46" s="153" t="n">
        <v>0</v>
      </c>
      <c r="AB46" s="153" t="n">
        <v>0</v>
      </c>
    </row>
    <row r="47">
      <c r="A47" s="164" t="inlineStr">
        <is>
          <t>Todas</t>
        </is>
      </c>
      <c r="B47" s="150" t="n">
        <v>13</v>
      </c>
      <c r="C47" s="150">
        <f>SUM($O47:$AB47)</f>
        <v/>
      </c>
      <c r="D47" s="164">
        <f>SUBSTITUTE(TRIM(IF(O47=1,O$6&amp;" ","")&amp;IF(P47=1,P$6&amp;" ","")&amp;IF(Q47=1,Q$6&amp;" ","")&amp;IF(R47=1,R$6&amp;" ","")&amp;IF(S47=1,S$6&amp;" ","")&amp;IF(T47=1,T$6&amp;" ","")&amp;IF(U47=1,U$6&amp;" ","")&amp;IF(V47=1,V$6&amp;" ","")&amp;IF(W47=1,W$6&amp;" ","")&amp;IF(X47=1,X$6&amp;" ","")&amp;IF(Y47=1,Y$6&amp;" ","")&amp;IF(Z47=1,Z$6&amp;" ","")&amp;IF(AA47=1,AA$6&amp;" ","")&amp;IF(AB47=1,AB$6&amp;" ",""))," ",", ")</f>
        <v/>
      </c>
      <c r="E47" s="164">
        <f>IF(SUMPRODUCT($O47:$AB47*($O$6:$AB$6&lt;=6))=$C47,"Solo casas",IF(SUMPRODUCT($O47:$AB47*($O$6:$AB$6&gt;6))=$C47,"Solo apartamentos","Mixta ("&amp;SUMPRODUCT($O47:$AB47*($O$6:$AB$6&lt;=6))&amp;" casas + "&amp;SUMPRODUCT($O47:$AB47*($O$6:$AB$6&gt;6))&amp;" aptos)"))</f>
        <v/>
      </c>
      <c r="F47" s="151">
        <f>_xlfn.MINIFS($O$7:$AB$7,$O47:$AB47,1)</f>
        <v/>
      </c>
      <c r="G47" s="151">
        <f>_xlfn.MAXIFS($O$7:$AB$7,$O47:$AB47,1)</f>
        <v/>
      </c>
      <c r="H47" s="151">
        <f>SUMPRODUCT($O47:$AB47,$O$7:$AB$7)/C47</f>
        <v/>
      </c>
      <c r="I47" s="151">
        <f>_xlfn.AGGREGATE(16,6,$O$7:$AB$7/($O47:$AB47=1),0.5)</f>
        <v/>
      </c>
      <c r="J47" s="151">
        <f>SQRT((SUMPRODUCT($O47:$AB47,$O$7:$AB$7^2)-C47*H47^2)/(C47-1))</f>
        <v/>
      </c>
      <c r="K47" s="152">
        <f>J47/H47</f>
        <v/>
      </c>
      <c r="L47" s="151">
        <f>H47-J47</f>
        <v/>
      </c>
      <c r="M47" s="151">
        <f>H47+J47</f>
        <v/>
      </c>
      <c r="N47" s="150">
        <f>IF(K47&lt;=$D$4,"SÍ","NO")</f>
        <v/>
      </c>
      <c r="O47" s="153" t="n">
        <v>0</v>
      </c>
      <c r="P47" s="153" t="n">
        <v>0</v>
      </c>
      <c r="Q47" s="153" t="n">
        <v>0</v>
      </c>
      <c r="R47" s="153" t="n">
        <v>0</v>
      </c>
      <c r="S47" s="153" t="n">
        <v>1</v>
      </c>
      <c r="T47" s="153" t="n">
        <v>1</v>
      </c>
      <c r="U47" s="153" t="n">
        <v>1</v>
      </c>
      <c r="V47" s="153" t="n">
        <v>1</v>
      </c>
      <c r="W47" s="153" t="n">
        <v>1</v>
      </c>
      <c r="X47" s="153" t="n">
        <v>0</v>
      </c>
      <c r="Y47" s="153" t="n">
        <v>0</v>
      </c>
      <c r="Z47" s="153" t="n">
        <v>1</v>
      </c>
      <c r="AA47" s="153" t="n">
        <v>0</v>
      </c>
      <c r="AB47" s="153" t="n">
        <v>0</v>
      </c>
    </row>
    <row r="48">
      <c r="A48" s="164" t="inlineStr">
        <is>
          <t>Todas</t>
        </is>
      </c>
      <c r="B48" s="150" t="n">
        <v>14</v>
      </c>
      <c r="C48" s="150">
        <f>SUM($O48:$AB48)</f>
        <v/>
      </c>
      <c r="D48" s="164">
        <f>SUBSTITUTE(TRIM(IF(O48=1,O$6&amp;" ","")&amp;IF(P48=1,P$6&amp;" ","")&amp;IF(Q48=1,Q$6&amp;" ","")&amp;IF(R48=1,R$6&amp;" ","")&amp;IF(S48=1,S$6&amp;" ","")&amp;IF(T48=1,T$6&amp;" ","")&amp;IF(U48=1,U$6&amp;" ","")&amp;IF(V48=1,V$6&amp;" ","")&amp;IF(W48=1,W$6&amp;" ","")&amp;IF(X48=1,X$6&amp;" ","")&amp;IF(Y48=1,Y$6&amp;" ","")&amp;IF(Z48=1,Z$6&amp;" ","")&amp;IF(AA48=1,AA$6&amp;" ","")&amp;IF(AB48=1,AB$6&amp;" ",""))," ",", ")</f>
        <v/>
      </c>
      <c r="E48" s="164">
        <f>IF(SUMPRODUCT($O48:$AB48*($O$6:$AB$6&lt;=6))=$C48,"Solo casas",IF(SUMPRODUCT($O48:$AB48*($O$6:$AB$6&gt;6))=$C48,"Solo apartamentos","Mixta ("&amp;SUMPRODUCT($O48:$AB48*($O$6:$AB$6&lt;=6))&amp;" casas + "&amp;SUMPRODUCT($O48:$AB48*($O$6:$AB$6&gt;6))&amp;" aptos)"))</f>
        <v/>
      </c>
      <c r="F48" s="151">
        <f>_xlfn.MINIFS($O$7:$AB$7,$O48:$AB48,1)</f>
        <v/>
      </c>
      <c r="G48" s="151">
        <f>_xlfn.MAXIFS($O$7:$AB$7,$O48:$AB48,1)</f>
        <v/>
      </c>
      <c r="H48" s="151">
        <f>SUMPRODUCT($O48:$AB48,$O$7:$AB$7)/C48</f>
        <v/>
      </c>
      <c r="I48" s="151">
        <f>_xlfn.AGGREGATE(16,6,$O$7:$AB$7/($O48:$AB48=1),0.5)</f>
        <v/>
      </c>
      <c r="J48" s="151">
        <f>SQRT((SUMPRODUCT($O48:$AB48,$O$7:$AB$7^2)-C48*H48^2)/(C48-1))</f>
        <v/>
      </c>
      <c r="K48" s="152">
        <f>J48/H48</f>
        <v/>
      </c>
      <c r="L48" s="151">
        <f>H48-J48</f>
        <v/>
      </c>
      <c r="M48" s="151">
        <f>H48+J48</f>
        <v/>
      </c>
      <c r="N48" s="150">
        <f>IF(K48&lt;=$D$4,"SÍ","NO")</f>
        <v/>
      </c>
      <c r="O48" s="153" t="n">
        <v>0</v>
      </c>
      <c r="P48" s="153" t="n">
        <v>0</v>
      </c>
      <c r="Q48" s="153" t="n">
        <v>0</v>
      </c>
      <c r="R48" s="153" t="n">
        <v>0</v>
      </c>
      <c r="S48" s="153" t="n">
        <v>1</v>
      </c>
      <c r="T48" s="153" t="n">
        <v>1</v>
      </c>
      <c r="U48" s="153" t="n">
        <v>1</v>
      </c>
      <c r="V48" s="153" t="n">
        <v>1</v>
      </c>
      <c r="W48" s="153" t="n">
        <v>0</v>
      </c>
      <c r="X48" s="153" t="n">
        <v>0</v>
      </c>
      <c r="Y48" s="153" t="n">
        <v>1</v>
      </c>
      <c r="Z48" s="153" t="n">
        <v>0</v>
      </c>
      <c r="AA48" s="153" t="n">
        <v>0</v>
      </c>
      <c r="AB48" s="153" t="n">
        <v>1</v>
      </c>
    </row>
    <row r="49">
      <c r="A49" s="164" t="inlineStr">
        <is>
          <t>Todas</t>
        </is>
      </c>
      <c r="B49" s="150" t="n">
        <v>15</v>
      </c>
      <c r="C49" s="150">
        <f>SUM($O49:$AB49)</f>
        <v/>
      </c>
      <c r="D49" s="164">
        <f>SUBSTITUTE(TRIM(IF(O49=1,O$6&amp;" ","")&amp;IF(P49=1,P$6&amp;" ","")&amp;IF(Q49=1,Q$6&amp;" ","")&amp;IF(R49=1,R$6&amp;" ","")&amp;IF(S49=1,S$6&amp;" ","")&amp;IF(T49=1,T$6&amp;" ","")&amp;IF(U49=1,U$6&amp;" ","")&amp;IF(V49=1,V$6&amp;" ","")&amp;IF(W49=1,W$6&amp;" ","")&amp;IF(X49=1,X$6&amp;" ","")&amp;IF(Y49=1,Y$6&amp;" ","")&amp;IF(Z49=1,Z$6&amp;" ","")&amp;IF(AA49=1,AA$6&amp;" ","")&amp;IF(AB49=1,AB$6&amp;" ",""))," ",", ")</f>
        <v/>
      </c>
      <c r="E49" s="164">
        <f>IF(SUMPRODUCT($O49:$AB49*($O$6:$AB$6&lt;=6))=$C49,"Solo casas",IF(SUMPRODUCT($O49:$AB49*($O$6:$AB$6&gt;6))=$C49,"Solo apartamentos","Mixta ("&amp;SUMPRODUCT($O49:$AB49*($O$6:$AB$6&lt;=6))&amp;" casas + "&amp;SUMPRODUCT($O49:$AB49*($O$6:$AB$6&gt;6))&amp;" aptos)"))</f>
        <v/>
      </c>
      <c r="F49" s="151">
        <f>_xlfn.MINIFS($O$7:$AB$7,$O49:$AB49,1)</f>
        <v/>
      </c>
      <c r="G49" s="151">
        <f>_xlfn.MAXIFS($O$7:$AB$7,$O49:$AB49,1)</f>
        <v/>
      </c>
      <c r="H49" s="151">
        <f>SUMPRODUCT($O49:$AB49,$O$7:$AB$7)/C49</f>
        <v/>
      </c>
      <c r="I49" s="151">
        <f>_xlfn.AGGREGATE(16,6,$O$7:$AB$7/($O49:$AB49=1),0.5)</f>
        <v/>
      </c>
      <c r="J49" s="151">
        <f>SQRT((SUMPRODUCT($O49:$AB49,$O$7:$AB$7^2)-C49*H49^2)/(C49-1))</f>
        <v/>
      </c>
      <c r="K49" s="152">
        <f>J49/H49</f>
        <v/>
      </c>
      <c r="L49" s="151">
        <f>H49-J49</f>
        <v/>
      </c>
      <c r="M49" s="151">
        <f>H49+J49</f>
        <v/>
      </c>
      <c r="N49" s="150">
        <f>IF(K49&lt;=$D$4,"SÍ","NO")</f>
        <v/>
      </c>
      <c r="O49" s="153" t="n">
        <v>0</v>
      </c>
      <c r="P49" s="153" t="n">
        <v>0</v>
      </c>
      <c r="Q49" s="153" t="n">
        <v>0</v>
      </c>
      <c r="R49" s="153" t="n">
        <v>0</v>
      </c>
      <c r="S49" s="153" t="n">
        <v>1</v>
      </c>
      <c r="T49" s="153" t="n">
        <v>0</v>
      </c>
      <c r="U49" s="153" t="n">
        <v>1</v>
      </c>
      <c r="V49" s="153" t="n">
        <v>1</v>
      </c>
      <c r="W49" s="153" t="n">
        <v>0</v>
      </c>
      <c r="X49" s="153" t="n">
        <v>0</v>
      </c>
      <c r="Y49" s="153" t="n">
        <v>1</v>
      </c>
      <c r="Z49" s="153" t="n">
        <v>1</v>
      </c>
      <c r="AA49" s="153" t="n">
        <v>0</v>
      </c>
      <c r="AB49" s="153" t="n">
        <v>1</v>
      </c>
    </row>
    <row r="50">
      <c r="A50" s="164" t="inlineStr">
        <is>
          <t>Todas</t>
        </is>
      </c>
      <c r="B50" s="150" t="n">
        <v>16</v>
      </c>
      <c r="C50" s="150">
        <f>SUM($O50:$AB50)</f>
        <v/>
      </c>
      <c r="D50" s="164">
        <f>SUBSTITUTE(TRIM(IF(O50=1,O$6&amp;" ","")&amp;IF(P50=1,P$6&amp;" ","")&amp;IF(Q50=1,Q$6&amp;" ","")&amp;IF(R50=1,R$6&amp;" ","")&amp;IF(S50=1,S$6&amp;" ","")&amp;IF(T50=1,T$6&amp;" ","")&amp;IF(U50=1,U$6&amp;" ","")&amp;IF(V50=1,V$6&amp;" ","")&amp;IF(W50=1,W$6&amp;" ","")&amp;IF(X50=1,X$6&amp;" ","")&amp;IF(Y50=1,Y$6&amp;" ","")&amp;IF(Z50=1,Z$6&amp;" ","")&amp;IF(AA50=1,AA$6&amp;" ","")&amp;IF(AB50=1,AB$6&amp;" ",""))," ",", ")</f>
        <v/>
      </c>
      <c r="E50" s="164">
        <f>IF(SUMPRODUCT($O50:$AB50*($O$6:$AB$6&lt;=6))=$C50,"Solo casas",IF(SUMPRODUCT($O50:$AB50*($O$6:$AB$6&gt;6))=$C50,"Solo apartamentos","Mixta ("&amp;SUMPRODUCT($O50:$AB50*($O$6:$AB$6&lt;=6))&amp;" casas + "&amp;SUMPRODUCT($O50:$AB50*($O$6:$AB$6&gt;6))&amp;" aptos)"))</f>
        <v/>
      </c>
      <c r="F50" s="151">
        <f>_xlfn.MINIFS($O$7:$AB$7,$O50:$AB50,1)</f>
        <v/>
      </c>
      <c r="G50" s="151">
        <f>_xlfn.MAXIFS($O$7:$AB$7,$O50:$AB50,1)</f>
        <v/>
      </c>
      <c r="H50" s="151">
        <f>SUMPRODUCT($O50:$AB50,$O$7:$AB$7)/C50</f>
        <v/>
      </c>
      <c r="I50" s="151">
        <f>_xlfn.AGGREGATE(16,6,$O$7:$AB$7/($O50:$AB50=1),0.5)</f>
        <v/>
      </c>
      <c r="J50" s="151">
        <f>SQRT((SUMPRODUCT($O50:$AB50,$O$7:$AB$7^2)-C50*H50^2)/(C50-1))</f>
        <v/>
      </c>
      <c r="K50" s="152">
        <f>J50/H50</f>
        <v/>
      </c>
      <c r="L50" s="151">
        <f>H50-J50</f>
        <v/>
      </c>
      <c r="M50" s="151">
        <f>H50+J50</f>
        <v/>
      </c>
      <c r="N50" s="150">
        <f>IF(K50&lt;=$D$4,"SÍ","NO")</f>
        <v/>
      </c>
      <c r="O50" s="153" t="n">
        <v>0</v>
      </c>
      <c r="P50" s="153" t="n">
        <v>0</v>
      </c>
      <c r="Q50" s="153" t="n">
        <v>0</v>
      </c>
      <c r="R50" s="153" t="n">
        <v>0</v>
      </c>
      <c r="S50" s="153" t="n">
        <v>1</v>
      </c>
      <c r="T50" s="153" t="n">
        <v>1</v>
      </c>
      <c r="U50" s="153" t="n">
        <v>0</v>
      </c>
      <c r="V50" s="153" t="n">
        <v>1</v>
      </c>
      <c r="W50" s="153" t="n">
        <v>1</v>
      </c>
      <c r="X50" s="153" t="n">
        <v>0</v>
      </c>
      <c r="Y50" s="153" t="n">
        <v>1</v>
      </c>
      <c r="Z50" s="153" t="n">
        <v>0</v>
      </c>
      <c r="AA50" s="153" t="n">
        <v>0</v>
      </c>
      <c r="AB50" s="153" t="n">
        <v>1</v>
      </c>
    </row>
    <row r="51">
      <c r="A51" s="164" t="inlineStr">
        <is>
          <t>Todas</t>
        </is>
      </c>
      <c r="B51" s="150" t="n">
        <v>17</v>
      </c>
      <c r="C51" s="150">
        <f>SUM($O51:$AB51)</f>
        <v/>
      </c>
      <c r="D51" s="164">
        <f>SUBSTITUTE(TRIM(IF(O51=1,O$6&amp;" ","")&amp;IF(P51=1,P$6&amp;" ","")&amp;IF(Q51=1,Q$6&amp;" ","")&amp;IF(R51=1,R$6&amp;" ","")&amp;IF(S51=1,S$6&amp;" ","")&amp;IF(T51=1,T$6&amp;" ","")&amp;IF(U51=1,U$6&amp;" ","")&amp;IF(V51=1,V$6&amp;" ","")&amp;IF(W51=1,W$6&amp;" ","")&amp;IF(X51=1,X$6&amp;" ","")&amp;IF(Y51=1,Y$6&amp;" ","")&amp;IF(Z51=1,Z$6&amp;" ","")&amp;IF(AA51=1,AA$6&amp;" ","")&amp;IF(AB51=1,AB$6&amp;" ",""))," ",", ")</f>
        <v/>
      </c>
      <c r="E51" s="164">
        <f>IF(SUMPRODUCT($O51:$AB51*($O$6:$AB$6&lt;=6))=$C51,"Solo casas",IF(SUMPRODUCT($O51:$AB51*($O$6:$AB$6&gt;6))=$C51,"Solo apartamentos","Mixta ("&amp;SUMPRODUCT($O51:$AB51*($O$6:$AB$6&lt;=6))&amp;" casas + "&amp;SUMPRODUCT($O51:$AB51*($O$6:$AB$6&gt;6))&amp;" aptos)"))</f>
        <v/>
      </c>
      <c r="F51" s="151">
        <f>_xlfn.MINIFS($O$7:$AB$7,$O51:$AB51,1)</f>
        <v/>
      </c>
      <c r="G51" s="151">
        <f>_xlfn.MAXIFS($O$7:$AB$7,$O51:$AB51,1)</f>
        <v/>
      </c>
      <c r="H51" s="151">
        <f>SUMPRODUCT($O51:$AB51,$O$7:$AB$7)/C51</f>
        <v/>
      </c>
      <c r="I51" s="151">
        <f>_xlfn.AGGREGATE(16,6,$O$7:$AB$7/($O51:$AB51=1),0.5)</f>
        <v/>
      </c>
      <c r="J51" s="151">
        <f>SQRT((SUMPRODUCT($O51:$AB51,$O$7:$AB$7^2)-C51*H51^2)/(C51-1))</f>
        <v/>
      </c>
      <c r="K51" s="152">
        <f>J51/H51</f>
        <v/>
      </c>
      <c r="L51" s="151">
        <f>H51-J51</f>
        <v/>
      </c>
      <c r="M51" s="151">
        <f>H51+J51</f>
        <v/>
      </c>
      <c r="N51" s="150">
        <f>IF(K51&lt;=$D$4,"SÍ","NO")</f>
        <v/>
      </c>
      <c r="O51" s="153" t="n">
        <v>0</v>
      </c>
      <c r="P51" s="153" t="n">
        <v>0</v>
      </c>
      <c r="Q51" s="153" t="n">
        <v>0</v>
      </c>
      <c r="R51" s="153" t="n">
        <v>0</v>
      </c>
      <c r="S51" s="153" t="n">
        <v>1</v>
      </c>
      <c r="T51" s="153" t="n">
        <v>0</v>
      </c>
      <c r="U51" s="153" t="n">
        <v>0</v>
      </c>
      <c r="V51" s="153" t="n">
        <v>1</v>
      </c>
      <c r="W51" s="153" t="n">
        <v>1</v>
      </c>
      <c r="X51" s="153" t="n">
        <v>0</v>
      </c>
      <c r="Y51" s="153" t="n">
        <v>1</v>
      </c>
      <c r="Z51" s="153" t="n">
        <v>1</v>
      </c>
      <c r="AA51" s="153" t="n">
        <v>0</v>
      </c>
      <c r="AB51" s="153" t="n">
        <v>1</v>
      </c>
    </row>
    <row r="52">
      <c r="A52" s="164" t="inlineStr">
        <is>
          <t>Todas</t>
        </is>
      </c>
      <c r="B52" s="150" t="n">
        <v>18</v>
      </c>
      <c r="C52" s="150">
        <f>SUM($O52:$AB52)</f>
        <v/>
      </c>
      <c r="D52" s="164">
        <f>SUBSTITUTE(TRIM(IF(O52=1,O$6&amp;" ","")&amp;IF(P52=1,P$6&amp;" ","")&amp;IF(Q52=1,Q$6&amp;" ","")&amp;IF(R52=1,R$6&amp;" ","")&amp;IF(S52=1,S$6&amp;" ","")&amp;IF(T52=1,T$6&amp;" ","")&amp;IF(U52=1,U$6&amp;" ","")&amp;IF(V52=1,V$6&amp;" ","")&amp;IF(W52=1,W$6&amp;" ","")&amp;IF(X52=1,X$6&amp;" ","")&amp;IF(Y52=1,Y$6&amp;" ","")&amp;IF(Z52=1,Z$6&amp;" ","")&amp;IF(AA52=1,AA$6&amp;" ","")&amp;IF(AB52=1,AB$6&amp;" ",""))," ",", ")</f>
        <v/>
      </c>
      <c r="E52" s="164">
        <f>IF(SUMPRODUCT($O52:$AB52*($O$6:$AB$6&lt;=6))=$C52,"Solo casas",IF(SUMPRODUCT($O52:$AB52*($O$6:$AB$6&gt;6))=$C52,"Solo apartamentos","Mixta ("&amp;SUMPRODUCT($O52:$AB52*($O$6:$AB$6&lt;=6))&amp;" casas + "&amp;SUMPRODUCT($O52:$AB52*($O$6:$AB$6&gt;6))&amp;" aptos)"))</f>
        <v/>
      </c>
      <c r="F52" s="151">
        <f>_xlfn.MINIFS($O$7:$AB$7,$O52:$AB52,1)</f>
        <v/>
      </c>
      <c r="G52" s="151">
        <f>_xlfn.MAXIFS($O$7:$AB$7,$O52:$AB52,1)</f>
        <v/>
      </c>
      <c r="H52" s="151">
        <f>SUMPRODUCT($O52:$AB52,$O$7:$AB$7)/C52</f>
        <v/>
      </c>
      <c r="I52" s="151">
        <f>_xlfn.AGGREGATE(16,6,$O$7:$AB$7/($O52:$AB52=1),0.5)</f>
        <v/>
      </c>
      <c r="J52" s="151">
        <f>SQRT((SUMPRODUCT($O52:$AB52,$O$7:$AB$7^2)-C52*H52^2)/(C52-1))</f>
        <v/>
      </c>
      <c r="K52" s="152">
        <f>J52/H52</f>
        <v/>
      </c>
      <c r="L52" s="151">
        <f>H52-J52</f>
        <v/>
      </c>
      <c r="M52" s="151">
        <f>H52+J52</f>
        <v/>
      </c>
      <c r="N52" s="150">
        <f>IF(K52&lt;=$D$4,"SÍ","NO")</f>
        <v/>
      </c>
      <c r="O52" s="153" t="n">
        <v>0</v>
      </c>
      <c r="P52" s="153" t="n">
        <v>0</v>
      </c>
      <c r="Q52" s="153" t="n">
        <v>0</v>
      </c>
      <c r="R52" s="153" t="n">
        <v>0</v>
      </c>
      <c r="S52" s="153" t="n">
        <v>1</v>
      </c>
      <c r="T52" s="153" t="n">
        <v>1</v>
      </c>
      <c r="U52" s="153" t="n">
        <v>1</v>
      </c>
      <c r="V52" s="153" t="n">
        <v>1</v>
      </c>
      <c r="W52" s="153" t="n">
        <v>0</v>
      </c>
      <c r="X52" s="153" t="n">
        <v>0</v>
      </c>
      <c r="Y52" s="153" t="n">
        <v>1</v>
      </c>
      <c r="Z52" s="153" t="n">
        <v>0</v>
      </c>
      <c r="AA52" s="153" t="n">
        <v>0</v>
      </c>
      <c r="AB52" s="153" t="n">
        <v>0</v>
      </c>
    </row>
    <row r="53">
      <c r="A53" s="164" t="inlineStr">
        <is>
          <t>Todas</t>
        </is>
      </c>
      <c r="B53" s="150" t="n">
        <v>19</v>
      </c>
      <c r="C53" s="150">
        <f>SUM($O53:$AB53)</f>
        <v/>
      </c>
      <c r="D53" s="164">
        <f>SUBSTITUTE(TRIM(IF(O53=1,O$6&amp;" ","")&amp;IF(P53=1,P$6&amp;" ","")&amp;IF(Q53=1,Q$6&amp;" ","")&amp;IF(R53=1,R$6&amp;" ","")&amp;IF(S53=1,S$6&amp;" ","")&amp;IF(T53=1,T$6&amp;" ","")&amp;IF(U53=1,U$6&amp;" ","")&amp;IF(V53=1,V$6&amp;" ","")&amp;IF(W53=1,W$6&amp;" ","")&amp;IF(X53=1,X$6&amp;" ","")&amp;IF(Y53=1,Y$6&amp;" ","")&amp;IF(Z53=1,Z$6&amp;" ","")&amp;IF(AA53=1,AA$6&amp;" ","")&amp;IF(AB53=1,AB$6&amp;" ",""))," ",", ")</f>
        <v/>
      </c>
      <c r="E53" s="164">
        <f>IF(SUMPRODUCT($O53:$AB53*($O$6:$AB$6&lt;=6))=$C53,"Solo casas",IF(SUMPRODUCT($O53:$AB53*($O$6:$AB$6&gt;6))=$C53,"Solo apartamentos","Mixta ("&amp;SUMPRODUCT($O53:$AB53*($O$6:$AB$6&lt;=6))&amp;" casas + "&amp;SUMPRODUCT($O53:$AB53*($O$6:$AB$6&gt;6))&amp;" aptos)"))</f>
        <v/>
      </c>
      <c r="F53" s="151">
        <f>_xlfn.MINIFS($O$7:$AB$7,$O53:$AB53,1)</f>
        <v/>
      </c>
      <c r="G53" s="151">
        <f>_xlfn.MAXIFS($O$7:$AB$7,$O53:$AB53,1)</f>
        <v/>
      </c>
      <c r="H53" s="151">
        <f>SUMPRODUCT($O53:$AB53,$O$7:$AB$7)/C53</f>
        <v/>
      </c>
      <c r="I53" s="151">
        <f>_xlfn.AGGREGATE(16,6,$O$7:$AB$7/($O53:$AB53=1),0.5)</f>
        <v/>
      </c>
      <c r="J53" s="151">
        <f>SQRT((SUMPRODUCT($O53:$AB53,$O$7:$AB$7^2)-C53*H53^2)/(C53-1))</f>
        <v/>
      </c>
      <c r="K53" s="152">
        <f>J53/H53</f>
        <v/>
      </c>
      <c r="L53" s="151">
        <f>H53-J53</f>
        <v/>
      </c>
      <c r="M53" s="151">
        <f>H53+J53</f>
        <v/>
      </c>
      <c r="N53" s="150">
        <f>IF(K53&lt;=$D$4,"SÍ","NO")</f>
        <v/>
      </c>
      <c r="O53" s="153" t="n">
        <v>0</v>
      </c>
      <c r="P53" s="153" t="n">
        <v>0</v>
      </c>
      <c r="Q53" s="153" t="n">
        <v>0</v>
      </c>
      <c r="R53" s="153" t="n">
        <v>0</v>
      </c>
      <c r="S53" s="153" t="n">
        <v>1</v>
      </c>
      <c r="T53" s="153" t="n">
        <v>0</v>
      </c>
      <c r="U53" s="153" t="n">
        <v>1</v>
      </c>
      <c r="V53" s="153" t="n">
        <v>1</v>
      </c>
      <c r="W53" s="153" t="n">
        <v>0</v>
      </c>
      <c r="X53" s="153" t="n">
        <v>0</v>
      </c>
      <c r="Y53" s="153" t="n">
        <v>1</v>
      </c>
      <c r="Z53" s="153" t="n">
        <v>1</v>
      </c>
      <c r="AA53" s="153" t="n">
        <v>0</v>
      </c>
      <c r="AB53" s="153" t="n">
        <v>0</v>
      </c>
    </row>
    <row r="54">
      <c r="A54" s="164" t="inlineStr">
        <is>
          <t>Todas</t>
        </is>
      </c>
      <c r="B54" s="150" t="n">
        <v>20</v>
      </c>
      <c r="C54" s="150">
        <f>SUM($O54:$AB54)</f>
        <v/>
      </c>
      <c r="D54" s="164">
        <f>SUBSTITUTE(TRIM(IF(O54=1,O$6&amp;" ","")&amp;IF(P54=1,P$6&amp;" ","")&amp;IF(Q54=1,Q$6&amp;" ","")&amp;IF(R54=1,R$6&amp;" ","")&amp;IF(S54=1,S$6&amp;" ","")&amp;IF(T54=1,T$6&amp;" ","")&amp;IF(U54=1,U$6&amp;" ","")&amp;IF(V54=1,V$6&amp;" ","")&amp;IF(W54=1,W$6&amp;" ","")&amp;IF(X54=1,X$6&amp;" ","")&amp;IF(Y54=1,Y$6&amp;" ","")&amp;IF(Z54=1,Z$6&amp;" ","")&amp;IF(AA54=1,AA$6&amp;" ","")&amp;IF(AB54=1,AB$6&amp;" ",""))," ",", ")</f>
        <v/>
      </c>
      <c r="E54" s="164">
        <f>IF(SUMPRODUCT($O54:$AB54*($O$6:$AB$6&lt;=6))=$C54,"Solo casas",IF(SUMPRODUCT($O54:$AB54*($O$6:$AB$6&gt;6))=$C54,"Solo apartamentos","Mixta ("&amp;SUMPRODUCT($O54:$AB54*($O$6:$AB$6&lt;=6))&amp;" casas + "&amp;SUMPRODUCT($O54:$AB54*($O$6:$AB$6&gt;6))&amp;" aptos)"))</f>
        <v/>
      </c>
      <c r="F54" s="151">
        <f>_xlfn.MINIFS($O$7:$AB$7,$O54:$AB54,1)</f>
        <v/>
      </c>
      <c r="G54" s="151">
        <f>_xlfn.MAXIFS($O$7:$AB$7,$O54:$AB54,1)</f>
        <v/>
      </c>
      <c r="H54" s="151">
        <f>SUMPRODUCT($O54:$AB54,$O$7:$AB$7)/C54</f>
        <v/>
      </c>
      <c r="I54" s="151">
        <f>_xlfn.AGGREGATE(16,6,$O$7:$AB$7/($O54:$AB54=1),0.5)</f>
        <v/>
      </c>
      <c r="J54" s="151">
        <f>SQRT((SUMPRODUCT($O54:$AB54,$O$7:$AB$7^2)-C54*H54^2)/(C54-1))</f>
        <v/>
      </c>
      <c r="K54" s="152">
        <f>J54/H54</f>
        <v/>
      </c>
      <c r="L54" s="151">
        <f>H54-J54</f>
        <v/>
      </c>
      <c r="M54" s="151">
        <f>H54+J54</f>
        <v/>
      </c>
      <c r="N54" s="150">
        <f>IF(K54&lt;=$D$4,"SÍ","NO")</f>
        <v/>
      </c>
      <c r="O54" s="153" t="n">
        <v>0</v>
      </c>
      <c r="P54" s="153" t="n">
        <v>0</v>
      </c>
      <c r="Q54" s="153" t="n">
        <v>0</v>
      </c>
      <c r="R54" s="153" t="n">
        <v>0</v>
      </c>
      <c r="S54" s="153" t="n">
        <v>0</v>
      </c>
      <c r="T54" s="153" t="n">
        <v>1</v>
      </c>
      <c r="U54" s="153" t="n">
        <v>1</v>
      </c>
      <c r="V54" s="153" t="n">
        <v>1</v>
      </c>
      <c r="W54" s="153" t="n">
        <v>0</v>
      </c>
      <c r="X54" s="153" t="n">
        <v>0</v>
      </c>
      <c r="Y54" s="153" t="n">
        <v>1</v>
      </c>
      <c r="Z54" s="153" t="n">
        <v>1</v>
      </c>
      <c r="AA54" s="153" t="n">
        <v>0</v>
      </c>
      <c r="AB54" s="153" t="n">
        <v>0</v>
      </c>
    </row>
    <row r="55">
      <c r="A55" s="164" t="inlineStr">
        <is>
          <t>Todas</t>
        </is>
      </c>
      <c r="B55" s="150" t="n">
        <v>21</v>
      </c>
      <c r="C55" s="150">
        <f>SUM($O55:$AB55)</f>
        <v/>
      </c>
      <c r="D55" s="164">
        <f>SUBSTITUTE(TRIM(IF(O55=1,O$6&amp;" ","")&amp;IF(P55=1,P$6&amp;" ","")&amp;IF(Q55=1,Q$6&amp;" ","")&amp;IF(R55=1,R$6&amp;" ","")&amp;IF(S55=1,S$6&amp;" ","")&amp;IF(T55=1,T$6&amp;" ","")&amp;IF(U55=1,U$6&amp;" ","")&amp;IF(V55=1,V$6&amp;" ","")&amp;IF(W55=1,W$6&amp;" ","")&amp;IF(X55=1,X$6&amp;" ","")&amp;IF(Y55=1,Y$6&amp;" ","")&amp;IF(Z55=1,Z$6&amp;" ","")&amp;IF(AA55=1,AA$6&amp;" ","")&amp;IF(AB55=1,AB$6&amp;" ",""))," ",", ")</f>
        <v/>
      </c>
      <c r="E55" s="164">
        <f>IF(SUMPRODUCT($O55:$AB55*($O$6:$AB$6&lt;=6))=$C55,"Solo casas",IF(SUMPRODUCT($O55:$AB55*($O$6:$AB$6&gt;6))=$C55,"Solo apartamentos","Mixta ("&amp;SUMPRODUCT($O55:$AB55*($O$6:$AB$6&lt;=6))&amp;" casas + "&amp;SUMPRODUCT($O55:$AB55*($O$6:$AB$6&gt;6))&amp;" aptos)"))</f>
        <v/>
      </c>
      <c r="F55" s="151">
        <f>_xlfn.MINIFS($O$7:$AB$7,$O55:$AB55,1)</f>
        <v/>
      </c>
      <c r="G55" s="151">
        <f>_xlfn.MAXIFS($O$7:$AB$7,$O55:$AB55,1)</f>
        <v/>
      </c>
      <c r="H55" s="151">
        <f>SUMPRODUCT($O55:$AB55,$O$7:$AB$7)/C55</f>
        <v/>
      </c>
      <c r="I55" s="151">
        <f>_xlfn.AGGREGATE(16,6,$O$7:$AB$7/($O55:$AB55=1),0.5)</f>
        <v/>
      </c>
      <c r="J55" s="151">
        <f>SQRT((SUMPRODUCT($O55:$AB55,$O$7:$AB$7^2)-C55*H55^2)/(C55-1))</f>
        <v/>
      </c>
      <c r="K55" s="152">
        <f>J55/H55</f>
        <v/>
      </c>
      <c r="L55" s="151">
        <f>H55-J55</f>
        <v/>
      </c>
      <c r="M55" s="151">
        <f>H55+J55</f>
        <v/>
      </c>
      <c r="N55" s="150">
        <f>IF(K55&lt;=$D$4,"SÍ","NO")</f>
        <v/>
      </c>
      <c r="O55" s="153" t="n">
        <v>0</v>
      </c>
      <c r="P55" s="153" t="n">
        <v>0</v>
      </c>
      <c r="Q55" s="153" t="n">
        <v>0</v>
      </c>
      <c r="R55" s="153" t="n">
        <v>0</v>
      </c>
      <c r="S55" s="153" t="n">
        <v>1</v>
      </c>
      <c r="T55" s="153" t="n">
        <v>1</v>
      </c>
      <c r="U55" s="153" t="n">
        <v>1</v>
      </c>
      <c r="V55" s="153" t="n">
        <v>0</v>
      </c>
      <c r="W55" s="153" t="n">
        <v>0</v>
      </c>
      <c r="X55" s="153" t="n">
        <v>0</v>
      </c>
      <c r="Y55" s="153" t="n">
        <v>1</v>
      </c>
      <c r="Z55" s="153" t="n">
        <v>1</v>
      </c>
      <c r="AA55" s="153" t="n">
        <v>0</v>
      </c>
      <c r="AB55" s="153" t="n">
        <v>0</v>
      </c>
    </row>
    <row r="56">
      <c r="A56" s="164" t="inlineStr">
        <is>
          <t>Todas</t>
        </is>
      </c>
      <c r="B56" s="150" t="n">
        <v>22</v>
      </c>
      <c r="C56" s="150">
        <f>SUM($O56:$AB56)</f>
        <v/>
      </c>
      <c r="D56" s="164">
        <f>SUBSTITUTE(TRIM(IF(O56=1,O$6&amp;" ","")&amp;IF(P56=1,P$6&amp;" ","")&amp;IF(Q56=1,Q$6&amp;" ","")&amp;IF(R56=1,R$6&amp;" ","")&amp;IF(S56=1,S$6&amp;" ","")&amp;IF(T56=1,T$6&amp;" ","")&amp;IF(U56=1,U$6&amp;" ","")&amp;IF(V56=1,V$6&amp;" ","")&amp;IF(W56=1,W$6&amp;" ","")&amp;IF(X56=1,X$6&amp;" ","")&amp;IF(Y56=1,Y$6&amp;" ","")&amp;IF(Z56=1,Z$6&amp;" ","")&amp;IF(AA56=1,AA$6&amp;" ","")&amp;IF(AB56=1,AB$6&amp;" ",""))," ",", ")</f>
        <v/>
      </c>
      <c r="E56" s="164">
        <f>IF(SUMPRODUCT($O56:$AB56*($O$6:$AB$6&lt;=6))=$C56,"Solo casas",IF(SUMPRODUCT($O56:$AB56*($O$6:$AB$6&gt;6))=$C56,"Solo apartamentos","Mixta ("&amp;SUMPRODUCT($O56:$AB56*($O$6:$AB$6&lt;=6))&amp;" casas + "&amp;SUMPRODUCT($O56:$AB56*($O$6:$AB$6&gt;6))&amp;" aptos)"))</f>
        <v/>
      </c>
      <c r="F56" s="151">
        <f>_xlfn.MINIFS($O$7:$AB$7,$O56:$AB56,1)</f>
        <v/>
      </c>
      <c r="G56" s="151">
        <f>_xlfn.MAXIFS($O$7:$AB$7,$O56:$AB56,1)</f>
        <v/>
      </c>
      <c r="H56" s="151">
        <f>SUMPRODUCT($O56:$AB56,$O$7:$AB$7)/C56</f>
        <v/>
      </c>
      <c r="I56" s="151">
        <f>_xlfn.AGGREGATE(16,6,$O$7:$AB$7/($O56:$AB56=1),0.5)</f>
        <v/>
      </c>
      <c r="J56" s="151">
        <f>SQRT((SUMPRODUCT($O56:$AB56,$O$7:$AB$7^2)-C56*H56^2)/(C56-1))</f>
        <v/>
      </c>
      <c r="K56" s="152">
        <f>J56/H56</f>
        <v/>
      </c>
      <c r="L56" s="151">
        <f>H56-J56</f>
        <v/>
      </c>
      <c r="M56" s="151">
        <f>H56+J56</f>
        <v/>
      </c>
      <c r="N56" s="150">
        <f>IF(K56&lt;=$D$4,"SÍ","NO")</f>
        <v/>
      </c>
      <c r="O56" s="153" t="n">
        <v>0</v>
      </c>
      <c r="P56" s="153" t="n">
        <v>0</v>
      </c>
      <c r="Q56" s="153" t="n">
        <v>0</v>
      </c>
      <c r="R56" s="153" t="n">
        <v>0</v>
      </c>
      <c r="S56" s="153" t="n">
        <v>1</v>
      </c>
      <c r="T56" s="153" t="n">
        <v>1</v>
      </c>
      <c r="U56" s="153" t="n">
        <v>0</v>
      </c>
      <c r="V56" s="153" t="n">
        <v>1</v>
      </c>
      <c r="W56" s="153" t="n">
        <v>0</v>
      </c>
      <c r="X56" s="153" t="n">
        <v>0</v>
      </c>
      <c r="Y56" s="153" t="n">
        <v>1</v>
      </c>
      <c r="Z56" s="153" t="n">
        <v>1</v>
      </c>
      <c r="AA56" s="153" t="n">
        <v>0</v>
      </c>
      <c r="AB56" s="153" t="n">
        <v>0</v>
      </c>
    </row>
    <row r="57">
      <c r="A57" s="164" t="inlineStr">
        <is>
          <t>Todas</t>
        </is>
      </c>
      <c r="B57" s="150" t="n">
        <v>23</v>
      </c>
      <c r="C57" s="150">
        <f>SUM($O57:$AB57)</f>
        <v/>
      </c>
      <c r="D57" s="164">
        <f>SUBSTITUTE(TRIM(IF(O57=1,O$6&amp;" ","")&amp;IF(P57=1,P$6&amp;" ","")&amp;IF(Q57=1,Q$6&amp;" ","")&amp;IF(R57=1,R$6&amp;" ","")&amp;IF(S57=1,S$6&amp;" ","")&amp;IF(T57=1,T$6&amp;" ","")&amp;IF(U57=1,U$6&amp;" ","")&amp;IF(V57=1,V$6&amp;" ","")&amp;IF(W57=1,W$6&amp;" ","")&amp;IF(X57=1,X$6&amp;" ","")&amp;IF(Y57=1,Y$6&amp;" ","")&amp;IF(Z57=1,Z$6&amp;" ","")&amp;IF(AA57=1,AA$6&amp;" ","")&amp;IF(AB57=1,AB$6&amp;" ",""))," ",", ")</f>
        <v/>
      </c>
      <c r="E57" s="164">
        <f>IF(SUMPRODUCT($O57:$AB57*($O$6:$AB$6&lt;=6))=$C57,"Solo casas",IF(SUMPRODUCT($O57:$AB57*($O$6:$AB$6&gt;6))=$C57,"Solo apartamentos","Mixta ("&amp;SUMPRODUCT($O57:$AB57*($O$6:$AB$6&lt;=6))&amp;" casas + "&amp;SUMPRODUCT($O57:$AB57*($O$6:$AB$6&gt;6))&amp;" aptos)"))</f>
        <v/>
      </c>
      <c r="F57" s="151">
        <f>_xlfn.MINIFS($O$7:$AB$7,$O57:$AB57,1)</f>
        <v/>
      </c>
      <c r="G57" s="151">
        <f>_xlfn.MAXIFS($O$7:$AB$7,$O57:$AB57,1)</f>
        <v/>
      </c>
      <c r="H57" s="151">
        <f>SUMPRODUCT($O57:$AB57,$O$7:$AB$7)/C57</f>
        <v/>
      </c>
      <c r="I57" s="151">
        <f>_xlfn.AGGREGATE(16,6,$O$7:$AB$7/($O57:$AB57=1),0.5)</f>
        <v/>
      </c>
      <c r="J57" s="151">
        <f>SQRT((SUMPRODUCT($O57:$AB57,$O$7:$AB$7^2)-C57*H57^2)/(C57-1))</f>
        <v/>
      </c>
      <c r="K57" s="152">
        <f>J57/H57</f>
        <v/>
      </c>
      <c r="L57" s="151">
        <f>H57-J57</f>
        <v/>
      </c>
      <c r="M57" s="151">
        <f>H57+J57</f>
        <v/>
      </c>
      <c r="N57" s="150">
        <f>IF(K57&lt;=$D$4,"SÍ","NO")</f>
        <v/>
      </c>
      <c r="O57" s="153" t="n">
        <v>0</v>
      </c>
      <c r="P57" s="153" t="n">
        <v>0</v>
      </c>
      <c r="Q57" s="153" t="n">
        <v>0</v>
      </c>
      <c r="R57" s="153" t="n">
        <v>0</v>
      </c>
      <c r="S57" s="153" t="n">
        <v>1</v>
      </c>
      <c r="T57" s="153" t="n">
        <v>1</v>
      </c>
      <c r="U57" s="153" t="n">
        <v>1</v>
      </c>
      <c r="V57" s="153" t="n">
        <v>1</v>
      </c>
      <c r="W57" s="153" t="n">
        <v>0</v>
      </c>
      <c r="X57" s="153" t="n">
        <v>0</v>
      </c>
      <c r="Y57" s="153" t="n">
        <v>0</v>
      </c>
      <c r="Z57" s="153" t="n">
        <v>1</v>
      </c>
      <c r="AA57" s="153" t="n">
        <v>0</v>
      </c>
      <c r="AB57" s="153" t="n">
        <v>0</v>
      </c>
    </row>
    <row r="58">
      <c r="A58" s="164" t="inlineStr">
        <is>
          <t>Todas</t>
        </is>
      </c>
      <c r="B58" s="150" t="n">
        <v>24</v>
      </c>
      <c r="C58" s="150">
        <f>SUM($O58:$AB58)</f>
        <v/>
      </c>
      <c r="D58" s="164">
        <f>SUBSTITUTE(TRIM(IF(O58=1,O$6&amp;" ","")&amp;IF(P58=1,P$6&amp;" ","")&amp;IF(Q58=1,Q$6&amp;" ","")&amp;IF(R58=1,R$6&amp;" ","")&amp;IF(S58=1,S$6&amp;" ","")&amp;IF(T58=1,T$6&amp;" ","")&amp;IF(U58=1,U$6&amp;" ","")&amp;IF(V58=1,V$6&amp;" ","")&amp;IF(W58=1,W$6&amp;" ","")&amp;IF(X58=1,X$6&amp;" ","")&amp;IF(Y58=1,Y$6&amp;" ","")&amp;IF(Z58=1,Z$6&amp;" ","")&amp;IF(AA58=1,AA$6&amp;" ","")&amp;IF(AB58=1,AB$6&amp;" ",""))," ",", ")</f>
        <v/>
      </c>
      <c r="E58" s="164">
        <f>IF(SUMPRODUCT($O58:$AB58*($O$6:$AB$6&lt;=6))=$C58,"Solo casas",IF(SUMPRODUCT($O58:$AB58*($O$6:$AB$6&gt;6))=$C58,"Solo apartamentos","Mixta ("&amp;SUMPRODUCT($O58:$AB58*($O$6:$AB$6&lt;=6))&amp;" casas + "&amp;SUMPRODUCT($O58:$AB58*($O$6:$AB$6&gt;6))&amp;" aptos)"))</f>
        <v/>
      </c>
      <c r="F58" s="151">
        <f>_xlfn.MINIFS($O$7:$AB$7,$O58:$AB58,1)</f>
        <v/>
      </c>
      <c r="G58" s="151">
        <f>_xlfn.MAXIFS($O$7:$AB$7,$O58:$AB58,1)</f>
        <v/>
      </c>
      <c r="H58" s="151">
        <f>SUMPRODUCT($O58:$AB58,$O$7:$AB$7)/C58</f>
        <v/>
      </c>
      <c r="I58" s="151">
        <f>_xlfn.AGGREGATE(16,6,$O$7:$AB$7/($O58:$AB58=1),0.5)</f>
        <v/>
      </c>
      <c r="J58" s="151">
        <f>SQRT((SUMPRODUCT($O58:$AB58,$O$7:$AB$7^2)-C58*H58^2)/(C58-1))</f>
        <v/>
      </c>
      <c r="K58" s="152">
        <f>J58/H58</f>
        <v/>
      </c>
      <c r="L58" s="151">
        <f>H58-J58</f>
        <v/>
      </c>
      <c r="M58" s="151">
        <f>H58+J58</f>
        <v/>
      </c>
      <c r="N58" s="150">
        <f>IF(K58&lt;=$D$4,"SÍ","NO")</f>
        <v/>
      </c>
      <c r="O58" s="153" t="n">
        <v>0</v>
      </c>
      <c r="P58" s="153" t="n">
        <v>0</v>
      </c>
      <c r="Q58" s="153" t="n">
        <v>0</v>
      </c>
      <c r="R58" s="153" t="n">
        <v>0</v>
      </c>
      <c r="S58" s="153" t="n">
        <v>1</v>
      </c>
      <c r="T58" s="153" t="n">
        <v>0</v>
      </c>
      <c r="U58" s="153" t="n">
        <v>1</v>
      </c>
      <c r="V58" s="153" t="n">
        <v>1</v>
      </c>
      <c r="W58" s="153" t="n">
        <v>1</v>
      </c>
      <c r="X58" s="153" t="n">
        <v>0</v>
      </c>
      <c r="Y58" s="153" t="n">
        <v>1</v>
      </c>
      <c r="Z58" s="153" t="n">
        <v>0</v>
      </c>
      <c r="AA58" s="153" t="n">
        <v>0</v>
      </c>
      <c r="AB58" s="153" t="n">
        <v>0</v>
      </c>
    </row>
    <row r="59">
      <c r="A59" s="164" t="inlineStr">
        <is>
          <t>Todas</t>
        </is>
      </c>
      <c r="B59" s="150" t="n">
        <v>25</v>
      </c>
      <c r="C59" s="150">
        <f>SUM($O59:$AB59)</f>
        <v/>
      </c>
      <c r="D59" s="164">
        <f>SUBSTITUTE(TRIM(IF(O59=1,O$6&amp;" ","")&amp;IF(P59=1,P$6&amp;" ","")&amp;IF(Q59=1,Q$6&amp;" ","")&amp;IF(R59=1,R$6&amp;" ","")&amp;IF(S59=1,S$6&amp;" ","")&amp;IF(T59=1,T$6&amp;" ","")&amp;IF(U59=1,U$6&amp;" ","")&amp;IF(V59=1,V$6&amp;" ","")&amp;IF(W59=1,W$6&amp;" ","")&amp;IF(X59=1,X$6&amp;" ","")&amp;IF(Y59=1,Y$6&amp;" ","")&amp;IF(Z59=1,Z$6&amp;" ","")&amp;IF(AA59=1,AA$6&amp;" ","")&amp;IF(AB59=1,AB$6&amp;" ",""))," ",", ")</f>
        <v/>
      </c>
      <c r="E59" s="164">
        <f>IF(SUMPRODUCT($O59:$AB59*($O$6:$AB$6&lt;=6))=$C59,"Solo casas",IF(SUMPRODUCT($O59:$AB59*($O$6:$AB$6&gt;6))=$C59,"Solo apartamentos","Mixta ("&amp;SUMPRODUCT($O59:$AB59*($O$6:$AB$6&lt;=6))&amp;" casas + "&amp;SUMPRODUCT($O59:$AB59*($O$6:$AB$6&gt;6))&amp;" aptos)"))</f>
        <v/>
      </c>
      <c r="F59" s="151">
        <f>_xlfn.MINIFS($O$7:$AB$7,$O59:$AB59,1)</f>
        <v/>
      </c>
      <c r="G59" s="151">
        <f>_xlfn.MAXIFS($O$7:$AB$7,$O59:$AB59,1)</f>
        <v/>
      </c>
      <c r="H59" s="151">
        <f>SUMPRODUCT($O59:$AB59,$O$7:$AB$7)/C59</f>
        <v/>
      </c>
      <c r="I59" s="151">
        <f>_xlfn.AGGREGATE(16,6,$O$7:$AB$7/($O59:$AB59=1),0.5)</f>
        <v/>
      </c>
      <c r="J59" s="151">
        <f>SQRT((SUMPRODUCT($O59:$AB59,$O$7:$AB$7^2)-C59*H59^2)/(C59-1))</f>
        <v/>
      </c>
      <c r="K59" s="152">
        <f>J59/H59</f>
        <v/>
      </c>
      <c r="L59" s="151">
        <f>H59-J59</f>
        <v/>
      </c>
      <c r="M59" s="151">
        <f>H59+J59</f>
        <v/>
      </c>
      <c r="N59" s="150">
        <f>IF(K59&lt;=$D$4,"SÍ","NO")</f>
        <v/>
      </c>
      <c r="O59" s="153" t="n">
        <v>0</v>
      </c>
      <c r="P59" s="153" t="n">
        <v>0</v>
      </c>
      <c r="Q59" s="153" t="n">
        <v>0</v>
      </c>
      <c r="R59" s="153" t="n">
        <v>0</v>
      </c>
      <c r="S59" s="153" t="n">
        <v>1</v>
      </c>
      <c r="T59" s="153" t="n">
        <v>0</v>
      </c>
      <c r="U59" s="153" t="n">
        <v>0</v>
      </c>
      <c r="V59" s="153" t="n">
        <v>1</v>
      </c>
      <c r="W59" s="153" t="n">
        <v>1</v>
      </c>
      <c r="X59" s="153" t="n">
        <v>0</v>
      </c>
      <c r="Y59" s="153" t="n">
        <v>1</v>
      </c>
      <c r="Z59" s="153" t="n">
        <v>0</v>
      </c>
      <c r="AA59" s="153" t="n">
        <v>0</v>
      </c>
      <c r="AB59" s="153" t="n">
        <v>1</v>
      </c>
    </row>
    <row r="60">
      <c r="A60" s="164" t="inlineStr">
        <is>
          <t>Todas</t>
        </is>
      </c>
      <c r="B60" s="150" t="n">
        <v>26</v>
      </c>
      <c r="C60" s="150">
        <f>SUM($O60:$AB60)</f>
        <v/>
      </c>
      <c r="D60" s="164">
        <f>SUBSTITUTE(TRIM(IF(O60=1,O$6&amp;" ","")&amp;IF(P60=1,P$6&amp;" ","")&amp;IF(Q60=1,Q$6&amp;" ","")&amp;IF(R60=1,R$6&amp;" ","")&amp;IF(S60=1,S$6&amp;" ","")&amp;IF(T60=1,T$6&amp;" ","")&amp;IF(U60=1,U$6&amp;" ","")&amp;IF(V60=1,V$6&amp;" ","")&amp;IF(W60=1,W$6&amp;" ","")&amp;IF(X60=1,X$6&amp;" ","")&amp;IF(Y60=1,Y$6&amp;" ","")&amp;IF(Z60=1,Z$6&amp;" ","")&amp;IF(AA60=1,AA$6&amp;" ","")&amp;IF(AB60=1,AB$6&amp;" ",""))," ",", ")</f>
        <v/>
      </c>
      <c r="E60" s="164">
        <f>IF(SUMPRODUCT($O60:$AB60*($O$6:$AB$6&lt;=6))=$C60,"Solo casas",IF(SUMPRODUCT($O60:$AB60*($O$6:$AB$6&gt;6))=$C60,"Solo apartamentos","Mixta ("&amp;SUMPRODUCT($O60:$AB60*($O$6:$AB$6&lt;=6))&amp;" casas + "&amp;SUMPRODUCT($O60:$AB60*($O$6:$AB$6&gt;6))&amp;" aptos)"))</f>
        <v/>
      </c>
      <c r="F60" s="151">
        <f>_xlfn.MINIFS($O$7:$AB$7,$O60:$AB60,1)</f>
        <v/>
      </c>
      <c r="G60" s="151">
        <f>_xlfn.MAXIFS($O$7:$AB$7,$O60:$AB60,1)</f>
        <v/>
      </c>
      <c r="H60" s="151">
        <f>SUMPRODUCT($O60:$AB60,$O$7:$AB$7)/C60</f>
        <v/>
      </c>
      <c r="I60" s="151">
        <f>_xlfn.AGGREGATE(16,6,$O$7:$AB$7/($O60:$AB60=1),0.5)</f>
        <v/>
      </c>
      <c r="J60" s="151">
        <f>SQRT((SUMPRODUCT($O60:$AB60,$O$7:$AB$7^2)-C60*H60^2)/(C60-1))</f>
        <v/>
      </c>
      <c r="K60" s="152">
        <f>J60/H60</f>
        <v/>
      </c>
      <c r="L60" s="151">
        <f>H60-J60</f>
        <v/>
      </c>
      <c r="M60" s="151">
        <f>H60+J60</f>
        <v/>
      </c>
      <c r="N60" s="150">
        <f>IF(K60&lt;=$D$4,"SÍ","NO")</f>
        <v/>
      </c>
      <c r="O60" s="153" t="n">
        <v>0</v>
      </c>
      <c r="P60" s="153" t="n">
        <v>0</v>
      </c>
      <c r="Q60" s="153" t="n">
        <v>0</v>
      </c>
      <c r="R60" s="153" t="n">
        <v>0</v>
      </c>
      <c r="S60" s="153" t="n">
        <v>1</v>
      </c>
      <c r="T60" s="153" t="n">
        <v>1</v>
      </c>
      <c r="U60" s="153" t="n">
        <v>0</v>
      </c>
      <c r="V60" s="153" t="n">
        <v>1</v>
      </c>
      <c r="W60" s="153" t="n">
        <v>1</v>
      </c>
      <c r="X60" s="153" t="n">
        <v>0</v>
      </c>
      <c r="Y60" s="153" t="n">
        <v>1</v>
      </c>
      <c r="Z60" s="153" t="n">
        <v>0</v>
      </c>
      <c r="AA60" s="153" t="n">
        <v>0</v>
      </c>
      <c r="AB60" s="153" t="n">
        <v>0</v>
      </c>
    </row>
    <row r="61">
      <c r="A61" s="164" t="inlineStr">
        <is>
          <t>Todas</t>
        </is>
      </c>
      <c r="B61" s="150" t="n">
        <v>27</v>
      </c>
      <c r="C61" s="150">
        <f>SUM($O61:$AB61)</f>
        <v/>
      </c>
      <c r="D61" s="164">
        <f>SUBSTITUTE(TRIM(IF(O61=1,O$6&amp;" ","")&amp;IF(P61=1,P$6&amp;" ","")&amp;IF(Q61=1,Q$6&amp;" ","")&amp;IF(R61=1,R$6&amp;" ","")&amp;IF(S61=1,S$6&amp;" ","")&amp;IF(T61=1,T$6&amp;" ","")&amp;IF(U61=1,U$6&amp;" ","")&amp;IF(V61=1,V$6&amp;" ","")&amp;IF(W61=1,W$6&amp;" ","")&amp;IF(X61=1,X$6&amp;" ","")&amp;IF(Y61=1,Y$6&amp;" ","")&amp;IF(Z61=1,Z$6&amp;" ","")&amp;IF(AA61=1,AA$6&amp;" ","")&amp;IF(AB61=1,AB$6&amp;" ",""))," ",", ")</f>
        <v/>
      </c>
      <c r="E61" s="164">
        <f>IF(SUMPRODUCT($O61:$AB61*($O$6:$AB$6&lt;=6))=$C61,"Solo casas",IF(SUMPRODUCT($O61:$AB61*($O$6:$AB$6&gt;6))=$C61,"Solo apartamentos","Mixta ("&amp;SUMPRODUCT($O61:$AB61*($O$6:$AB$6&lt;=6))&amp;" casas + "&amp;SUMPRODUCT($O61:$AB61*($O$6:$AB$6&gt;6))&amp;" aptos)"))</f>
        <v/>
      </c>
      <c r="F61" s="151">
        <f>_xlfn.MINIFS($O$7:$AB$7,$O61:$AB61,1)</f>
        <v/>
      </c>
      <c r="G61" s="151">
        <f>_xlfn.MAXIFS($O$7:$AB$7,$O61:$AB61,1)</f>
        <v/>
      </c>
      <c r="H61" s="151">
        <f>SUMPRODUCT($O61:$AB61,$O$7:$AB$7)/C61</f>
        <v/>
      </c>
      <c r="I61" s="151">
        <f>_xlfn.AGGREGATE(16,6,$O$7:$AB$7/($O61:$AB61=1),0.5)</f>
        <v/>
      </c>
      <c r="J61" s="151">
        <f>SQRT((SUMPRODUCT($O61:$AB61,$O$7:$AB$7^2)-C61*H61^2)/(C61-1))</f>
        <v/>
      </c>
      <c r="K61" s="152">
        <f>J61/H61</f>
        <v/>
      </c>
      <c r="L61" s="151">
        <f>H61-J61</f>
        <v/>
      </c>
      <c r="M61" s="151">
        <f>H61+J61</f>
        <v/>
      </c>
      <c r="N61" s="150">
        <f>IF(K61&lt;=$D$4,"SÍ","NO")</f>
        <v/>
      </c>
      <c r="O61" s="153" t="n">
        <v>0</v>
      </c>
      <c r="P61" s="153" t="n">
        <v>0</v>
      </c>
      <c r="Q61" s="153" t="n">
        <v>0</v>
      </c>
      <c r="R61" s="153" t="n">
        <v>0</v>
      </c>
      <c r="S61" s="153" t="n">
        <v>1</v>
      </c>
      <c r="T61" s="153" t="n">
        <v>0</v>
      </c>
      <c r="U61" s="153" t="n">
        <v>0</v>
      </c>
      <c r="V61" s="153" t="n">
        <v>1</v>
      </c>
      <c r="W61" s="153" t="n">
        <v>1</v>
      </c>
      <c r="X61" s="153" t="n">
        <v>0</v>
      </c>
      <c r="Y61" s="153" t="n">
        <v>1</v>
      </c>
      <c r="Z61" s="153" t="n">
        <v>1</v>
      </c>
      <c r="AA61" s="153" t="n">
        <v>0</v>
      </c>
      <c r="AB61" s="153" t="n">
        <v>0</v>
      </c>
    </row>
    <row r="62">
      <c r="A62" s="164" t="inlineStr">
        <is>
          <t>Todas</t>
        </is>
      </c>
      <c r="B62" s="150" t="n">
        <v>28</v>
      </c>
      <c r="C62" s="150">
        <f>SUM($O62:$AB62)</f>
        <v/>
      </c>
      <c r="D62" s="164">
        <f>SUBSTITUTE(TRIM(IF(O62=1,O$6&amp;" ","")&amp;IF(P62=1,P$6&amp;" ","")&amp;IF(Q62=1,Q$6&amp;" ","")&amp;IF(R62=1,R$6&amp;" ","")&amp;IF(S62=1,S$6&amp;" ","")&amp;IF(T62=1,T$6&amp;" ","")&amp;IF(U62=1,U$6&amp;" ","")&amp;IF(V62=1,V$6&amp;" ","")&amp;IF(W62=1,W$6&amp;" ","")&amp;IF(X62=1,X$6&amp;" ","")&amp;IF(Y62=1,Y$6&amp;" ","")&amp;IF(Z62=1,Z$6&amp;" ","")&amp;IF(AA62=1,AA$6&amp;" ","")&amp;IF(AB62=1,AB$6&amp;" ",""))," ",", ")</f>
        <v/>
      </c>
      <c r="E62" s="164">
        <f>IF(SUMPRODUCT($O62:$AB62*($O$6:$AB$6&lt;=6))=$C62,"Solo casas",IF(SUMPRODUCT($O62:$AB62*($O$6:$AB$6&gt;6))=$C62,"Solo apartamentos","Mixta ("&amp;SUMPRODUCT($O62:$AB62*($O$6:$AB$6&lt;=6))&amp;" casas + "&amp;SUMPRODUCT($O62:$AB62*($O$6:$AB$6&gt;6))&amp;" aptos)"))</f>
        <v/>
      </c>
      <c r="F62" s="151">
        <f>_xlfn.MINIFS($O$7:$AB$7,$O62:$AB62,1)</f>
        <v/>
      </c>
      <c r="G62" s="151">
        <f>_xlfn.MAXIFS($O$7:$AB$7,$O62:$AB62,1)</f>
        <v/>
      </c>
      <c r="H62" s="151">
        <f>SUMPRODUCT($O62:$AB62,$O$7:$AB$7)/C62</f>
        <v/>
      </c>
      <c r="I62" s="151">
        <f>_xlfn.AGGREGATE(16,6,$O$7:$AB$7/($O62:$AB62=1),0.5)</f>
        <v/>
      </c>
      <c r="J62" s="151">
        <f>SQRT((SUMPRODUCT($O62:$AB62,$O$7:$AB$7^2)-C62*H62^2)/(C62-1))</f>
        <v/>
      </c>
      <c r="K62" s="152">
        <f>J62/H62</f>
        <v/>
      </c>
      <c r="L62" s="151">
        <f>H62-J62</f>
        <v/>
      </c>
      <c r="M62" s="151">
        <f>H62+J62</f>
        <v/>
      </c>
      <c r="N62" s="150">
        <f>IF(K62&lt;=$D$4,"SÍ","NO")</f>
        <v/>
      </c>
      <c r="O62" s="153" t="n">
        <v>0</v>
      </c>
      <c r="P62" s="153" t="n">
        <v>0</v>
      </c>
      <c r="Q62" s="153" t="n">
        <v>0</v>
      </c>
      <c r="R62" s="153" t="n">
        <v>0</v>
      </c>
      <c r="S62" s="153" t="n">
        <v>1</v>
      </c>
      <c r="T62" s="153" t="n">
        <v>0</v>
      </c>
      <c r="U62" s="153" t="n">
        <v>1</v>
      </c>
      <c r="V62" s="153" t="n">
        <v>1</v>
      </c>
      <c r="W62" s="153" t="n">
        <v>0</v>
      </c>
      <c r="X62" s="153" t="n">
        <v>0</v>
      </c>
      <c r="Y62" s="153" t="n">
        <v>1</v>
      </c>
      <c r="Z62" s="153" t="n">
        <v>0</v>
      </c>
      <c r="AA62" s="153" t="n">
        <v>0</v>
      </c>
      <c r="AB62" s="153" t="n">
        <v>1</v>
      </c>
    </row>
    <row r="63">
      <c r="A63" s="164" t="inlineStr">
        <is>
          <t>Todas</t>
        </is>
      </c>
      <c r="B63" s="150" t="n">
        <v>29</v>
      </c>
      <c r="C63" s="150">
        <f>SUM($O63:$AB63)</f>
        <v/>
      </c>
      <c r="D63" s="164">
        <f>SUBSTITUTE(TRIM(IF(O63=1,O$6&amp;" ","")&amp;IF(P63=1,P$6&amp;" ","")&amp;IF(Q63=1,Q$6&amp;" ","")&amp;IF(R63=1,R$6&amp;" ","")&amp;IF(S63=1,S$6&amp;" ","")&amp;IF(T63=1,T$6&amp;" ","")&amp;IF(U63=1,U$6&amp;" ","")&amp;IF(V63=1,V$6&amp;" ","")&amp;IF(W63=1,W$6&amp;" ","")&amp;IF(X63=1,X$6&amp;" ","")&amp;IF(Y63=1,Y$6&amp;" ","")&amp;IF(Z63=1,Z$6&amp;" ","")&amp;IF(AA63=1,AA$6&amp;" ","")&amp;IF(AB63=1,AB$6&amp;" ",""))," ",", ")</f>
        <v/>
      </c>
      <c r="E63" s="164">
        <f>IF(SUMPRODUCT($O63:$AB63*($O$6:$AB$6&lt;=6))=$C63,"Solo casas",IF(SUMPRODUCT($O63:$AB63*($O$6:$AB$6&gt;6))=$C63,"Solo apartamentos","Mixta ("&amp;SUMPRODUCT($O63:$AB63*($O$6:$AB$6&lt;=6))&amp;" casas + "&amp;SUMPRODUCT($O63:$AB63*($O$6:$AB$6&gt;6))&amp;" aptos)"))</f>
        <v/>
      </c>
      <c r="F63" s="151">
        <f>_xlfn.MINIFS($O$7:$AB$7,$O63:$AB63,1)</f>
        <v/>
      </c>
      <c r="G63" s="151">
        <f>_xlfn.MAXIFS($O$7:$AB$7,$O63:$AB63,1)</f>
        <v/>
      </c>
      <c r="H63" s="151">
        <f>SUMPRODUCT($O63:$AB63,$O$7:$AB$7)/C63</f>
        <v/>
      </c>
      <c r="I63" s="151">
        <f>_xlfn.AGGREGATE(16,6,$O$7:$AB$7/($O63:$AB63=1),0.5)</f>
        <v/>
      </c>
      <c r="J63" s="151">
        <f>SQRT((SUMPRODUCT($O63:$AB63,$O$7:$AB$7^2)-C63*H63^2)/(C63-1))</f>
        <v/>
      </c>
      <c r="K63" s="152">
        <f>J63/H63</f>
        <v/>
      </c>
      <c r="L63" s="151">
        <f>H63-J63</f>
        <v/>
      </c>
      <c r="M63" s="151">
        <f>H63+J63</f>
        <v/>
      </c>
      <c r="N63" s="150">
        <f>IF(K63&lt;=$D$4,"SÍ","NO")</f>
        <v/>
      </c>
      <c r="O63" s="153" t="n">
        <v>0</v>
      </c>
      <c r="P63" s="153" t="n">
        <v>0</v>
      </c>
      <c r="Q63" s="153" t="n">
        <v>0</v>
      </c>
      <c r="R63" s="153" t="n">
        <v>0</v>
      </c>
      <c r="S63" s="153" t="n">
        <v>0</v>
      </c>
      <c r="T63" s="153" t="n">
        <v>1</v>
      </c>
      <c r="U63" s="153" t="n">
        <v>1</v>
      </c>
      <c r="V63" s="153" t="n">
        <v>1</v>
      </c>
      <c r="W63" s="153" t="n">
        <v>1</v>
      </c>
      <c r="X63" s="153" t="n">
        <v>0</v>
      </c>
      <c r="Y63" s="153" t="n">
        <v>1</v>
      </c>
      <c r="Z63" s="153" t="n">
        <v>0</v>
      </c>
      <c r="AA63" s="153" t="n">
        <v>0</v>
      </c>
      <c r="AB63" s="153" t="n">
        <v>0</v>
      </c>
    </row>
    <row r="64">
      <c r="A64" s="164" t="inlineStr">
        <is>
          <t>Todas</t>
        </is>
      </c>
      <c r="B64" s="150" t="n">
        <v>30</v>
      </c>
      <c r="C64" s="150">
        <f>SUM($O64:$AB64)</f>
        <v/>
      </c>
      <c r="D64" s="164">
        <f>SUBSTITUTE(TRIM(IF(O64=1,O$6&amp;" ","")&amp;IF(P64=1,P$6&amp;" ","")&amp;IF(Q64=1,Q$6&amp;" ","")&amp;IF(R64=1,R$6&amp;" ","")&amp;IF(S64=1,S$6&amp;" ","")&amp;IF(T64=1,T$6&amp;" ","")&amp;IF(U64=1,U$6&amp;" ","")&amp;IF(V64=1,V$6&amp;" ","")&amp;IF(W64=1,W$6&amp;" ","")&amp;IF(X64=1,X$6&amp;" ","")&amp;IF(Y64=1,Y$6&amp;" ","")&amp;IF(Z64=1,Z$6&amp;" ","")&amp;IF(AA64=1,AA$6&amp;" ","")&amp;IF(AB64=1,AB$6&amp;" ",""))," ",", ")</f>
        <v/>
      </c>
      <c r="E64" s="164">
        <f>IF(SUMPRODUCT($O64:$AB64*($O$6:$AB$6&lt;=6))=$C64,"Solo casas",IF(SUMPRODUCT($O64:$AB64*($O$6:$AB$6&gt;6))=$C64,"Solo apartamentos","Mixta ("&amp;SUMPRODUCT($O64:$AB64*($O$6:$AB$6&lt;=6))&amp;" casas + "&amp;SUMPRODUCT($O64:$AB64*($O$6:$AB$6&gt;6))&amp;" aptos)"))</f>
        <v/>
      </c>
      <c r="F64" s="151">
        <f>_xlfn.MINIFS($O$7:$AB$7,$O64:$AB64,1)</f>
        <v/>
      </c>
      <c r="G64" s="151">
        <f>_xlfn.MAXIFS($O$7:$AB$7,$O64:$AB64,1)</f>
        <v/>
      </c>
      <c r="H64" s="151">
        <f>SUMPRODUCT($O64:$AB64,$O$7:$AB$7)/C64</f>
        <v/>
      </c>
      <c r="I64" s="151">
        <f>_xlfn.AGGREGATE(16,6,$O$7:$AB$7/($O64:$AB64=1),0.5)</f>
        <v/>
      </c>
      <c r="J64" s="151">
        <f>SQRT((SUMPRODUCT($O64:$AB64,$O$7:$AB$7^2)-C64*H64^2)/(C64-1))</f>
        <v/>
      </c>
      <c r="K64" s="152">
        <f>J64/H64</f>
        <v/>
      </c>
      <c r="L64" s="151">
        <f>H64-J64</f>
        <v/>
      </c>
      <c r="M64" s="151">
        <f>H64+J64</f>
        <v/>
      </c>
      <c r="N64" s="150">
        <f>IF(K64&lt;=$D$4,"SÍ","NO")</f>
        <v/>
      </c>
      <c r="O64" s="153" t="n">
        <v>0</v>
      </c>
      <c r="P64" s="153" t="n">
        <v>0</v>
      </c>
      <c r="Q64" s="153" t="n">
        <v>0</v>
      </c>
      <c r="R64" s="153" t="n">
        <v>0</v>
      </c>
      <c r="S64" s="153" t="n">
        <v>0</v>
      </c>
      <c r="T64" s="153" t="n">
        <v>0</v>
      </c>
      <c r="U64" s="153" t="n">
        <v>1</v>
      </c>
      <c r="V64" s="153" t="n">
        <v>1</v>
      </c>
      <c r="W64" s="153" t="n">
        <v>1</v>
      </c>
      <c r="X64" s="153" t="n">
        <v>0</v>
      </c>
      <c r="Y64" s="153" t="n">
        <v>1</v>
      </c>
      <c r="Z64" s="153" t="n">
        <v>1</v>
      </c>
      <c r="AA64" s="153" t="n">
        <v>0</v>
      </c>
      <c r="AB64" s="153" t="n">
        <v>0</v>
      </c>
    </row>
    <row r="65">
      <c r="A65" s="164" t="inlineStr">
        <is>
          <t>Todas</t>
        </is>
      </c>
      <c r="B65" s="150" t="n">
        <v>31</v>
      </c>
      <c r="C65" s="150">
        <f>SUM($O65:$AB65)</f>
        <v/>
      </c>
      <c r="D65" s="164">
        <f>SUBSTITUTE(TRIM(IF(O65=1,O$6&amp;" ","")&amp;IF(P65=1,P$6&amp;" ","")&amp;IF(Q65=1,Q$6&amp;" ","")&amp;IF(R65=1,R$6&amp;" ","")&amp;IF(S65=1,S$6&amp;" ","")&amp;IF(T65=1,T$6&amp;" ","")&amp;IF(U65=1,U$6&amp;" ","")&amp;IF(V65=1,V$6&amp;" ","")&amp;IF(W65=1,W$6&amp;" ","")&amp;IF(X65=1,X$6&amp;" ","")&amp;IF(Y65=1,Y$6&amp;" ","")&amp;IF(Z65=1,Z$6&amp;" ","")&amp;IF(AA65=1,AA$6&amp;" ","")&amp;IF(AB65=1,AB$6&amp;" ",""))," ",", ")</f>
        <v/>
      </c>
      <c r="E65" s="164">
        <f>IF(SUMPRODUCT($O65:$AB65*($O$6:$AB$6&lt;=6))=$C65,"Solo casas",IF(SUMPRODUCT($O65:$AB65*($O$6:$AB$6&gt;6))=$C65,"Solo apartamentos","Mixta ("&amp;SUMPRODUCT($O65:$AB65*($O$6:$AB$6&lt;=6))&amp;" casas + "&amp;SUMPRODUCT($O65:$AB65*($O$6:$AB$6&gt;6))&amp;" aptos)"))</f>
        <v/>
      </c>
      <c r="F65" s="151">
        <f>_xlfn.MINIFS($O$7:$AB$7,$O65:$AB65,1)</f>
        <v/>
      </c>
      <c r="G65" s="151">
        <f>_xlfn.MAXIFS($O$7:$AB$7,$O65:$AB65,1)</f>
        <v/>
      </c>
      <c r="H65" s="151">
        <f>SUMPRODUCT($O65:$AB65,$O$7:$AB$7)/C65</f>
        <v/>
      </c>
      <c r="I65" s="151">
        <f>_xlfn.AGGREGATE(16,6,$O$7:$AB$7/($O65:$AB65=1),0.5)</f>
        <v/>
      </c>
      <c r="J65" s="151">
        <f>SQRT((SUMPRODUCT($O65:$AB65,$O$7:$AB$7^2)-C65*H65^2)/(C65-1))</f>
        <v/>
      </c>
      <c r="K65" s="152">
        <f>J65/H65</f>
        <v/>
      </c>
      <c r="L65" s="151">
        <f>H65-J65</f>
        <v/>
      </c>
      <c r="M65" s="151">
        <f>H65+J65</f>
        <v/>
      </c>
      <c r="N65" s="150">
        <f>IF(K65&lt;=$D$4,"SÍ","NO")</f>
        <v/>
      </c>
      <c r="O65" s="153" t="n">
        <v>0</v>
      </c>
      <c r="P65" s="153" t="n">
        <v>0</v>
      </c>
      <c r="Q65" s="153" t="n">
        <v>0</v>
      </c>
      <c r="R65" s="153" t="n">
        <v>0</v>
      </c>
      <c r="S65" s="153" t="n">
        <v>1</v>
      </c>
      <c r="T65" s="153" t="n">
        <v>1</v>
      </c>
      <c r="U65" s="153" t="n">
        <v>1</v>
      </c>
      <c r="V65" s="153" t="n">
        <v>1</v>
      </c>
      <c r="W65" s="153" t="n">
        <v>1</v>
      </c>
      <c r="X65" s="153" t="n">
        <v>0</v>
      </c>
      <c r="Y65" s="153" t="n">
        <v>0</v>
      </c>
      <c r="Z65" s="153" t="n">
        <v>0</v>
      </c>
      <c r="AA65" s="153" t="n">
        <v>0</v>
      </c>
      <c r="AB65" s="153" t="n">
        <v>0</v>
      </c>
    </row>
    <row r="66">
      <c r="A66" s="164" t="inlineStr">
        <is>
          <t>Todas</t>
        </is>
      </c>
      <c r="B66" s="150" t="n">
        <v>32</v>
      </c>
      <c r="C66" s="150">
        <f>SUM($O66:$AB66)</f>
        <v/>
      </c>
      <c r="D66" s="164">
        <f>SUBSTITUTE(TRIM(IF(O66=1,O$6&amp;" ","")&amp;IF(P66=1,P$6&amp;" ","")&amp;IF(Q66=1,Q$6&amp;" ","")&amp;IF(R66=1,R$6&amp;" ","")&amp;IF(S66=1,S$6&amp;" ","")&amp;IF(T66=1,T$6&amp;" ","")&amp;IF(U66=1,U$6&amp;" ","")&amp;IF(V66=1,V$6&amp;" ","")&amp;IF(W66=1,W$6&amp;" ","")&amp;IF(X66=1,X$6&amp;" ","")&amp;IF(Y66=1,Y$6&amp;" ","")&amp;IF(Z66=1,Z$6&amp;" ","")&amp;IF(AA66=1,AA$6&amp;" ","")&amp;IF(AB66=1,AB$6&amp;" ",""))," ",", ")</f>
        <v/>
      </c>
      <c r="E66" s="164">
        <f>IF(SUMPRODUCT($O66:$AB66*($O$6:$AB$6&lt;=6))=$C66,"Solo casas",IF(SUMPRODUCT($O66:$AB66*($O$6:$AB$6&gt;6))=$C66,"Solo apartamentos","Mixta ("&amp;SUMPRODUCT($O66:$AB66*($O$6:$AB$6&lt;=6))&amp;" casas + "&amp;SUMPRODUCT($O66:$AB66*($O$6:$AB$6&gt;6))&amp;" aptos)"))</f>
        <v/>
      </c>
      <c r="F66" s="151">
        <f>_xlfn.MINIFS($O$7:$AB$7,$O66:$AB66,1)</f>
        <v/>
      </c>
      <c r="G66" s="151">
        <f>_xlfn.MAXIFS($O$7:$AB$7,$O66:$AB66,1)</f>
        <v/>
      </c>
      <c r="H66" s="151">
        <f>SUMPRODUCT($O66:$AB66,$O$7:$AB$7)/C66</f>
        <v/>
      </c>
      <c r="I66" s="151">
        <f>_xlfn.AGGREGATE(16,6,$O$7:$AB$7/($O66:$AB66=1),0.5)</f>
        <v/>
      </c>
      <c r="J66" s="151">
        <f>SQRT((SUMPRODUCT($O66:$AB66,$O$7:$AB$7^2)-C66*H66^2)/(C66-1))</f>
        <v/>
      </c>
      <c r="K66" s="152">
        <f>J66/H66</f>
        <v/>
      </c>
      <c r="L66" s="151">
        <f>H66-J66</f>
        <v/>
      </c>
      <c r="M66" s="151">
        <f>H66+J66</f>
        <v/>
      </c>
      <c r="N66" s="150">
        <f>IF(K66&lt;=$D$4,"SÍ","NO")</f>
        <v/>
      </c>
      <c r="O66" s="153" t="n">
        <v>0</v>
      </c>
      <c r="P66" s="153" t="n">
        <v>0</v>
      </c>
      <c r="Q66" s="153" t="n">
        <v>0</v>
      </c>
      <c r="R66" s="153" t="n">
        <v>0</v>
      </c>
      <c r="S66" s="153" t="n">
        <v>1</v>
      </c>
      <c r="T66" s="153" t="n">
        <v>0</v>
      </c>
      <c r="U66" s="153" t="n">
        <v>1</v>
      </c>
      <c r="V66" s="153" t="n">
        <v>1</v>
      </c>
      <c r="W66" s="153" t="n">
        <v>1</v>
      </c>
      <c r="X66" s="153" t="n">
        <v>0</v>
      </c>
      <c r="Y66" s="153" t="n">
        <v>0</v>
      </c>
      <c r="Z66" s="153" t="n">
        <v>1</v>
      </c>
      <c r="AA66" s="153" t="n">
        <v>0</v>
      </c>
      <c r="AB66" s="153" t="n">
        <v>0</v>
      </c>
    </row>
    <row r="67">
      <c r="A67" s="164" t="inlineStr">
        <is>
          <t>Todas</t>
        </is>
      </c>
      <c r="B67" s="150" t="n">
        <v>33</v>
      </c>
      <c r="C67" s="150">
        <f>SUM($O67:$AB67)</f>
        <v/>
      </c>
      <c r="D67" s="164">
        <f>SUBSTITUTE(TRIM(IF(O67=1,O$6&amp;" ","")&amp;IF(P67=1,P$6&amp;" ","")&amp;IF(Q67=1,Q$6&amp;" ","")&amp;IF(R67=1,R$6&amp;" ","")&amp;IF(S67=1,S$6&amp;" ","")&amp;IF(T67=1,T$6&amp;" ","")&amp;IF(U67=1,U$6&amp;" ","")&amp;IF(V67=1,V$6&amp;" ","")&amp;IF(W67=1,W$6&amp;" ","")&amp;IF(X67=1,X$6&amp;" ","")&amp;IF(Y67=1,Y$6&amp;" ","")&amp;IF(Z67=1,Z$6&amp;" ","")&amp;IF(AA67=1,AA$6&amp;" ","")&amp;IF(AB67=1,AB$6&amp;" ",""))," ",", ")</f>
        <v/>
      </c>
      <c r="E67" s="164">
        <f>IF(SUMPRODUCT($O67:$AB67*($O$6:$AB$6&lt;=6))=$C67,"Solo casas",IF(SUMPRODUCT($O67:$AB67*($O$6:$AB$6&gt;6))=$C67,"Solo apartamentos","Mixta ("&amp;SUMPRODUCT($O67:$AB67*($O$6:$AB$6&lt;=6))&amp;" casas + "&amp;SUMPRODUCT($O67:$AB67*($O$6:$AB$6&gt;6))&amp;" aptos)"))</f>
        <v/>
      </c>
      <c r="F67" s="151">
        <f>_xlfn.MINIFS($O$7:$AB$7,$O67:$AB67,1)</f>
        <v/>
      </c>
      <c r="G67" s="151">
        <f>_xlfn.MAXIFS($O$7:$AB$7,$O67:$AB67,1)</f>
        <v/>
      </c>
      <c r="H67" s="151">
        <f>SUMPRODUCT($O67:$AB67,$O$7:$AB$7)/C67</f>
        <v/>
      </c>
      <c r="I67" s="151">
        <f>_xlfn.AGGREGATE(16,6,$O$7:$AB$7/($O67:$AB67=1),0.5)</f>
        <v/>
      </c>
      <c r="J67" s="151">
        <f>SQRT((SUMPRODUCT($O67:$AB67,$O$7:$AB$7^2)-C67*H67^2)/(C67-1))</f>
        <v/>
      </c>
      <c r="K67" s="152">
        <f>J67/H67</f>
        <v/>
      </c>
      <c r="L67" s="151">
        <f>H67-J67</f>
        <v/>
      </c>
      <c r="M67" s="151">
        <f>H67+J67</f>
        <v/>
      </c>
      <c r="N67" s="150">
        <f>IF(K67&lt;=$D$4,"SÍ","NO")</f>
        <v/>
      </c>
      <c r="O67" s="153" t="n">
        <v>0</v>
      </c>
      <c r="P67" s="153" t="n">
        <v>0</v>
      </c>
      <c r="Q67" s="153" t="n">
        <v>0</v>
      </c>
      <c r="R67" s="153" t="n">
        <v>0</v>
      </c>
      <c r="S67" s="153" t="n">
        <v>1</v>
      </c>
      <c r="T67" s="153" t="n">
        <v>1</v>
      </c>
      <c r="U67" s="153" t="n">
        <v>1</v>
      </c>
      <c r="V67" s="153" t="n">
        <v>0</v>
      </c>
      <c r="W67" s="153" t="n">
        <v>1</v>
      </c>
      <c r="X67" s="153" t="n">
        <v>0</v>
      </c>
      <c r="Y67" s="153" t="n">
        <v>1</v>
      </c>
      <c r="Z67" s="153" t="n">
        <v>0</v>
      </c>
      <c r="AA67" s="153" t="n">
        <v>0</v>
      </c>
      <c r="AB67" s="153" t="n">
        <v>0</v>
      </c>
    </row>
    <row r="68">
      <c r="A68" s="164" t="inlineStr">
        <is>
          <t>Todas</t>
        </is>
      </c>
      <c r="B68" s="150" t="n">
        <v>34</v>
      </c>
      <c r="C68" s="150">
        <f>SUM($O68:$AB68)</f>
        <v/>
      </c>
      <c r="D68" s="164">
        <f>SUBSTITUTE(TRIM(IF(O68=1,O$6&amp;" ","")&amp;IF(P68=1,P$6&amp;" ","")&amp;IF(Q68=1,Q$6&amp;" ","")&amp;IF(R68=1,R$6&amp;" ","")&amp;IF(S68=1,S$6&amp;" ","")&amp;IF(T68=1,T$6&amp;" ","")&amp;IF(U68=1,U$6&amp;" ","")&amp;IF(V68=1,V$6&amp;" ","")&amp;IF(W68=1,W$6&amp;" ","")&amp;IF(X68=1,X$6&amp;" ","")&amp;IF(Y68=1,Y$6&amp;" ","")&amp;IF(Z68=1,Z$6&amp;" ","")&amp;IF(AA68=1,AA$6&amp;" ","")&amp;IF(AB68=1,AB$6&amp;" ",""))," ",", ")</f>
        <v/>
      </c>
      <c r="E68" s="164">
        <f>IF(SUMPRODUCT($O68:$AB68*($O$6:$AB$6&lt;=6))=$C68,"Solo casas",IF(SUMPRODUCT($O68:$AB68*($O$6:$AB$6&gt;6))=$C68,"Solo apartamentos","Mixta ("&amp;SUMPRODUCT($O68:$AB68*($O$6:$AB$6&lt;=6))&amp;" casas + "&amp;SUMPRODUCT($O68:$AB68*($O$6:$AB$6&gt;6))&amp;" aptos)"))</f>
        <v/>
      </c>
      <c r="F68" s="151">
        <f>_xlfn.MINIFS($O$7:$AB$7,$O68:$AB68,1)</f>
        <v/>
      </c>
      <c r="G68" s="151">
        <f>_xlfn.MAXIFS($O$7:$AB$7,$O68:$AB68,1)</f>
        <v/>
      </c>
      <c r="H68" s="151">
        <f>SUMPRODUCT($O68:$AB68,$O$7:$AB$7)/C68</f>
        <v/>
      </c>
      <c r="I68" s="151">
        <f>_xlfn.AGGREGATE(16,6,$O$7:$AB$7/($O68:$AB68=1),0.5)</f>
        <v/>
      </c>
      <c r="J68" s="151">
        <f>SQRT((SUMPRODUCT($O68:$AB68,$O$7:$AB$7^2)-C68*H68^2)/(C68-1))</f>
        <v/>
      </c>
      <c r="K68" s="152">
        <f>J68/H68</f>
        <v/>
      </c>
      <c r="L68" s="151">
        <f>H68-J68</f>
        <v/>
      </c>
      <c r="M68" s="151">
        <f>H68+J68</f>
        <v/>
      </c>
      <c r="N68" s="150">
        <f>IF(K68&lt;=$D$4,"SÍ","NO")</f>
        <v/>
      </c>
      <c r="O68" s="153" t="n">
        <v>0</v>
      </c>
      <c r="P68" s="153" t="n">
        <v>0</v>
      </c>
      <c r="Q68" s="153" t="n">
        <v>0</v>
      </c>
      <c r="R68" s="153" t="n">
        <v>0</v>
      </c>
      <c r="S68" s="153" t="n">
        <v>1</v>
      </c>
      <c r="T68" s="153" t="n">
        <v>0</v>
      </c>
      <c r="U68" s="153" t="n">
        <v>1</v>
      </c>
      <c r="V68" s="153" t="n">
        <v>0</v>
      </c>
      <c r="W68" s="153" t="n">
        <v>1</v>
      </c>
      <c r="X68" s="153" t="n">
        <v>0</v>
      </c>
      <c r="Y68" s="153" t="n">
        <v>1</v>
      </c>
      <c r="Z68" s="153" t="n">
        <v>1</v>
      </c>
      <c r="AA68" s="153" t="n">
        <v>0</v>
      </c>
      <c r="AB68" s="153" t="n">
        <v>0</v>
      </c>
    </row>
    <row r="69">
      <c r="A69" s="164" t="inlineStr">
        <is>
          <t>Todas</t>
        </is>
      </c>
      <c r="B69" s="150" t="n">
        <v>35</v>
      </c>
      <c r="C69" s="150">
        <f>SUM($O69:$AB69)</f>
        <v/>
      </c>
      <c r="D69" s="164">
        <f>SUBSTITUTE(TRIM(IF(O69=1,O$6&amp;" ","")&amp;IF(P69=1,P$6&amp;" ","")&amp;IF(Q69=1,Q$6&amp;" ","")&amp;IF(R69=1,R$6&amp;" ","")&amp;IF(S69=1,S$6&amp;" ","")&amp;IF(T69=1,T$6&amp;" ","")&amp;IF(U69=1,U$6&amp;" ","")&amp;IF(V69=1,V$6&amp;" ","")&amp;IF(W69=1,W$6&amp;" ","")&amp;IF(X69=1,X$6&amp;" ","")&amp;IF(Y69=1,Y$6&amp;" ","")&amp;IF(Z69=1,Z$6&amp;" ","")&amp;IF(AA69=1,AA$6&amp;" ","")&amp;IF(AB69=1,AB$6&amp;" ",""))," ",", ")</f>
        <v/>
      </c>
      <c r="E69" s="164">
        <f>IF(SUMPRODUCT($O69:$AB69*($O$6:$AB$6&lt;=6))=$C69,"Solo casas",IF(SUMPRODUCT($O69:$AB69*($O$6:$AB$6&gt;6))=$C69,"Solo apartamentos","Mixta ("&amp;SUMPRODUCT($O69:$AB69*($O$6:$AB$6&lt;=6))&amp;" casas + "&amp;SUMPRODUCT($O69:$AB69*($O$6:$AB$6&gt;6))&amp;" aptos)"))</f>
        <v/>
      </c>
      <c r="F69" s="151">
        <f>_xlfn.MINIFS($O$7:$AB$7,$O69:$AB69,1)</f>
        <v/>
      </c>
      <c r="G69" s="151">
        <f>_xlfn.MAXIFS($O$7:$AB$7,$O69:$AB69,1)</f>
        <v/>
      </c>
      <c r="H69" s="151">
        <f>SUMPRODUCT($O69:$AB69,$O$7:$AB$7)/C69</f>
        <v/>
      </c>
      <c r="I69" s="151">
        <f>_xlfn.AGGREGATE(16,6,$O$7:$AB$7/($O69:$AB69=1),0.5)</f>
        <v/>
      </c>
      <c r="J69" s="151">
        <f>SQRT((SUMPRODUCT($O69:$AB69,$O$7:$AB$7^2)-C69*H69^2)/(C69-1))</f>
        <v/>
      </c>
      <c r="K69" s="152">
        <f>J69/H69</f>
        <v/>
      </c>
      <c r="L69" s="151">
        <f>H69-J69</f>
        <v/>
      </c>
      <c r="M69" s="151">
        <f>H69+J69</f>
        <v/>
      </c>
      <c r="N69" s="150">
        <f>IF(K69&lt;=$D$4,"SÍ","NO")</f>
        <v/>
      </c>
      <c r="O69" s="153" t="n">
        <v>0</v>
      </c>
      <c r="P69" s="153" t="n">
        <v>0</v>
      </c>
      <c r="Q69" s="153" t="n">
        <v>0</v>
      </c>
      <c r="R69" s="153" t="n">
        <v>1</v>
      </c>
      <c r="S69" s="153" t="n">
        <v>0</v>
      </c>
      <c r="T69" s="153" t="n">
        <v>0</v>
      </c>
      <c r="U69" s="153" t="n">
        <v>0</v>
      </c>
      <c r="V69" s="153" t="n">
        <v>0</v>
      </c>
      <c r="W69" s="153" t="n">
        <v>1</v>
      </c>
      <c r="X69" s="153" t="n">
        <v>1</v>
      </c>
      <c r="Y69" s="153" t="n">
        <v>0</v>
      </c>
      <c r="Z69" s="153" t="n">
        <v>0</v>
      </c>
      <c r="AA69" s="153" t="n">
        <v>1</v>
      </c>
      <c r="AB69" s="153" t="n">
        <v>1</v>
      </c>
    </row>
    <row r="70">
      <c r="A70" s="164" t="inlineStr">
        <is>
          <t>Todas</t>
        </is>
      </c>
      <c r="B70" s="150" t="n">
        <v>36</v>
      </c>
      <c r="C70" s="150">
        <f>SUM($O70:$AB70)</f>
        <v/>
      </c>
      <c r="D70" s="164">
        <f>SUBSTITUTE(TRIM(IF(O70=1,O$6&amp;" ","")&amp;IF(P70=1,P$6&amp;" ","")&amp;IF(Q70=1,Q$6&amp;" ","")&amp;IF(R70=1,R$6&amp;" ","")&amp;IF(S70=1,S$6&amp;" ","")&amp;IF(T70=1,T$6&amp;" ","")&amp;IF(U70=1,U$6&amp;" ","")&amp;IF(V70=1,V$6&amp;" ","")&amp;IF(W70=1,W$6&amp;" ","")&amp;IF(X70=1,X$6&amp;" ","")&amp;IF(Y70=1,Y$6&amp;" ","")&amp;IF(Z70=1,Z$6&amp;" ","")&amp;IF(AA70=1,AA$6&amp;" ","")&amp;IF(AB70=1,AB$6&amp;" ",""))," ",", ")</f>
        <v/>
      </c>
      <c r="E70" s="164">
        <f>IF(SUMPRODUCT($O70:$AB70*($O$6:$AB$6&lt;=6))=$C70,"Solo casas",IF(SUMPRODUCT($O70:$AB70*($O$6:$AB$6&gt;6))=$C70,"Solo apartamentos","Mixta ("&amp;SUMPRODUCT($O70:$AB70*($O$6:$AB$6&lt;=6))&amp;" casas + "&amp;SUMPRODUCT($O70:$AB70*($O$6:$AB$6&gt;6))&amp;" aptos)"))</f>
        <v/>
      </c>
      <c r="F70" s="151">
        <f>_xlfn.MINIFS($O$7:$AB$7,$O70:$AB70,1)</f>
        <v/>
      </c>
      <c r="G70" s="151">
        <f>_xlfn.MAXIFS($O$7:$AB$7,$O70:$AB70,1)</f>
        <v/>
      </c>
      <c r="H70" s="151">
        <f>SUMPRODUCT($O70:$AB70,$O$7:$AB$7)/C70</f>
        <v/>
      </c>
      <c r="I70" s="151">
        <f>_xlfn.AGGREGATE(16,6,$O$7:$AB$7/($O70:$AB70=1),0.5)</f>
        <v/>
      </c>
      <c r="J70" s="151">
        <f>SQRT((SUMPRODUCT($O70:$AB70,$O$7:$AB$7^2)-C70*H70^2)/(C70-1))</f>
        <v/>
      </c>
      <c r="K70" s="152">
        <f>J70/H70</f>
        <v/>
      </c>
      <c r="L70" s="151">
        <f>H70-J70</f>
        <v/>
      </c>
      <c r="M70" s="151">
        <f>H70+J70</f>
        <v/>
      </c>
      <c r="N70" s="150">
        <f>IF(K70&lt;=$D$4,"SÍ","NO")</f>
        <v/>
      </c>
      <c r="O70" s="153" t="n">
        <v>0</v>
      </c>
      <c r="P70" s="153" t="n">
        <v>0</v>
      </c>
      <c r="Q70" s="153" t="n">
        <v>0</v>
      </c>
      <c r="R70" s="153" t="n">
        <v>0</v>
      </c>
      <c r="S70" s="153" t="n">
        <v>1</v>
      </c>
      <c r="T70" s="153" t="n">
        <v>0</v>
      </c>
      <c r="U70" s="153" t="n">
        <v>1</v>
      </c>
      <c r="V70" s="153" t="n">
        <v>1</v>
      </c>
      <c r="W70" s="153" t="n">
        <v>1</v>
      </c>
      <c r="X70" s="153" t="n">
        <v>0</v>
      </c>
      <c r="Y70" s="153" t="n">
        <v>0</v>
      </c>
      <c r="Z70" s="153" t="n">
        <v>0</v>
      </c>
      <c r="AA70" s="153" t="n">
        <v>0</v>
      </c>
      <c r="AB70" s="153" t="n">
        <v>1</v>
      </c>
    </row>
    <row r="71">
      <c r="A71" s="164" t="inlineStr">
        <is>
          <t>Todas</t>
        </is>
      </c>
      <c r="B71" s="150" t="n">
        <v>37</v>
      </c>
      <c r="C71" s="150">
        <f>SUM($O71:$AB71)</f>
        <v/>
      </c>
      <c r="D71" s="164">
        <f>SUBSTITUTE(TRIM(IF(O71=1,O$6&amp;" ","")&amp;IF(P71=1,P$6&amp;" ","")&amp;IF(Q71=1,Q$6&amp;" ","")&amp;IF(R71=1,R$6&amp;" ","")&amp;IF(S71=1,S$6&amp;" ","")&amp;IF(T71=1,T$6&amp;" ","")&amp;IF(U71=1,U$6&amp;" ","")&amp;IF(V71=1,V$6&amp;" ","")&amp;IF(W71=1,W$6&amp;" ","")&amp;IF(X71=1,X$6&amp;" ","")&amp;IF(Y71=1,Y$6&amp;" ","")&amp;IF(Z71=1,Z$6&amp;" ","")&amp;IF(AA71=1,AA$6&amp;" ","")&amp;IF(AB71=1,AB$6&amp;" ",""))," ",", ")</f>
        <v/>
      </c>
      <c r="E71" s="164">
        <f>IF(SUMPRODUCT($O71:$AB71*($O$6:$AB$6&lt;=6))=$C71,"Solo casas",IF(SUMPRODUCT($O71:$AB71*($O$6:$AB$6&gt;6))=$C71,"Solo apartamentos","Mixta ("&amp;SUMPRODUCT($O71:$AB71*($O$6:$AB$6&lt;=6))&amp;" casas + "&amp;SUMPRODUCT($O71:$AB71*($O$6:$AB$6&gt;6))&amp;" aptos)"))</f>
        <v/>
      </c>
      <c r="F71" s="151">
        <f>_xlfn.MINIFS($O$7:$AB$7,$O71:$AB71,1)</f>
        <v/>
      </c>
      <c r="G71" s="151">
        <f>_xlfn.MAXIFS($O$7:$AB$7,$O71:$AB71,1)</f>
        <v/>
      </c>
      <c r="H71" s="151">
        <f>SUMPRODUCT($O71:$AB71,$O$7:$AB$7)/C71</f>
        <v/>
      </c>
      <c r="I71" s="151">
        <f>_xlfn.AGGREGATE(16,6,$O$7:$AB$7/($O71:$AB71=1),0.5)</f>
        <v/>
      </c>
      <c r="J71" s="151">
        <f>SQRT((SUMPRODUCT($O71:$AB71,$O$7:$AB$7^2)-C71*H71^2)/(C71-1))</f>
        <v/>
      </c>
      <c r="K71" s="152">
        <f>J71/H71</f>
        <v/>
      </c>
      <c r="L71" s="151">
        <f>H71-J71</f>
        <v/>
      </c>
      <c r="M71" s="151">
        <f>H71+J71</f>
        <v/>
      </c>
      <c r="N71" s="150">
        <f>IF(K71&lt;=$D$4,"SÍ","NO")</f>
        <v/>
      </c>
      <c r="O71" s="153" t="n">
        <v>0</v>
      </c>
      <c r="P71" s="153" t="n">
        <v>0</v>
      </c>
      <c r="Q71" s="153" t="n">
        <v>0</v>
      </c>
      <c r="R71" s="153" t="n">
        <v>0</v>
      </c>
      <c r="S71" s="153" t="n">
        <v>1</v>
      </c>
      <c r="T71" s="153" t="n">
        <v>0</v>
      </c>
      <c r="U71" s="153" t="n">
        <v>1</v>
      </c>
      <c r="V71" s="153" t="n">
        <v>0</v>
      </c>
      <c r="W71" s="153" t="n">
        <v>1</v>
      </c>
      <c r="X71" s="153" t="n">
        <v>0</v>
      </c>
      <c r="Y71" s="153" t="n">
        <v>1</v>
      </c>
      <c r="Z71" s="153" t="n">
        <v>0</v>
      </c>
      <c r="AA71" s="153" t="n">
        <v>0</v>
      </c>
      <c r="AB71" s="153" t="n">
        <v>1</v>
      </c>
    </row>
    <row r="72">
      <c r="A72" s="164" t="inlineStr">
        <is>
          <t>Todas</t>
        </is>
      </c>
      <c r="B72" s="150" t="n">
        <v>38</v>
      </c>
      <c r="C72" s="150">
        <f>SUM($O72:$AB72)</f>
        <v/>
      </c>
      <c r="D72" s="164">
        <f>SUBSTITUTE(TRIM(IF(O72=1,O$6&amp;" ","")&amp;IF(P72=1,P$6&amp;" ","")&amp;IF(Q72=1,Q$6&amp;" ","")&amp;IF(R72=1,R$6&amp;" ","")&amp;IF(S72=1,S$6&amp;" ","")&amp;IF(T72=1,T$6&amp;" ","")&amp;IF(U72=1,U$6&amp;" ","")&amp;IF(V72=1,V$6&amp;" ","")&amp;IF(W72=1,W$6&amp;" ","")&amp;IF(X72=1,X$6&amp;" ","")&amp;IF(Y72=1,Y$6&amp;" ","")&amp;IF(Z72=1,Z$6&amp;" ","")&amp;IF(AA72=1,AA$6&amp;" ","")&amp;IF(AB72=1,AB$6&amp;" ",""))," ",", ")</f>
        <v/>
      </c>
      <c r="E72" s="164">
        <f>IF(SUMPRODUCT($O72:$AB72*($O$6:$AB$6&lt;=6))=$C72,"Solo casas",IF(SUMPRODUCT($O72:$AB72*($O$6:$AB$6&gt;6))=$C72,"Solo apartamentos","Mixta ("&amp;SUMPRODUCT($O72:$AB72*($O$6:$AB$6&lt;=6))&amp;" casas + "&amp;SUMPRODUCT($O72:$AB72*($O$6:$AB$6&gt;6))&amp;" aptos)"))</f>
        <v/>
      </c>
      <c r="F72" s="151">
        <f>_xlfn.MINIFS($O$7:$AB$7,$O72:$AB72,1)</f>
        <v/>
      </c>
      <c r="G72" s="151">
        <f>_xlfn.MAXIFS($O$7:$AB$7,$O72:$AB72,1)</f>
        <v/>
      </c>
      <c r="H72" s="151">
        <f>SUMPRODUCT($O72:$AB72,$O$7:$AB$7)/C72</f>
        <v/>
      </c>
      <c r="I72" s="151">
        <f>_xlfn.AGGREGATE(16,6,$O$7:$AB$7/($O72:$AB72=1),0.5)</f>
        <v/>
      </c>
      <c r="J72" s="151">
        <f>SQRT((SUMPRODUCT($O72:$AB72,$O$7:$AB$7^2)-C72*H72^2)/(C72-1))</f>
        <v/>
      </c>
      <c r="K72" s="152">
        <f>J72/H72</f>
        <v/>
      </c>
      <c r="L72" s="151">
        <f>H72-J72</f>
        <v/>
      </c>
      <c r="M72" s="151">
        <f>H72+J72</f>
        <v/>
      </c>
      <c r="N72" s="150">
        <f>IF(K72&lt;=$D$4,"SÍ","NO")</f>
        <v/>
      </c>
      <c r="O72" s="153" t="n">
        <v>0</v>
      </c>
      <c r="P72" s="153" t="n">
        <v>0</v>
      </c>
      <c r="Q72" s="153" t="n">
        <v>0</v>
      </c>
      <c r="R72" s="153" t="n">
        <v>0</v>
      </c>
      <c r="S72" s="153" t="n">
        <v>0</v>
      </c>
      <c r="T72" s="153" t="n">
        <v>0</v>
      </c>
      <c r="U72" s="153" t="n">
        <v>1</v>
      </c>
      <c r="V72" s="153" t="n">
        <v>1</v>
      </c>
      <c r="W72" s="153" t="n">
        <v>1</v>
      </c>
      <c r="X72" s="153" t="n">
        <v>0</v>
      </c>
      <c r="Y72" s="153" t="n">
        <v>1</v>
      </c>
      <c r="Z72" s="153" t="n">
        <v>0</v>
      </c>
      <c r="AA72" s="153" t="n">
        <v>0</v>
      </c>
      <c r="AB72" s="153" t="n">
        <v>1</v>
      </c>
    </row>
    <row r="73">
      <c r="A73" s="164" t="inlineStr">
        <is>
          <t>Todas</t>
        </is>
      </c>
      <c r="B73" s="150" t="n">
        <v>39</v>
      </c>
      <c r="C73" s="150">
        <f>SUM($O73:$AB73)</f>
        <v/>
      </c>
      <c r="D73" s="164">
        <f>SUBSTITUTE(TRIM(IF(O73=1,O$6&amp;" ","")&amp;IF(P73=1,P$6&amp;" ","")&amp;IF(Q73=1,Q$6&amp;" ","")&amp;IF(R73=1,R$6&amp;" ","")&amp;IF(S73=1,S$6&amp;" ","")&amp;IF(T73=1,T$6&amp;" ","")&amp;IF(U73=1,U$6&amp;" ","")&amp;IF(V73=1,V$6&amp;" ","")&amp;IF(W73=1,W$6&amp;" ","")&amp;IF(X73=1,X$6&amp;" ","")&amp;IF(Y73=1,Y$6&amp;" ","")&amp;IF(Z73=1,Z$6&amp;" ","")&amp;IF(AA73=1,AA$6&amp;" ","")&amp;IF(AB73=1,AB$6&amp;" ",""))," ",", ")</f>
        <v/>
      </c>
      <c r="E73" s="164">
        <f>IF(SUMPRODUCT($O73:$AB73*($O$6:$AB$6&lt;=6))=$C73,"Solo casas",IF(SUMPRODUCT($O73:$AB73*($O$6:$AB$6&gt;6))=$C73,"Solo apartamentos","Mixta ("&amp;SUMPRODUCT($O73:$AB73*($O$6:$AB$6&lt;=6))&amp;" casas + "&amp;SUMPRODUCT($O73:$AB73*($O$6:$AB$6&gt;6))&amp;" aptos)"))</f>
        <v/>
      </c>
      <c r="F73" s="151">
        <f>_xlfn.MINIFS($O$7:$AB$7,$O73:$AB73,1)</f>
        <v/>
      </c>
      <c r="G73" s="151">
        <f>_xlfn.MAXIFS($O$7:$AB$7,$O73:$AB73,1)</f>
        <v/>
      </c>
      <c r="H73" s="151">
        <f>SUMPRODUCT($O73:$AB73,$O$7:$AB$7)/C73</f>
        <v/>
      </c>
      <c r="I73" s="151">
        <f>_xlfn.AGGREGATE(16,6,$O$7:$AB$7/($O73:$AB73=1),0.5)</f>
        <v/>
      </c>
      <c r="J73" s="151">
        <f>SQRT((SUMPRODUCT($O73:$AB73,$O$7:$AB$7^2)-C73*H73^2)/(C73-1))</f>
        <v/>
      </c>
      <c r="K73" s="152">
        <f>J73/H73</f>
        <v/>
      </c>
      <c r="L73" s="151">
        <f>H73-J73</f>
        <v/>
      </c>
      <c r="M73" s="151">
        <f>H73+J73</f>
        <v/>
      </c>
      <c r="N73" s="150">
        <f>IF(K73&lt;=$D$4,"SÍ","NO")</f>
        <v/>
      </c>
      <c r="O73" s="153" t="n">
        <v>0</v>
      </c>
      <c r="P73" s="153" t="n">
        <v>0</v>
      </c>
      <c r="Q73" s="153" t="n">
        <v>0</v>
      </c>
      <c r="R73" s="153" t="n">
        <v>0</v>
      </c>
      <c r="S73" s="153" t="n">
        <v>0</v>
      </c>
      <c r="T73" s="153" t="n">
        <v>1</v>
      </c>
      <c r="U73" s="153" t="n">
        <v>1</v>
      </c>
      <c r="V73" s="153" t="n">
        <v>0</v>
      </c>
      <c r="W73" s="153" t="n">
        <v>1</v>
      </c>
      <c r="X73" s="153" t="n">
        <v>0</v>
      </c>
      <c r="Y73" s="153" t="n">
        <v>1</v>
      </c>
      <c r="Z73" s="153" t="n">
        <v>1</v>
      </c>
      <c r="AA73" s="153" t="n">
        <v>0</v>
      </c>
      <c r="AB73" s="153" t="n">
        <v>0</v>
      </c>
    </row>
    <row r="74">
      <c r="A74" s="164" t="inlineStr">
        <is>
          <t>Todas</t>
        </is>
      </c>
      <c r="B74" s="150" t="n">
        <v>40</v>
      </c>
      <c r="C74" s="150">
        <f>SUM($O74:$AB74)</f>
        <v/>
      </c>
      <c r="D74" s="164">
        <f>SUBSTITUTE(TRIM(IF(O74=1,O$6&amp;" ","")&amp;IF(P74=1,P$6&amp;" ","")&amp;IF(Q74=1,Q$6&amp;" ","")&amp;IF(R74=1,R$6&amp;" ","")&amp;IF(S74=1,S$6&amp;" ","")&amp;IF(T74=1,T$6&amp;" ","")&amp;IF(U74=1,U$6&amp;" ","")&amp;IF(V74=1,V$6&amp;" ","")&amp;IF(W74=1,W$6&amp;" ","")&amp;IF(X74=1,X$6&amp;" ","")&amp;IF(Y74=1,Y$6&amp;" ","")&amp;IF(Z74=1,Z$6&amp;" ","")&amp;IF(AA74=1,AA$6&amp;" ","")&amp;IF(AB74=1,AB$6&amp;" ",""))," ",", ")</f>
        <v/>
      </c>
      <c r="E74" s="164">
        <f>IF(SUMPRODUCT($O74:$AB74*($O$6:$AB$6&lt;=6))=$C74,"Solo casas",IF(SUMPRODUCT($O74:$AB74*($O$6:$AB$6&gt;6))=$C74,"Solo apartamentos","Mixta ("&amp;SUMPRODUCT($O74:$AB74*($O$6:$AB$6&lt;=6))&amp;" casas + "&amp;SUMPRODUCT($O74:$AB74*($O$6:$AB$6&gt;6))&amp;" aptos)"))</f>
        <v/>
      </c>
      <c r="F74" s="151">
        <f>_xlfn.MINIFS($O$7:$AB$7,$O74:$AB74,1)</f>
        <v/>
      </c>
      <c r="G74" s="151">
        <f>_xlfn.MAXIFS($O$7:$AB$7,$O74:$AB74,1)</f>
        <v/>
      </c>
      <c r="H74" s="151">
        <f>SUMPRODUCT($O74:$AB74,$O$7:$AB$7)/C74</f>
        <v/>
      </c>
      <c r="I74" s="151">
        <f>_xlfn.AGGREGATE(16,6,$O$7:$AB$7/($O74:$AB74=1),0.5)</f>
        <v/>
      </c>
      <c r="J74" s="151">
        <f>SQRT((SUMPRODUCT($O74:$AB74,$O$7:$AB$7^2)-C74*H74^2)/(C74-1))</f>
        <v/>
      </c>
      <c r="K74" s="152">
        <f>J74/H74</f>
        <v/>
      </c>
      <c r="L74" s="151">
        <f>H74-J74</f>
        <v/>
      </c>
      <c r="M74" s="151">
        <f>H74+J74</f>
        <v/>
      </c>
      <c r="N74" s="150">
        <f>IF(K74&lt;=$D$4,"SÍ","NO")</f>
        <v/>
      </c>
      <c r="O74" s="153" t="n">
        <v>0</v>
      </c>
      <c r="P74" s="153" t="n">
        <v>0</v>
      </c>
      <c r="Q74" s="153" t="n">
        <v>0</v>
      </c>
      <c r="R74" s="153" t="n">
        <v>0</v>
      </c>
      <c r="S74" s="153" t="n">
        <v>0</v>
      </c>
      <c r="T74" s="153" t="n">
        <v>1</v>
      </c>
      <c r="U74" s="153" t="n">
        <v>0</v>
      </c>
      <c r="V74" s="153" t="n">
        <v>1</v>
      </c>
      <c r="W74" s="153" t="n">
        <v>1</v>
      </c>
      <c r="X74" s="153" t="n">
        <v>0</v>
      </c>
      <c r="Y74" s="153" t="n">
        <v>1</v>
      </c>
      <c r="Z74" s="153" t="n">
        <v>1</v>
      </c>
      <c r="AA74" s="153" t="n">
        <v>0</v>
      </c>
      <c r="AB74" s="153" t="n">
        <v>0</v>
      </c>
    </row>
    <row r="75">
      <c r="A75" s="164" t="inlineStr">
        <is>
          <t>Todas</t>
        </is>
      </c>
      <c r="B75" s="150" t="n">
        <v>41</v>
      </c>
      <c r="C75" s="150">
        <f>SUM($O75:$AB75)</f>
        <v/>
      </c>
      <c r="D75" s="164">
        <f>SUBSTITUTE(TRIM(IF(O75=1,O$6&amp;" ","")&amp;IF(P75=1,P$6&amp;" ","")&amp;IF(Q75=1,Q$6&amp;" ","")&amp;IF(R75=1,R$6&amp;" ","")&amp;IF(S75=1,S$6&amp;" ","")&amp;IF(T75=1,T$6&amp;" ","")&amp;IF(U75=1,U$6&amp;" ","")&amp;IF(V75=1,V$6&amp;" ","")&amp;IF(W75=1,W$6&amp;" ","")&amp;IF(X75=1,X$6&amp;" ","")&amp;IF(Y75=1,Y$6&amp;" ","")&amp;IF(Z75=1,Z$6&amp;" ","")&amp;IF(AA75=1,AA$6&amp;" ","")&amp;IF(AB75=1,AB$6&amp;" ",""))," ",", ")</f>
        <v/>
      </c>
      <c r="E75" s="164">
        <f>IF(SUMPRODUCT($O75:$AB75*($O$6:$AB$6&lt;=6))=$C75,"Solo casas",IF(SUMPRODUCT($O75:$AB75*($O$6:$AB$6&gt;6))=$C75,"Solo apartamentos","Mixta ("&amp;SUMPRODUCT($O75:$AB75*($O$6:$AB$6&lt;=6))&amp;" casas + "&amp;SUMPRODUCT($O75:$AB75*($O$6:$AB$6&gt;6))&amp;" aptos)"))</f>
        <v/>
      </c>
      <c r="F75" s="151">
        <f>_xlfn.MINIFS($O$7:$AB$7,$O75:$AB75,1)</f>
        <v/>
      </c>
      <c r="G75" s="151">
        <f>_xlfn.MAXIFS($O$7:$AB$7,$O75:$AB75,1)</f>
        <v/>
      </c>
      <c r="H75" s="151">
        <f>SUMPRODUCT($O75:$AB75,$O$7:$AB$7)/C75</f>
        <v/>
      </c>
      <c r="I75" s="151">
        <f>_xlfn.AGGREGATE(16,6,$O$7:$AB$7/($O75:$AB75=1),0.5)</f>
        <v/>
      </c>
      <c r="J75" s="151">
        <f>SQRT((SUMPRODUCT($O75:$AB75,$O$7:$AB$7^2)-C75*H75^2)/(C75-1))</f>
        <v/>
      </c>
      <c r="K75" s="152">
        <f>J75/H75</f>
        <v/>
      </c>
      <c r="L75" s="151">
        <f>H75-J75</f>
        <v/>
      </c>
      <c r="M75" s="151">
        <f>H75+J75</f>
        <v/>
      </c>
      <c r="N75" s="150">
        <f>IF(K75&lt;=$D$4,"SÍ","NO")</f>
        <v/>
      </c>
      <c r="O75" s="153" t="n">
        <v>0</v>
      </c>
      <c r="P75" s="153" t="n">
        <v>0</v>
      </c>
      <c r="Q75" s="153" t="n">
        <v>0</v>
      </c>
      <c r="R75" s="153" t="n">
        <v>0</v>
      </c>
      <c r="S75" s="153" t="n">
        <v>1</v>
      </c>
      <c r="T75" s="153" t="n">
        <v>1</v>
      </c>
      <c r="U75" s="153" t="n">
        <v>0</v>
      </c>
      <c r="V75" s="153" t="n">
        <v>0</v>
      </c>
      <c r="W75" s="153" t="n">
        <v>1</v>
      </c>
      <c r="X75" s="153" t="n">
        <v>0</v>
      </c>
      <c r="Y75" s="153" t="n">
        <v>1</v>
      </c>
      <c r="Z75" s="153" t="n">
        <v>1</v>
      </c>
      <c r="AA75" s="153" t="n">
        <v>0</v>
      </c>
      <c r="AB75" s="153" t="n">
        <v>0</v>
      </c>
    </row>
    <row r="76">
      <c r="A76" s="164" t="inlineStr">
        <is>
          <t>Todas</t>
        </is>
      </c>
      <c r="B76" s="150" t="n">
        <v>42</v>
      </c>
      <c r="C76" s="150">
        <f>SUM($O76:$AB76)</f>
        <v/>
      </c>
      <c r="D76" s="164">
        <f>SUBSTITUTE(TRIM(IF(O76=1,O$6&amp;" ","")&amp;IF(P76=1,P$6&amp;" ","")&amp;IF(Q76=1,Q$6&amp;" ","")&amp;IF(R76=1,R$6&amp;" ","")&amp;IF(S76=1,S$6&amp;" ","")&amp;IF(T76=1,T$6&amp;" ","")&amp;IF(U76=1,U$6&amp;" ","")&amp;IF(V76=1,V$6&amp;" ","")&amp;IF(W76=1,W$6&amp;" ","")&amp;IF(X76=1,X$6&amp;" ","")&amp;IF(Y76=1,Y$6&amp;" ","")&amp;IF(Z76=1,Z$6&amp;" ","")&amp;IF(AA76=1,AA$6&amp;" ","")&amp;IF(AB76=1,AB$6&amp;" ",""))," ",", ")</f>
        <v/>
      </c>
      <c r="E76" s="164">
        <f>IF(SUMPRODUCT($O76:$AB76*($O$6:$AB$6&lt;=6))=$C76,"Solo casas",IF(SUMPRODUCT($O76:$AB76*($O$6:$AB$6&gt;6))=$C76,"Solo apartamentos","Mixta ("&amp;SUMPRODUCT($O76:$AB76*($O$6:$AB$6&lt;=6))&amp;" casas + "&amp;SUMPRODUCT($O76:$AB76*($O$6:$AB$6&gt;6))&amp;" aptos)"))</f>
        <v/>
      </c>
      <c r="F76" s="151">
        <f>_xlfn.MINIFS($O$7:$AB$7,$O76:$AB76,1)</f>
        <v/>
      </c>
      <c r="G76" s="151">
        <f>_xlfn.MAXIFS($O$7:$AB$7,$O76:$AB76,1)</f>
        <v/>
      </c>
      <c r="H76" s="151">
        <f>SUMPRODUCT($O76:$AB76,$O$7:$AB$7)/C76</f>
        <v/>
      </c>
      <c r="I76" s="151">
        <f>_xlfn.AGGREGATE(16,6,$O$7:$AB$7/($O76:$AB76=1),0.5)</f>
        <v/>
      </c>
      <c r="J76" s="151">
        <f>SQRT((SUMPRODUCT($O76:$AB76,$O$7:$AB$7^2)-C76*H76^2)/(C76-1))</f>
        <v/>
      </c>
      <c r="K76" s="152">
        <f>J76/H76</f>
        <v/>
      </c>
      <c r="L76" s="151">
        <f>H76-J76</f>
        <v/>
      </c>
      <c r="M76" s="151">
        <f>H76+J76</f>
        <v/>
      </c>
      <c r="N76" s="150">
        <f>IF(K76&lt;=$D$4,"SÍ","NO")</f>
        <v/>
      </c>
      <c r="O76" s="153" t="n">
        <v>0</v>
      </c>
      <c r="P76" s="153" t="n">
        <v>0</v>
      </c>
      <c r="Q76" s="153" t="n">
        <v>0</v>
      </c>
      <c r="R76" s="153" t="n">
        <v>0</v>
      </c>
      <c r="S76" s="153" t="n">
        <v>1</v>
      </c>
      <c r="T76" s="153" t="n">
        <v>1</v>
      </c>
      <c r="U76" s="153" t="n">
        <v>0</v>
      </c>
      <c r="V76" s="153" t="n">
        <v>1</v>
      </c>
      <c r="W76" s="153" t="n">
        <v>1</v>
      </c>
      <c r="X76" s="153" t="n">
        <v>0</v>
      </c>
      <c r="Y76" s="153" t="n">
        <v>0</v>
      </c>
      <c r="Z76" s="153" t="n">
        <v>1</v>
      </c>
      <c r="AA76" s="153" t="n">
        <v>0</v>
      </c>
      <c r="AB76" s="153" t="n">
        <v>0</v>
      </c>
    </row>
    <row r="77">
      <c r="A77" s="164" t="inlineStr">
        <is>
          <t>Todas</t>
        </is>
      </c>
      <c r="B77" s="150" t="n">
        <v>43</v>
      </c>
      <c r="C77" s="150">
        <f>SUM($O77:$AB77)</f>
        <v/>
      </c>
      <c r="D77" s="164">
        <f>SUBSTITUTE(TRIM(IF(O77=1,O$6&amp;" ","")&amp;IF(P77=1,P$6&amp;" ","")&amp;IF(Q77=1,Q$6&amp;" ","")&amp;IF(R77=1,R$6&amp;" ","")&amp;IF(S77=1,S$6&amp;" ","")&amp;IF(T77=1,T$6&amp;" ","")&amp;IF(U77=1,U$6&amp;" ","")&amp;IF(V77=1,V$6&amp;" ","")&amp;IF(W77=1,W$6&amp;" ","")&amp;IF(X77=1,X$6&amp;" ","")&amp;IF(Y77=1,Y$6&amp;" ","")&amp;IF(Z77=1,Z$6&amp;" ","")&amp;IF(AA77=1,AA$6&amp;" ","")&amp;IF(AB77=1,AB$6&amp;" ",""))," ",", ")</f>
        <v/>
      </c>
      <c r="E77" s="164">
        <f>IF(SUMPRODUCT($O77:$AB77*($O$6:$AB$6&lt;=6))=$C77,"Solo casas",IF(SUMPRODUCT($O77:$AB77*($O$6:$AB$6&gt;6))=$C77,"Solo apartamentos","Mixta ("&amp;SUMPRODUCT($O77:$AB77*($O$6:$AB$6&lt;=6))&amp;" casas + "&amp;SUMPRODUCT($O77:$AB77*($O$6:$AB$6&gt;6))&amp;" aptos)"))</f>
        <v/>
      </c>
      <c r="F77" s="151">
        <f>_xlfn.MINIFS($O$7:$AB$7,$O77:$AB77,1)</f>
        <v/>
      </c>
      <c r="G77" s="151">
        <f>_xlfn.MAXIFS($O$7:$AB$7,$O77:$AB77,1)</f>
        <v/>
      </c>
      <c r="H77" s="151">
        <f>SUMPRODUCT($O77:$AB77,$O$7:$AB$7)/C77</f>
        <v/>
      </c>
      <c r="I77" s="151">
        <f>_xlfn.AGGREGATE(16,6,$O$7:$AB$7/($O77:$AB77=1),0.5)</f>
        <v/>
      </c>
      <c r="J77" s="151">
        <f>SQRT((SUMPRODUCT($O77:$AB77,$O$7:$AB$7^2)-C77*H77^2)/(C77-1))</f>
        <v/>
      </c>
      <c r="K77" s="152">
        <f>J77/H77</f>
        <v/>
      </c>
      <c r="L77" s="151">
        <f>H77-J77</f>
        <v/>
      </c>
      <c r="M77" s="151">
        <f>H77+J77</f>
        <v/>
      </c>
      <c r="N77" s="150">
        <f>IF(K77&lt;=$D$4,"SÍ","NO")</f>
        <v/>
      </c>
      <c r="O77" s="153" t="n">
        <v>0</v>
      </c>
      <c r="P77" s="153" t="n">
        <v>0</v>
      </c>
      <c r="Q77" s="153" t="n">
        <v>0</v>
      </c>
      <c r="R77" s="153" t="n">
        <v>0</v>
      </c>
      <c r="S77" s="153" t="n">
        <v>0</v>
      </c>
      <c r="T77" s="153" t="n">
        <v>1</v>
      </c>
      <c r="U77" s="153" t="n">
        <v>1</v>
      </c>
      <c r="V77" s="153" t="n">
        <v>1</v>
      </c>
      <c r="W77" s="153" t="n">
        <v>1</v>
      </c>
      <c r="X77" s="153" t="n">
        <v>0</v>
      </c>
      <c r="Y77" s="153" t="n">
        <v>0</v>
      </c>
      <c r="Z77" s="153" t="n">
        <v>1</v>
      </c>
      <c r="AA77" s="153" t="n">
        <v>0</v>
      </c>
      <c r="AB77" s="153" t="n">
        <v>0</v>
      </c>
    </row>
    <row r="78">
      <c r="A78" s="164" t="inlineStr">
        <is>
          <t>Todas</t>
        </is>
      </c>
      <c r="B78" s="150" t="n">
        <v>44</v>
      </c>
      <c r="C78" s="150">
        <f>SUM($O78:$AB78)</f>
        <v/>
      </c>
      <c r="D78" s="164">
        <f>SUBSTITUTE(TRIM(IF(O78=1,O$6&amp;" ","")&amp;IF(P78=1,P$6&amp;" ","")&amp;IF(Q78=1,Q$6&amp;" ","")&amp;IF(R78=1,R$6&amp;" ","")&amp;IF(S78=1,S$6&amp;" ","")&amp;IF(T78=1,T$6&amp;" ","")&amp;IF(U78=1,U$6&amp;" ","")&amp;IF(V78=1,V$6&amp;" ","")&amp;IF(W78=1,W$6&amp;" ","")&amp;IF(X78=1,X$6&amp;" ","")&amp;IF(Y78=1,Y$6&amp;" ","")&amp;IF(Z78=1,Z$6&amp;" ","")&amp;IF(AA78=1,AA$6&amp;" ","")&amp;IF(AB78=1,AB$6&amp;" ",""))," ",", ")</f>
        <v/>
      </c>
      <c r="E78" s="164">
        <f>IF(SUMPRODUCT($O78:$AB78*($O$6:$AB$6&lt;=6))=$C78,"Solo casas",IF(SUMPRODUCT($O78:$AB78*($O$6:$AB$6&gt;6))=$C78,"Solo apartamentos","Mixta ("&amp;SUMPRODUCT($O78:$AB78*($O$6:$AB$6&lt;=6))&amp;" casas + "&amp;SUMPRODUCT($O78:$AB78*($O$6:$AB$6&gt;6))&amp;" aptos)"))</f>
        <v/>
      </c>
      <c r="F78" s="151">
        <f>_xlfn.MINIFS($O$7:$AB$7,$O78:$AB78,1)</f>
        <v/>
      </c>
      <c r="G78" s="151">
        <f>_xlfn.MAXIFS($O$7:$AB$7,$O78:$AB78,1)</f>
        <v/>
      </c>
      <c r="H78" s="151">
        <f>SUMPRODUCT($O78:$AB78,$O$7:$AB$7)/C78</f>
        <v/>
      </c>
      <c r="I78" s="151">
        <f>_xlfn.AGGREGATE(16,6,$O$7:$AB$7/($O78:$AB78=1),0.5)</f>
        <v/>
      </c>
      <c r="J78" s="151">
        <f>SQRT((SUMPRODUCT($O78:$AB78,$O$7:$AB$7^2)-C78*H78^2)/(C78-1))</f>
        <v/>
      </c>
      <c r="K78" s="152">
        <f>J78/H78</f>
        <v/>
      </c>
      <c r="L78" s="151">
        <f>H78-J78</f>
        <v/>
      </c>
      <c r="M78" s="151">
        <f>H78+J78</f>
        <v/>
      </c>
      <c r="N78" s="150">
        <f>IF(K78&lt;=$D$4,"SÍ","NO")</f>
        <v/>
      </c>
      <c r="O78" s="153" t="n">
        <v>0</v>
      </c>
      <c r="P78" s="153" t="n">
        <v>0</v>
      </c>
      <c r="Q78" s="153" t="n">
        <v>0</v>
      </c>
      <c r="R78" s="153" t="n">
        <v>0</v>
      </c>
      <c r="S78" s="153" t="n">
        <v>1</v>
      </c>
      <c r="T78" s="153" t="n">
        <v>1</v>
      </c>
      <c r="U78" s="153" t="n">
        <v>1</v>
      </c>
      <c r="V78" s="153" t="n">
        <v>0</v>
      </c>
      <c r="W78" s="153" t="n">
        <v>1</v>
      </c>
      <c r="X78" s="153" t="n">
        <v>0</v>
      </c>
      <c r="Y78" s="153" t="n">
        <v>0</v>
      </c>
      <c r="Z78" s="153" t="n">
        <v>1</v>
      </c>
      <c r="AA78" s="153" t="n">
        <v>0</v>
      </c>
      <c r="AB78" s="153" t="n">
        <v>0</v>
      </c>
    </row>
    <row r="79">
      <c r="A79" s="164" t="inlineStr">
        <is>
          <t>Todas</t>
        </is>
      </c>
      <c r="B79" s="150" t="n">
        <v>45</v>
      </c>
      <c r="C79" s="150">
        <f>SUM($O79:$AB79)</f>
        <v/>
      </c>
      <c r="D79" s="164">
        <f>SUBSTITUTE(TRIM(IF(O79=1,O$6&amp;" ","")&amp;IF(P79=1,P$6&amp;" ","")&amp;IF(Q79=1,Q$6&amp;" ","")&amp;IF(R79=1,R$6&amp;" ","")&amp;IF(S79=1,S$6&amp;" ","")&amp;IF(T79=1,T$6&amp;" ","")&amp;IF(U79=1,U$6&amp;" ","")&amp;IF(V79=1,V$6&amp;" ","")&amp;IF(W79=1,W$6&amp;" ","")&amp;IF(X79=1,X$6&amp;" ","")&amp;IF(Y79=1,Y$6&amp;" ","")&amp;IF(Z79=1,Z$6&amp;" ","")&amp;IF(AA79=1,AA$6&amp;" ","")&amp;IF(AB79=1,AB$6&amp;" ",""))," ",", ")</f>
        <v/>
      </c>
      <c r="E79" s="164">
        <f>IF(SUMPRODUCT($O79:$AB79*($O$6:$AB$6&lt;=6))=$C79,"Solo casas",IF(SUMPRODUCT($O79:$AB79*($O$6:$AB$6&gt;6))=$C79,"Solo apartamentos","Mixta ("&amp;SUMPRODUCT($O79:$AB79*($O$6:$AB$6&lt;=6))&amp;" casas + "&amp;SUMPRODUCT($O79:$AB79*($O$6:$AB$6&gt;6))&amp;" aptos)"))</f>
        <v/>
      </c>
      <c r="F79" s="151">
        <f>_xlfn.MINIFS($O$7:$AB$7,$O79:$AB79,1)</f>
        <v/>
      </c>
      <c r="G79" s="151">
        <f>_xlfn.MAXIFS($O$7:$AB$7,$O79:$AB79,1)</f>
        <v/>
      </c>
      <c r="H79" s="151">
        <f>SUMPRODUCT($O79:$AB79,$O$7:$AB$7)/C79</f>
        <v/>
      </c>
      <c r="I79" s="151">
        <f>_xlfn.AGGREGATE(16,6,$O$7:$AB$7/($O79:$AB79=1),0.5)</f>
        <v/>
      </c>
      <c r="J79" s="151">
        <f>SQRT((SUMPRODUCT($O79:$AB79,$O$7:$AB$7^2)-C79*H79^2)/(C79-1))</f>
        <v/>
      </c>
      <c r="K79" s="152">
        <f>J79/H79</f>
        <v/>
      </c>
      <c r="L79" s="151">
        <f>H79-J79</f>
        <v/>
      </c>
      <c r="M79" s="151">
        <f>H79+J79</f>
        <v/>
      </c>
      <c r="N79" s="150">
        <f>IF(K79&lt;=$D$4,"SÍ","NO")</f>
        <v/>
      </c>
      <c r="O79" s="153" t="n">
        <v>0</v>
      </c>
      <c r="P79" s="153" t="n">
        <v>0</v>
      </c>
      <c r="Q79" s="153" t="n">
        <v>0</v>
      </c>
      <c r="R79" s="153" t="n">
        <v>0</v>
      </c>
      <c r="S79" s="153" t="n">
        <v>1</v>
      </c>
      <c r="T79" s="153" t="n">
        <v>1</v>
      </c>
      <c r="U79" s="153" t="n">
        <v>0</v>
      </c>
      <c r="V79" s="153" t="n">
        <v>1</v>
      </c>
      <c r="W79" s="153" t="n">
        <v>0</v>
      </c>
      <c r="X79" s="153" t="n">
        <v>0</v>
      </c>
      <c r="Y79" s="153" t="n">
        <v>1</v>
      </c>
      <c r="Z79" s="153" t="n">
        <v>0</v>
      </c>
      <c r="AA79" s="153" t="n">
        <v>0</v>
      </c>
      <c r="AB79" s="153" t="n">
        <v>1</v>
      </c>
    </row>
    <row r="80">
      <c r="A80" s="164" t="inlineStr">
        <is>
          <t>Todas</t>
        </is>
      </c>
      <c r="B80" s="150" t="n">
        <v>46</v>
      </c>
      <c r="C80" s="150">
        <f>SUM($O80:$AB80)</f>
        <v/>
      </c>
      <c r="D80" s="164">
        <f>SUBSTITUTE(TRIM(IF(O80=1,O$6&amp;" ","")&amp;IF(P80=1,P$6&amp;" ","")&amp;IF(Q80=1,Q$6&amp;" ","")&amp;IF(R80=1,R$6&amp;" ","")&amp;IF(S80=1,S$6&amp;" ","")&amp;IF(T80=1,T$6&amp;" ","")&amp;IF(U80=1,U$6&amp;" ","")&amp;IF(V80=1,V$6&amp;" ","")&amp;IF(W80=1,W$6&amp;" ","")&amp;IF(X80=1,X$6&amp;" ","")&amp;IF(Y80=1,Y$6&amp;" ","")&amp;IF(Z80=1,Z$6&amp;" ","")&amp;IF(AA80=1,AA$6&amp;" ","")&amp;IF(AB80=1,AB$6&amp;" ",""))," ",", ")</f>
        <v/>
      </c>
      <c r="E80" s="164">
        <f>IF(SUMPRODUCT($O80:$AB80*($O$6:$AB$6&lt;=6))=$C80,"Solo casas",IF(SUMPRODUCT($O80:$AB80*($O$6:$AB$6&gt;6))=$C80,"Solo apartamentos","Mixta ("&amp;SUMPRODUCT($O80:$AB80*($O$6:$AB$6&lt;=6))&amp;" casas + "&amp;SUMPRODUCT($O80:$AB80*($O$6:$AB$6&gt;6))&amp;" aptos)"))</f>
        <v/>
      </c>
      <c r="F80" s="151">
        <f>_xlfn.MINIFS($O$7:$AB$7,$O80:$AB80,1)</f>
        <v/>
      </c>
      <c r="G80" s="151">
        <f>_xlfn.MAXIFS($O$7:$AB$7,$O80:$AB80,1)</f>
        <v/>
      </c>
      <c r="H80" s="151">
        <f>SUMPRODUCT($O80:$AB80,$O$7:$AB$7)/C80</f>
        <v/>
      </c>
      <c r="I80" s="151">
        <f>_xlfn.AGGREGATE(16,6,$O$7:$AB$7/($O80:$AB80=1),0.5)</f>
        <v/>
      </c>
      <c r="J80" s="151">
        <f>SQRT((SUMPRODUCT($O80:$AB80,$O$7:$AB$7^2)-C80*H80^2)/(C80-1))</f>
        <v/>
      </c>
      <c r="K80" s="152">
        <f>J80/H80</f>
        <v/>
      </c>
      <c r="L80" s="151">
        <f>H80-J80</f>
        <v/>
      </c>
      <c r="M80" s="151">
        <f>H80+J80</f>
        <v/>
      </c>
      <c r="N80" s="150">
        <f>IF(K80&lt;=$D$4,"SÍ","NO")</f>
        <v/>
      </c>
      <c r="O80" s="153" t="n">
        <v>0</v>
      </c>
      <c r="P80" s="153" t="n">
        <v>0</v>
      </c>
      <c r="Q80" s="153" t="n">
        <v>0</v>
      </c>
      <c r="R80" s="153" t="n">
        <v>0</v>
      </c>
      <c r="S80" s="153" t="n">
        <v>1</v>
      </c>
      <c r="T80" s="153" t="n">
        <v>0</v>
      </c>
      <c r="U80" s="153" t="n">
        <v>0</v>
      </c>
      <c r="V80" s="153" t="n">
        <v>1</v>
      </c>
      <c r="W80" s="153" t="n">
        <v>0</v>
      </c>
      <c r="X80" s="153" t="n">
        <v>0</v>
      </c>
      <c r="Y80" s="153" t="n">
        <v>1</v>
      </c>
      <c r="Z80" s="153" t="n">
        <v>1</v>
      </c>
      <c r="AA80" s="153" t="n">
        <v>0</v>
      </c>
      <c r="AB80" s="153" t="n">
        <v>1</v>
      </c>
    </row>
    <row r="81">
      <c r="A81" s="164" t="inlineStr">
        <is>
          <t>Todas</t>
        </is>
      </c>
      <c r="B81" s="150" t="n">
        <v>47</v>
      </c>
      <c r="C81" s="150">
        <f>SUM($O81:$AB81)</f>
        <v/>
      </c>
      <c r="D81" s="164">
        <f>SUBSTITUTE(TRIM(IF(O81=1,O$6&amp;" ","")&amp;IF(P81=1,P$6&amp;" ","")&amp;IF(Q81=1,Q$6&amp;" ","")&amp;IF(R81=1,R$6&amp;" ","")&amp;IF(S81=1,S$6&amp;" ","")&amp;IF(T81=1,T$6&amp;" ","")&amp;IF(U81=1,U$6&amp;" ","")&amp;IF(V81=1,V$6&amp;" ","")&amp;IF(W81=1,W$6&amp;" ","")&amp;IF(X81=1,X$6&amp;" ","")&amp;IF(Y81=1,Y$6&amp;" ","")&amp;IF(Z81=1,Z$6&amp;" ","")&amp;IF(AA81=1,AA$6&amp;" ","")&amp;IF(AB81=1,AB$6&amp;" ",""))," ",", ")</f>
        <v/>
      </c>
      <c r="E81" s="164">
        <f>IF(SUMPRODUCT($O81:$AB81*($O$6:$AB$6&lt;=6))=$C81,"Solo casas",IF(SUMPRODUCT($O81:$AB81*($O$6:$AB$6&gt;6))=$C81,"Solo apartamentos","Mixta ("&amp;SUMPRODUCT($O81:$AB81*($O$6:$AB$6&lt;=6))&amp;" casas + "&amp;SUMPRODUCT($O81:$AB81*($O$6:$AB$6&gt;6))&amp;" aptos)"))</f>
        <v/>
      </c>
      <c r="F81" s="151">
        <f>_xlfn.MINIFS($O$7:$AB$7,$O81:$AB81,1)</f>
        <v/>
      </c>
      <c r="G81" s="151">
        <f>_xlfn.MAXIFS($O$7:$AB$7,$O81:$AB81,1)</f>
        <v/>
      </c>
      <c r="H81" s="151">
        <f>SUMPRODUCT($O81:$AB81,$O$7:$AB$7)/C81</f>
        <v/>
      </c>
      <c r="I81" s="151">
        <f>_xlfn.AGGREGATE(16,6,$O$7:$AB$7/($O81:$AB81=1),0.5)</f>
        <v/>
      </c>
      <c r="J81" s="151">
        <f>SQRT((SUMPRODUCT($O81:$AB81,$O$7:$AB$7^2)-C81*H81^2)/(C81-1))</f>
        <v/>
      </c>
      <c r="K81" s="152">
        <f>J81/H81</f>
        <v/>
      </c>
      <c r="L81" s="151">
        <f>H81-J81</f>
        <v/>
      </c>
      <c r="M81" s="151">
        <f>H81+J81</f>
        <v/>
      </c>
      <c r="N81" s="150">
        <f>IF(K81&lt;=$D$4,"SÍ","NO")</f>
        <v/>
      </c>
      <c r="O81" s="153" t="n">
        <v>0</v>
      </c>
      <c r="P81" s="153" t="n">
        <v>0</v>
      </c>
      <c r="Q81" s="153" t="n">
        <v>0</v>
      </c>
      <c r="R81" s="153" t="n">
        <v>0</v>
      </c>
      <c r="S81" s="153" t="n">
        <v>1</v>
      </c>
      <c r="T81" s="153" t="n">
        <v>0</v>
      </c>
      <c r="U81" s="153" t="n">
        <v>1</v>
      </c>
      <c r="V81" s="153" t="n">
        <v>1</v>
      </c>
      <c r="W81" s="153" t="n">
        <v>0</v>
      </c>
      <c r="X81" s="153" t="n">
        <v>0</v>
      </c>
      <c r="Y81" s="153" t="n">
        <v>1</v>
      </c>
      <c r="Z81" s="153" t="n">
        <v>0</v>
      </c>
      <c r="AA81" s="153" t="n">
        <v>0</v>
      </c>
      <c r="AB81" s="153" t="n">
        <v>0</v>
      </c>
    </row>
    <row r="82">
      <c r="A82" s="164" t="inlineStr">
        <is>
          <t>Todas</t>
        </is>
      </c>
      <c r="B82" s="150" t="n">
        <v>48</v>
      </c>
      <c r="C82" s="150">
        <f>SUM($O82:$AB82)</f>
        <v/>
      </c>
      <c r="D82" s="164">
        <f>SUBSTITUTE(TRIM(IF(O82=1,O$6&amp;" ","")&amp;IF(P82=1,P$6&amp;" ","")&amp;IF(Q82=1,Q$6&amp;" ","")&amp;IF(R82=1,R$6&amp;" ","")&amp;IF(S82=1,S$6&amp;" ","")&amp;IF(T82=1,T$6&amp;" ","")&amp;IF(U82=1,U$6&amp;" ","")&amp;IF(V82=1,V$6&amp;" ","")&amp;IF(W82=1,W$6&amp;" ","")&amp;IF(X82=1,X$6&amp;" ","")&amp;IF(Y82=1,Y$6&amp;" ","")&amp;IF(Z82=1,Z$6&amp;" ","")&amp;IF(AA82=1,AA$6&amp;" ","")&amp;IF(AB82=1,AB$6&amp;" ",""))," ",", ")</f>
        <v/>
      </c>
      <c r="E82" s="164">
        <f>IF(SUMPRODUCT($O82:$AB82*($O$6:$AB$6&lt;=6))=$C82,"Solo casas",IF(SUMPRODUCT($O82:$AB82*($O$6:$AB$6&gt;6))=$C82,"Solo apartamentos","Mixta ("&amp;SUMPRODUCT($O82:$AB82*($O$6:$AB$6&lt;=6))&amp;" casas + "&amp;SUMPRODUCT($O82:$AB82*($O$6:$AB$6&gt;6))&amp;" aptos)"))</f>
        <v/>
      </c>
      <c r="F82" s="151">
        <f>_xlfn.MINIFS($O$7:$AB$7,$O82:$AB82,1)</f>
        <v/>
      </c>
      <c r="G82" s="151">
        <f>_xlfn.MAXIFS($O$7:$AB$7,$O82:$AB82,1)</f>
        <v/>
      </c>
      <c r="H82" s="151">
        <f>SUMPRODUCT($O82:$AB82,$O$7:$AB$7)/C82</f>
        <v/>
      </c>
      <c r="I82" s="151">
        <f>_xlfn.AGGREGATE(16,6,$O$7:$AB$7/($O82:$AB82=1),0.5)</f>
        <v/>
      </c>
      <c r="J82" s="151">
        <f>SQRT((SUMPRODUCT($O82:$AB82,$O$7:$AB$7^2)-C82*H82^2)/(C82-1))</f>
        <v/>
      </c>
      <c r="K82" s="152">
        <f>J82/H82</f>
        <v/>
      </c>
      <c r="L82" s="151">
        <f>H82-J82</f>
        <v/>
      </c>
      <c r="M82" s="151">
        <f>H82+J82</f>
        <v/>
      </c>
      <c r="N82" s="150">
        <f>IF(K82&lt;=$D$4,"SÍ","NO")</f>
        <v/>
      </c>
      <c r="O82" s="153" t="n">
        <v>0</v>
      </c>
      <c r="P82" s="153" t="n">
        <v>0</v>
      </c>
      <c r="Q82" s="153" t="n">
        <v>0</v>
      </c>
      <c r="R82" s="153" t="n">
        <v>0</v>
      </c>
      <c r="S82" s="153" t="n">
        <v>0</v>
      </c>
      <c r="T82" s="153" t="n">
        <v>1</v>
      </c>
      <c r="U82" s="153" t="n">
        <v>1</v>
      </c>
      <c r="V82" s="153" t="n">
        <v>0</v>
      </c>
      <c r="W82" s="153" t="n">
        <v>0</v>
      </c>
      <c r="X82" s="153" t="n">
        <v>0</v>
      </c>
      <c r="Y82" s="153" t="n">
        <v>1</v>
      </c>
      <c r="Z82" s="153" t="n">
        <v>1</v>
      </c>
      <c r="AA82" s="153" t="n">
        <v>0</v>
      </c>
      <c r="AB82" s="153" t="n">
        <v>0</v>
      </c>
    </row>
    <row r="83">
      <c r="A83" s="164" t="inlineStr">
        <is>
          <t>Todas</t>
        </is>
      </c>
      <c r="B83" s="150" t="n">
        <v>49</v>
      </c>
      <c r="C83" s="150">
        <f>SUM($O83:$AB83)</f>
        <v/>
      </c>
      <c r="D83" s="164">
        <f>SUBSTITUTE(TRIM(IF(O83=1,O$6&amp;" ","")&amp;IF(P83=1,P$6&amp;" ","")&amp;IF(Q83=1,Q$6&amp;" ","")&amp;IF(R83=1,R$6&amp;" ","")&amp;IF(S83=1,S$6&amp;" ","")&amp;IF(T83=1,T$6&amp;" ","")&amp;IF(U83=1,U$6&amp;" ","")&amp;IF(V83=1,V$6&amp;" ","")&amp;IF(W83=1,W$6&amp;" ","")&amp;IF(X83=1,X$6&amp;" ","")&amp;IF(Y83=1,Y$6&amp;" ","")&amp;IF(Z83=1,Z$6&amp;" ","")&amp;IF(AA83=1,AA$6&amp;" ","")&amp;IF(AB83=1,AB$6&amp;" ",""))," ",", ")</f>
        <v/>
      </c>
      <c r="E83" s="164">
        <f>IF(SUMPRODUCT($O83:$AB83*($O$6:$AB$6&lt;=6))=$C83,"Solo casas",IF(SUMPRODUCT($O83:$AB83*($O$6:$AB$6&gt;6))=$C83,"Solo apartamentos","Mixta ("&amp;SUMPRODUCT($O83:$AB83*($O$6:$AB$6&lt;=6))&amp;" casas + "&amp;SUMPRODUCT($O83:$AB83*($O$6:$AB$6&gt;6))&amp;" aptos)"))</f>
        <v/>
      </c>
      <c r="F83" s="151">
        <f>_xlfn.MINIFS($O$7:$AB$7,$O83:$AB83,1)</f>
        <v/>
      </c>
      <c r="G83" s="151">
        <f>_xlfn.MAXIFS($O$7:$AB$7,$O83:$AB83,1)</f>
        <v/>
      </c>
      <c r="H83" s="151">
        <f>SUMPRODUCT($O83:$AB83,$O$7:$AB$7)/C83</f>
        <v/>
      </c>
      <c r="I83" s="151">
        <f>_xlfn.AGGREGATE(16,6,$O$7:$AB$7/($O83:$AB83=1),0.5)</f>
        <v/>
      </c>
      <c r="J83" s="151">
        <f>SQRT((SUMPRODUCT($O83:$AB83,$O$7:$AB$7^2)-C83*H83^2)/(C83-1))</f>
        <v/>
      </c>
      <c r="K83" s="152">
        <f>J83/H83</f>
        <v/>
      </c>
      <c r="L83" s="151">
        <f>H83-J83</f>
        <v/>
      </c>
      <c r="M83" s="151">
        <f>H83+J83</f>
        <v/>
      </c>
      <c r="N83" s="150">
        <f>IF(K83&lt;=$D$4,"SÍ","NO")</f>
        <v/>
      </c>
      <c r="O83" s="153" t="n">
        <v>0</v>
      </c>
      <c r="P83" s="153" t="n">
        <v>0</v>
      </c>
      <c r="Q83" s="153" t="n">
        <v>0</v>
      </c>
      <c r="R83" s="153" t="n">
        <v>0</v>
      </c>
      <c r="S83" s="153" t="n">
        <v>0</v>
      </c>
      <c r="T83" s="153" t="n">
        <v>1</v>
      </c>
      <c r="U83" s="153" t="n">
        <v>1</v>
      </c>
      <c r="V83" s="153" t="n">
        <v>1</v>
      </c>
      <c r="W83" s="153" t="n">
        <v>0</v>
      </c>
      <c r="X83" s="153" t="n">
        <v>0</v>
      </c>
      <c r="Y83" s="153" t="n">
        <v>1</v>
      </c>
      <c r="Z83" s="153" t="n">
        <v>0</v>
      </c>
      <c r="AA83" s="153" t="n">
        <v>0</v>
      </c>
      <c r="AB83" s="153" t="n">
        <v>0</v>
      </c>
    </row>
    <row r="84">
      <c r="A84" s="164" t="inlineStr">
        <is>
          <t>Todas</t>
        </is>
      </c>
      <c r="B84" s="150" t="n">
        <v>50</v>
      </c>
      <c r="C84" s="150">
        <f>SUM($O84:$AB84)</f>
        <v/>
      </c>
      <c r="D84" s="164">
        <f>SUBSTITUTE(TRIM(IF(O84=1,O$6&amp;" ","")&amp;IF(P84=1,P$6&amp;" ","")&amp;IF(Q84=1,Q$6&amp;" ","")&amp;IF(R84=1,R$6&amp;" ","")&amp;IF(S84=1,S$6&amp;" ","")&amp;IF(T84=1,T$6&amp;" ","")&amp;IF(U84=1,U$6&amp;" ","")&amp;IF(V84=1,V$6&amp;" ","")&amp;IF(W84=1,W$6&amp;" ","")&amp;IF(X84=1,X$6&amp;" ","")&amp;IF(Y84=1,Y$6&amp;" ","")&amp;IF(Z84=1,Z$6&amp;" ","")&amp;IF(AA84=1,AA$6&amp;" ","")&amp;IF(AB84=1,AB$6&amp;" ",""))," ",", ")</f>
        <v/>
      </c>
      <c r="E84" s="164">
        <f>IF(SUMPRODUCT($O84:$AB84*($O$6:$AB$6&lt;=6))=$C84,"Solo casas",IF(SUMPRODUCT($O84:$AB84*($O$6:$AB$6&gt;6))=$C84,"Solo apartamentos","Mixta ("&amp;SUMPRODUCT($O84:$AB84*($O$6:$AB$6&lt;=6))&amp;" casas + "&amp;SUMPRODUCT($O84:$AB84*($O$6:$AB$6&gt;6))&amp;" aptos)"))</f>
        <v/>
      </c>
      <c r="F84" s="151">
        <f>_xlfn.MINIFS($O$7:$AB$7,$O84:$AB84,1)</f>
        <v/>
      </c>
      <c r="G84" s="151">
        <f>_xlfn.MAXIFS($O$7:$AB$7,$O84:$AB84,1)</f>
        <v/>
      </c>
      <c r="H84" s="151">
        <f>SUMPRODUCT($O84:$AB84,$O$7:$AB$7)/C84</f>
        <v/>
      </c>
      <c r="I84" s="151">
        <f>_xlfn.AGGREGATE(16,6,$O$7:$AB$7/($O84:$AB84=1),0.5)</f>
        <v/>
      </c>
      <c r="J84" s="151">
        <f>SQRT((SUMPRODUCT($O84:$AB84,$O$7:$AB$7^2)-C84*H84^2)/(C84-1))</f>
        <v/>
      </c>
      <c r="K84" s="152">
        <f>J84/H84</f>
        <v/>
      </c>
      <c r="L84" s="151">
        <f>H84-J84</f>
        <v/>
      </c>
      <c r="M84" s="151">
        <f>H84+J84</f>
        <v/>
      </c>
      <c r="N84" s="150">
        <f>IF(K84&lt;=$D$4,"SÍ","NO")</f>
        <v/>
      </c>
      <c r="O84" s="153" t="n">
        <v>0</v>
      </c>
      <c r="P84" s="153" t="n">
        <v>0</v>
      </c>
      <c r="Q84" s="153" t="n">
        <v>0</v>
      </c>
      <c r="R84" s="153" t="n">
        <v>0</v>
      </c>
      <c r="S84" s="153" t="n">
        <v>0</v>
      </c>
      <c r="T84" s="153" t="n">
        <v>0</v>
      </c>
      <c r="U84" s="153" t="n">
        <v>1</v>
      </c>
      <c r="V84" s="153" t="n">
        <v>1</v>
      </c>
      <c r="W84" s="153" t="n">
        <v>0</v>
      </c>
      <c r="X84" s="153" t="n">
        <v>0</v>
      </c>
      <c r="Y84" s="153" t="n">
        <v>1</v>
      </c>
      <c r="Z84" s="153" t="n">
        <v>1</v>
      </c>
      <c r="AA84" s="153" t="n">
        <v>0</v>
      </c>
      <c r="AB84" s="153" t="n">
        <v>0</v>
      </c>
    </row>
    <row r="85">
      <c r="A85" s="164" t="inlineStr">
        <is>
          <t>Todas</t>
        </is>
      </c>
      <c r="B85" s="150" t="n">
        <v>51</v>
      </c>
      <c r="C85" s="150">
        <f>SUM($O85:$AB85)</f>
        <v/>
      </c>
      <c r="D85" s="164">
        <f>SUBSTITUTE(TRIM(IF(O85=1,O$6&amp;" ","")&amp;IF(P85=1,P$6&amp;" ","")&amp;IF(Q85=1,Q$6&amp;" ","")&amp;IF(R85=1,R$6&amp;" ","")&amp;IF(S85=1,S$6&amp;" ","")&amp;IF(T85=1,T$6&amp;" ","")&amp;IF(U85=1,U$6&amp;" ","")&amp;IF(V85=1,V$6&amp;" ","")&amp;IF(W85=1,W$6&amp;" ","")&amp;IF(X85=1,X$6&amp;" ","")&amp;IF(Y85=1,Y$6&amp;" ","")&amp;IF(Z85=1,Z$6&amp;" ","")&amp;IF(AA85=1,AA$6&amp;" ","")&amp;IF(AB85=1,AB$6&amp;" ",""))," ",", ")</f>
        <v/>
      </c>
      <c r="E85" s="164">
        <f>IF(SUMPRODUCT($O85:$AB85*($O$6:$AB$6&lt;=6))=$C85,"Solo casas",IF(SUMPRODUCT($O85:$AB85*($O$6:$AB$6&gt;6))=$C85,"Solo apartamentos","Mixta ("&amp;SUMPRODUCT($O85:$AB85*($O$6:$AB$6&lt;=6))&amp;" casas + "&amp;SUMPRODUCT($O85:$AB85*($O$6:$AB$6&gt;6))&amp;" aptos)"))</f>
        <v/>
      </c>
      <c r="F85" s="151">
        <f>_xlfn.MINIFS($O$7:$AB$7,$O85:$AB85,1)</f>
        <v/>
      </c>
      <c r="G85" s="151">
        <f>_xlfn.MAXIFS($O$7:$AB$7,$O85:$AB85,1)</f>
        <v/>
      </c>
      <c r="H85" s="151">
        <f>SUMPRODUCT($O85:$AB85,$O$7:$AB$7)/C85</f>
        <v/>
      </c>
      <c r="I85" s="151">
        <f>_xlfn.AGGREGATE(16,6,$O$7:$AB$7/($O85:$AB85=1),0.5)</f>
        <v/>
      </c>
      <c r="J85" s="151">
        <f>SQRT((SUMPRODUCT($O85:$AB85,$O$7:$AB$7^2)-C85*H85^2)/(C85-1))</f>
        <v/>
      </c>
      <c r="K85" s="152">
        <f>J85/H85</f>
        <v/>
      </c>
      <c r="L85" s="151">
        <f>H85-J85</f>
        <v/>
      </c>
      <c r="M85" s="151">
        <f>H85+J85</f>
        <v/>
      </c>
      <c r="N85" s="150">
        <f>IF(K85&lt;=$D$4,"SÍ","NO")</f>
        <v/>
      </c>
      <c r="O85" s="153" t="n">
        <v>0</v>
      </c>
      <c r="P85" s="153" t="n">
        <v>0</v>
      </c>
      <c r="Q85" s="153" t="n">
        <v>0</v>
      </c>
      <c r="R85" s="153" t="n">
        <v>0</v>
      </c>
      <c r="S85" s="153" t="n">
        <v>1</v>
      </c>
      <c r="T85" s="153" t="n">
        <v>1</v>
      </c>
      <c r="U85" s="153" t="n">
        <v>1</v>
      </c>
      <c r="V85" s="153" t="n">
        <v>0</v>
      </c>
      <c r="W85" s="153" t="n">
        <v>0</v>
      </c>
      <c r="X85" s="153" t="n">
        <v>0</v>
      </c>
      <c r="Y85" s="153" t="n">
        <v>1</v>
      </c>
      <c r="Z85" s="153" t="n">
        <v>0</v>
      </c>
      <c r="AA85" s="153" t="n">
        <v>0</v>
      </c>
      <c r="AB85" s="153" t="n">
        <v>0</v>
      </c>
    </row>
    <row r="86">
      <c r="A86" s="164" t="inlineStr">
        <is>
          <t>Todas</t>
        </is>
      </c>
      <c r="B86" s="150" t="n">
        <v>52</v>
      </c>
      <c r="C86" s="150">
        <f>SUM($O86:$AB86)</f>
        <v/>
      </c>
      <c r="D86" s="164">
        <f>SUBSTITUTE(TRIM(IF(O86=1,O$6&amp;" ","")&amp;IF(P86=1,P$6&amp;" ","")&amp;IF(Q86=1,Q$6&amp;" ","")&amp;IF(R86=1,R$6&amp;" ","")&amp;IF(S86=1,S$6&amp;" ","")&amp;IF(T86=1,T$6&amp;" ","")&amp;IF(U86=1,U$6&amp;" ","")&amp;IF(V86=1,V$6&amp;" ","")&amp;IF(W86=1,W$6&amp;" ","")&amp;IF(X86=1,X$6&amp;" ","")&amp;IF(Y86=1,Y$6&amp;" ","")&amp;IF(Z86=1,Z$6&amp;" ","")&amp;IF(AA86=1,AA$6&amp;" ","")&amp;IF(AB86=1,AB$6&amp;" ",""))," ",", ")</f>
        <v/>
      </c>
      <c r="E86" s="164">
        <f>IF(SUMPRODUCT($O86:$AB86*($O$6:$AB$6&lt;=6))=$C86,"Solo casas",IF(SUMPRODUCT($O86:$AB86*($O$6:$AB$6&gt;6))=$C86,"Solo apartamentos","Mixta ("&amp;SUMPRODUCT($O86:$AB86*($O$6:$AB$6&lt;=6))&amp;" casas + "&amp;SUMPRODUCT($O86:$AB86*($O$6:$AB$6&gt;6))&amp;" aptos)"))</f>
        <v/>
      </c>
      <c r="F86" s="151">
        <f>_xlfn.MINIFS($O$7:$AB$7,$O86:$AB86,1)</f>
        <v/>
      </c>
      <c r="G86" s="151">
        <f>_xlfn.MAXIFS($O$7:$AB$7,$O86:$AB86,1)</f>
        <v/>
      </c>
      <c r="H86" s="151">
        <f>SUMPRODUCT($O86:$AB86,$O$7:$AB$7)/C86</f>
        <v/>
      </c>
      <c r="I86" s="151">
        <f>_xlfn.AGGREGATE(16,6,$O$7:$AB$7/($O86:$AB86=1),0.5)</f>
        <v/>
      </c>
      <c r="J86" s="151">
        <f>SQRT((SUMPRODUCT($O86:$AB86,$O$7:$AB$7^2)-C86*H86^2)/(C86-1))</f>
        <v/>
      </c>
      <c r="K86" s="152">
        <f>J86/H86</f>
        <v/>
      </c>
      <c r="L86" s="151">
        <f>H86-J86</f>
        <v/>
      </c>
      <c r="M86" s="151">
        <f>H86+J86</f>
        <v/>
      </c>
      <c r="N86" s="150">
        <f>IF(K86&lt;=$D$4,"SÍ","NO")</f>
        <v/>
      </c>
      <c r="O86" s="153" t="n">
        <v>0</v>
      </c>
      <c r="P86" s="153" t="n">
        <v>0</v>
      </c>
      <c r="Q86" s="153" t="n">
        <v>0</v>
      </c>
      <c r="R86" s="153" t="n">
        <v>0</v>
      </c>
      <c r="S86" s="153" t="n">
        <v>1</v>
      </c>
      <c r="T86" s="153" t="n">
        <v>0</v>
      </c>
      <c r="U86" s="153" t="n">
        <v>1</v>
      </c>
      <c r="V86" s="153" t="n">
        <v>0</v>
      </c>
      <c r="W86" s="153" t="n">
        <v>0</v>
      </c>
      <c r="X86" s="153" t="n">
        <v>0</v>
      </c>
      <c r="Y86" s="153" t="n">
        <v>1</v>
      </c>
      <c r="Z86" s="153" t="n">
        <v>1</v>
      </c>
      <c r="AA86" s="153" t="n">
        <v>0</v>
      </c>
      <c r="AB86" s="153" t="n">
        <v>0</v>
      </c>
    </row>
    <row r="87">
      <c r="A87" s="164" t="inlineStr">
        <is>
          <t>Todas</t>
        </is>
      </c>
      <c r="B87" s="150" t="n">
        <v>53</v>
      </c>
      <c r="C87" s="150">
        <f>SUM($O87:$AB87)</f>
        <v/>
      </c>
      <c r="D87" s="164">
        <f>SUBSTITUTE(TRIM(IF(O87=1,O$6&amp;" ","")&amp;IF(P87=1,P$6&amp;" ","")&amp;IF(Q87=1,Q$6&amp;" ","")&amp;IF(R87=1,R$6&amp;" ","")&amp;IF(S87=1,S$6&amp;" ","")&amp;IF(T87=1,T$6&amp;" ","")&amp;IF(U87=1,U$6&amp;" ","")&amp;IF(V87=1,V$6&amp;" ","")&amp;IF(W87=1,W$6&amp;" ","")&amp;IF(X87=1,X$6&amp;" ","")&amp;IF(Y87=1,Y$6&amp;" ","")&amp;IF(Z87=1,Z$6&amp;" ","")&amp;IF(AA87=1,AA$6&amp;" ","")&amp;IF(AB87=1,AB$6&amp;" ",""))," ",", ")</f>
        <v/>
      </c>
      <c r="E87" s="164">
        <f>IF(SUMPRODUCT($O87:$AB87*($O$6:$AB$6&lt;=6))=$C87,"Solo casas",IF(SUMPRODUCT($O87:$AB87*($O$6:$AB$6&gt;6))=$C87,"Solo apartamentos","Mixta ("&amp;SUMPRODUCT($O87:$AB87*($O$6:$AB$6&lt;=6))&amp;" casas + "&amp;SUMPRODUCT($O87:$AB87*($O$6:$AB$6&gt;6))&amp;" aptos)"))</f>
        <v/>
      </c>
      <c r="F87" s="151">
        <f>_xlfn.MINIFS($O$7:$AB$7,$O87:$AB87,1)</f>
        <v/>
      </c>
      <c r="G87" s="151">
        <f>_xlfn.MAXIFS($O$7:$AB$7,$O87:$AB87,1)</f>
        <v/>
      </c>
      <c r="H87" s="151">
        <f>SUMPRODUCT($O87:$AB87,$O$7:$AB$7)/C87</f>
        <v/>
      </c>
      <c r="I87" s="151">
        <f>_xlfn.AGGREGATE(16,6,$O$7:$AB$7/($O87:$AB87=1),0.5)</f>
        <v/>
      </c>
      <c r="J87" s="151">
        <f>SQRT((SUMPRODUCT($O87:$AB87,$O$7:$AB$7^2)-C87*H87^2)/(C87-1))</f>
        <v/>
      </c>
      <c r="K87" s="152">
        <f>J87/H87</f>
        <v/>
      </c>
      <c r="L87" s="151">
        <f>H87-J87</f>
        <v/>
      </c>
      <c r="M87" s="151">
        <f>H87+J87</f>
        <v/>
      </c>
      <c r="N87" s="150">
        <f>IF(K87&lt;=$D$4,"SÍ","NO")</f>
        <v/>
      </c>
      <c r="O87" s="153" t="n">
        <v>0</v>
      </c>
      <c r="P87" s="153" t="n">
        <v>0</v>
      </c>
      <c r="Q87" s="153" t="n">
        <v>0</v>
      </c>
      <c r="R87" s="153" t="n">
        <v>0</v>
      </c>
      <c r="S87" s="153" t="n">
        <v>1</v>
      </c>
      <c r="T87" s="153" t="n">
        <v>0</v>
      </c>
      <c r="U87" s="153" t="n">
        <v>0</v>
      </c>
      <c r="V87" s="153" t="n">
        <v>1</v>
      </c>
      <c r="W87" s="153" t="n">
        <v>1</v>
      </c>
      <c r="X87" s="153" t="n">
        <v>0</v>
      </c>
      <c r="Y87" s="153" t="n">
        <v>1</v>
      </c>
      <c r="Z87" s="153" t="n">
        <v>0</v>
      </c>
      <c r="AA87" s="153" t="n">
        <v>0</v>
      </c>
      <c r="AB87" s="153" t="n">
        <v>0</v>
      </c>
    </row>
    <row r="88">
      <c r="A88" s="164" t="inlineStr">
        <is>
          <t>Todas</t>
        </is>
      </c>
      <c r="B88" s="150" t="n">
        <v>54</v>
      </c>
      <c r="C88" s="150">
        <f>SUM($O88:$AB88)</f>
        <v/>
      </c>
      <c r="D88" s="164">
        <f>SUBSTITUTE(TRIM(IF(O88=1,O$6&amp;" ","")&amp;IF(P88=1,P$6&amp;" ","")&amp;IF(Q88=1,Q$6&amp;" ","")&amp;IF(R88=1,R$6&amp;" ","")&amp;IF(S88=1,S$6&amp;" ","")&amp;IF(T88=1,T$6&amp;" ","")&amp;IF(U88=1,U$6&amp;" ","")&amp;IF(V88=1,V$6&amp;" ","")&amp;IF(W88=1,W$6&amp;" ","")&amp;IF(X88=1,X$6&amp;" ","")&amp;IF(Y88=1,Y$6&amp;" ","")&amp;IF(Z88=1,Z$6&amp;" ","")&amp;IF(AA88=1,AA$6&amp;" ","")&amp;IF(AB88=1,AB$6&amp;" ",""))," ",", ")</f>
        <v/>
      </c>
      <c r="E88" s="164">
        <f>IF(SUMPRODUCT($O88:$AB88*($O$6:$AB$6&lt;=6))=$C88,"Solo casas",IF(SUMPRODUCT($O88:$AB88*($O$6:$AB$6&gt;6))=$C88,"Solo apartamentos","Mixta ("&amp;SUMPRODUCT($O88:$AB88*($O$6:$AB$6&lt;=6))&amp;" casas + "&amp;SUMPRODUCT($O88:$AB88*($O$6:$AB$6&gt;6))&amp;" aptos)"))</f>
        <v/>
      </c>
      <c r="F88" s="151">
        <f>_xlfn.MINIFS($O$7:$AB$7,$O88:$AB88,1)</f>
        <v/>
      </c>
      <c r="G88" s="151">
        <f>_xlfn.MAXIFS($O$7:$AB$7,$O88:$AB88,1)</f>
        <v/>
      </c>
      <c r="H88" s="151">
        <f>SUMPRODUCT($O88:$AB88,$O$7:$AB$7)/C88</f>
        <v/>
      </c>
      <c r="I88" s="151">
        <f>_xlfn.AGGREGATE(16,6,$O$7:$AB$7/($O88:$AB88=1),0.5)</f>
        <v/>
      </c>
      <c r="J88" s="151">
        <f>SQRT((SUMPRODUCT($O88:$AB88,$O$7:$AB$7^2)-C88*H88^2)/(C88-1))</f>
        <v/>
      </c>
      <c r="K88" s="152">
        <f>J88/H88</f>
        <v/>
      </c>
      <c r="L88" s="151">
        <f>H88-J88</f>
        <v/>
      </c>
      <c r="M88" s="151">
        <f>H88+J88</f>
        <v/>
      </c>
      <c r="N88" s="150">
        <f>IF(K88&lt;=$D$4,"SÍ","NO")</f>
        <v/>
      </c>
      <c r="O88" s="153" t="n">
        <v>0</v>
      </c>
      <c r="P88" s="153" t="n">
        <v>0</v>
      </c>
      <c r="Q88" s="153" t="n">
        <v>0</v>
      </c>
      <c r="R88" s="153" t="n">
        <v>0</v>
      </c>
      <c r="S88" s="153" t="n">
        <v>1</v>
      </c>
      <c r="T88" s="153" t="n">
        <v>1</v>
      </c>
      <c r="U88" s="153" t="n">
        <v>0</v>
      </c>
      <c r="V88" s="153" t="n">
        <v>1</v>
      </c>
      <c r="W88" s="153" t="n">
        <v>0</v>
      </c>
      <c r="X88" s="153" t="n">
        <v>0</v>
      </c>
      <c r="Y88" s="153" t="n">
        <v>1</v>
      </c>
      <c r="Z88" s="153" t="n">
        <v>0</v>
      </c>
      <c r="AA88" s="153" t="n">
        <v>0</v>
      </c>
      <c r="AB88" s="153" t="n">
        <v>0</v>
      </c>
    </row>
    <row r="89">
      <c r="A89" s="164" t="inlineStr">
        <is>
          <t>Todas</t>
        </is>
      </c>
      <c r="B89" s="150" t="n">
        <v>55</v>
      </c>
      <c r="C89" s="150">
        <f>SUM($O89:$AB89)</f>
        <v/>
      </c>
      <c r="D89" s="164">
        <f>SUBSTITUTE(TRIM(IF(O89=1,O$6&amp;" ","")&amp;IF(P89=1,P$6&amp;" ","")&amp;IF(Q89=1,Q$6&amp;" ","")&amp;IF(R89=1,R$6&amp;" ","")&amp;IF(S89=1,S$6&amp;" ","")&amp;IF(T89=1,T$6&amp;" ","")&amp;IF(U89=1,U$6&amp;" ","")&amp;IF(V89=1,V$6&amp;" ","")&amp;IF(W89=1,W$6&amp;" ","")&amp;IF(X89=1,X$6&amp;" ","")&amp;IF(Y89=1,Y$6&amp;" ","")&amp;IF(Z89=1,Z$6&amp;" ","")&amp;IF(AA89=1,AA$6&amp;" ","")&amp;IF(AB89=1,AB$6&amp;" ",""))," ",", ")</f>
        <v/>
      </c>
      <c r="E89" s="164">
        <f>IF(SUMPRODUCT($O89:$AB89*($O$6:$AB$6&lt;=6))=$C89,"Solo casas",IF(SUMPRODUCT($O89:$AB89*($O$6:$AB$6&gt;6))=$C89,"Solo apartamentos","Mixta ("&amp;SUMPRODUCT($O89:$AB89*($O$6:$AB$6&lt;=6))&amp;" casas + "&amp;SUMPRODUCT($O89:$AB89*($O$6:$AB$6&gt;6))&amp;" aptos)"))</f>
        <v/>
      </c>
      <c r="F89" s="151">
        <f>_xlfn.MINIFS($O$7:$AB$7,$O89:$AB89,1)</f>
        <v/>
      </c>
      <c r="G89" s="151">
        <f>_xlfn.MAXIFS($O$7:$AB$7,$O89:$AB89,1)</f>
        <v/>
      </c>
      <c r="H89" s="151">
        <f>SUMPRODUCT($O89:$AB89,$O$7:$AB$7)/C89</f>
        <v/>
      </c>
      <c r="I89" s="151">
        <f>_xlfn.AGGREGATE(16,6,$O$7:$AB$7/($O89:$AB89=1),0.5)</f>
        <v/>
      </c>
      <c r="J89" s="151">
        <f>SQRT((SUMPRODUCT($O89:$AB89,$O$7:$AB$7^2)-C89*H89^2)/(C89-1))</f>
        <v/>
      </c>
      <c r="K89" s="152">
        <f>J89/H89</f>
        <v/>
      </c>
      <c r="L89" s="151">
        <f>H89-J89</f>
        <v/>
      </c>
      <c r="M89" s="151">
        <f>H89+J89</f>
        <v/>
      </c>
      <c r="N89" s="150">
        <f>IF(K89&lt;=$D$4,"SÍ","NO")</f>
        <v/>
      </c>
      <c r="O89" s="153" t="n">
        <v>0</v>
      </c>
      <c r="P89" s="153" t="n">
        <v>0</v>
      </c>
      <c r="Q89" s="153" t="n">
        <v>0</v>
      </c>
      <c r="R89" s="153" t="n">
        <v>0</v>
      </c>
      <c r="S89" s="153" t="n">
        <v>1</v>
      </c>
      <c r="T89" s="153" t="n">
        <v>0</v>
      </c>
      <c r="U89" s="153" t="n">
        <v>0</v>
      </c>
      <c r="V89" s="153" t="n">
        <v>1</v>
      </c>
      <c r="W89" s="153" t="n">
        <v>0</v>
      </c>
      <c r="X89" s="153" t="n">
        <v>0</v>
      </c>
      <c r="Y89" s="153" t="n">
        <v>1</v>
      </c>
      <c r="Z89" s="153" t="n">
        <v>1</v>
      </c>
      <c r="AA89" s="153" t="n">
        <v>0</v>
      </c>
      <c r="AB89" s="153" t="n">
        <v>0</v>
      </c>
    </row>
    <row r="90">
      <c r="A90" s="164" t="inlineStr">
        <is>
          <t>Todas</t>
        </is>
      </c>
      <c r="B90" s="150" t="n">
        <v>56</v>
      </c>
      <c r="C90" s="150">
        <f>SUM($O90:$AB90)</f>
        <v/>
      </c>
      <c r="D90" s="164">
        <f>SUBSTITUTE(TRIM(IF(O90=1,O$6&amp;" ","")&amp;IF(P90=1,P$6&amp;" ","")&amp;IF(Q90=1,Q$6&amp;" ","")&amp;IF(R90=1,R$6&amp;" ","")&amp;IF(S90=1,S$6&amp;" ","")&amp;IF(T90=1,T$6&amp;" ","")&amp;IF(U90=1,U$6&amp;" ","")&amp;IF(V90=1,V$6&amp;" ","")&amp;IF(W90=1,W$6&amp;" ","")&amp;IF(X90=1,X$6&amp;" ","")&amp;IF(Y90=1,Y$6&amp;" ","")&amp;IF(Z90=1,Z$6&amp;" ","")&amp;IF(AA90=1,AA$6&amp;" ","")&amp;IF(AB90=1,AB$6&amp;" ",""))," ",", ")</f>
        <v/>
      </c>
      <c r="E90" s="164">
        <f>IF(SUMPRODUCT($O90:$AB90*($O$6:$AB$6&lt;=6))=$C90,"Solo casas",IF(SUMPRODUCT($O90:$AB90*($O$6:$AB$6&gt;6))=$C90,"Solo apartamentos","Mixta ("&amp;SUMPRODUCT($O90:$AB90*($O$6:$AB$6&lt;=6))&amp;" casas + "&amp;SUMPRODUCT($O90:$AB90*($O$6:$AB$6&gt;6))&amp;" aptos)"))</f>
        <v/>
      </c>
      <c r="F90" s="151">
        <f>_xlfn.MINIFS($O$7:$AB$7,$O90:$AB90,1)</f>
        <v/>
      </c>
      <c r="G90" s="151">
        <f>_xlfn.MAXIFS($O$7:$AB$7,$O90:$AB90,1)</f>
        <v/>
      </c>
      <c r="H90" s="151">
        <f>SUMPRODUCT($O90:$AB90,$O$7:$AB$7)/C90</f>
        <v/>
      </c>
      <c r="I90" s="151">
        <f>_xlfn.AGGREGATE(16,6,$O$7:$AB$7/($O90:$AB90=1),0.5)</f>
        <v/>
      </c>
      <c r="J90" s="151">
        <f>SQRT((SUMPRODUCT($O90:$AB90,$O$7:$AB$7^2)-C90*H90^2)/(C90-1))</f>
        <v/>
      </c>
      <c r="K90" s="152">
        <f>J90/H90</f>
        <v/>
      </c>
      <c r="L90" s="151">
        <f>H90-J90</f>
        <v/>
      </c>
      <c r="M90" s="151">
        <f>H90+J90</f>
        <v/>
      </c>
      <c r="N90" s="150">
        <f>IF(K90&lt;=$D$4,"SÍ","NO")</f>
        <v/>
      </c>
      <c r="O90" s="153" t="n">
        <v>0</v>
      </c>
      <c r="P90" s="153" t="n">
        <v>0</v>
      </c>
      <c r="Q90" s="153" t="n">
        <v>0</v>
      </c>
      <c r="R90" s="153" t="n">
        <v>0</v>
      </c>
      <c r="S90" s="153" t="n">
        <v>0</v>
      </c>
      <c r="T90" s="153" t="n">
        <v>1</v>
      </c>
      <c r="U90" s="153" t="n">
        <v>1</v>
      </c>
      <c r="V90" s="153" t="n">
        <v>1</v>
      </c>
      <c r="W90" s="153" t="n">
        <v>0</v>
      </c>
      <c r="X90" s="153" t="n">
        <v>0</v>
      </c>
      <c r="Y90" s="153" t="n">
        <v>0</v>
      </c>
      <c r="Z90" s="153" t="n">
        <v>1</v>
      </c>
      <c r="AA90" s="153" t="n">
        <v>0</v>
      </c>
      <c r="AB90" s="153" t="n">
        <v>0</v>
      </c>
    </row>
    <row r="91">
      <c r="A91" s="164" t="inlineStr">
        <is>
          <t>Todas</t>
        </is>
      </c>
      <c r="B91" s="150" t="n">
        <v>57</v>
      </c>
      <c r="C91" s="150">
        <f>SUM($O91:$AB91)</f>
        <v/>
      </c>
      <c r="D91" s="164">
        <f>SUBSTITUTE(TRIM(IF(O91=1,O$6&amp;" ","")&amp;IF(P91=1,P$6&amp;" ","")&amp;IF(Q91=1,Q$6&amp;" ","")&amp;IF(R91=1,R$6&amp;" ","")&amp;IF(S91=1,S$6&amp;" ","")&amp;IF(T91=1,T$6&amp;" ","")&amp;IF(U91=1,U$6&amp;" ","")&amp;IF(V91=1,V$6&amp;" ","")&amp;IF(W91=1,W$6&amp;" ","")&amp;IF(X91=1,X$6&amp;" ","")&amp;IF(Y91=1,Y$6&amp;" ","")&amp;IF(Z91=1,Z$6&amp;" ","")&amp;IF(AA91=1,AA$6&amp;" ","")&amp;IF(AB91=1,AB$6&amp;" ",""))," ",", ")</f>
        <v/>
      </c>
      <c r="E91" s="164">
        <f>IF(SUMPRODUCT($O91:$AB91*($O$6:$AB$6&lt;=6))=$C91,"Solo casas",IF(SUMPRODUCT($O91:$AB91*($O$6:$AB$6&gt;6))=$C91,"Solo apartamentos","Mixta ("&amp;SUMPRODUCT($O91:$AB91*($O$6:$AB$6&lt;=6))&amp;" casas + "&amp;SUMPRODUCT($O91:$AB91*($O$6:$AB$6&gt;6))&amp;" aptos)"))</f>
        <v/>
      </c>
      <c r="F91" s="151">
        <f>_xlfn.MINIFS($O$7:$AB$7,$O91:$AB91,1)</f>
        <v/>
      </c>
      <c r="G91" s="151">
        <f>_xlfn.MAXIFS($O$7:$AB$7,$O91:$AB91,1)</f>
        <v/>
      </c>
      <c r="H91" s="151">
        <f>SUMPRODUCT($O91:$AB91,$O$7:$AB$7)/C91</f>
        <v/>
      </c>
      <c r="I91" s="151">
        <f>_xlfn.AGGREGATE(16,6,$O$7:$AB$7/($O91:$AB91=1),0.5)</f>
        <v/>
      </c>
      <c r="J91" s="151">
        <f>SQRT((SUMPRODUCT($O91:$AB91,$O$7:$AB$7^2)-C91*H91^2)/(C91-1))</f>
        <v/>
      </c>
      <c r="K91" s="152">
        <f>J91/H91</f>
        <v/>
      </c>
      <c r="L91" s="151">
        <f>H91-J91</f>
        <v/>
      </c>
      <c r="M91" s="151">
        <f>H91+J91</f>
        <v/>
      </c>
      <c r="N91" s="150">
        <f>IF(K91&lt;=$D$4,"SÍ","NO")</f>
        <v/>
      </c>
      <c r="O91" s="153" t="n">
        <v>0</v>
      </c>
      <c r="P91" s="153" t="n">
        <v>0</v>
      </c>
      <c r="Q91" s="153" t="n">
        <v>0</v>
      </c>
      <c r="R91" s="153" t="n">
        <v>0</v>
      </c>
      <c r="S91" s="153" t="n">
        <v>1</v>
      </c>
      <c r="T91" s="153" t="n">
        <v>1</v>
      </c>
      <c r="U91" s="153" t="n">
        <v>1</v>
      </c>
      <c r="V91" s="153" t="n">
        <v>0</v>
      </c>
      <c r="W91" s="153" t="n">
        <v>0</v>
      </c>
      <c r="X91" s="153" t="n">
        <v>0</v>
      </c>
      <c r="Y91" s="153" t="n">
        <v>0</v>
      </c>
      <c r="Z91" s="153" t="n">
        <v>1</v>
      </c>
      <c r="AA91" s="153" t="n">
        <v>0</v>
      </c>
      <c r="AB91" s="153" t="n">
        <v>0</v>
      </c>
    </row>
    <row r="92">
      <c r="A92" s="164" t="inlineStr">
        <is>
          <t>Todas</t>
        </is>
      </c>
      <c r="B92" s="150" t="n">
        <v>58</v>
      </c>
      <c r="C92" s="150">
        <f>SUM($O92:$AB92)</f>
        <v/>
      </c>
      <c r="D92" s="164">
        <f>SUBSTITUTE(TRIM(IF(O92=1,O$6&amp;" ","")&amp;IF(P92=1,P$6&amp;" ","")&amp;IF(Q92=1,Q$6&amp;" ","")&amp;IF(R92=1,R$6&amp;" ","")&amp;IF(S92=1,S$6&amp;" ","")&amp;IF(T92=1,T$6&amp;" ","")&amp;IF(U92=1,U$6&amp;" ","")&amp;IF(V92=1,V$6&amp;" ","")&amp;IF(W92=1,W$6&amp;" ","")&amp;IF(X92=1,X$6&amp;" ","")&amp;IF(Y92=1,Y$6&amp;" ","")&amp;IF(Z92=1,Z$6&amp;" ","")&amp;IF(AA92=1,AA$6&amp;" ","")&amp;IF(AB92=1,AB$6&amp;" ",""))," ",", ")</f>
        <v/>
      </c>
      <c r="E92" s="164">
        <f>IF(SUMPRODUCT($O92:$AB92*($O$6:$AB$6&lt;=6))=$C92,"Solo casas",IF(SUMPRODUCT($O92:$AB92*($O$6:$AB$6&gt;6))=$C92,"Solo apartamentos","Mixta ("&amp;SUMPRODUCT($O92:$AB92*($O$6:$AB$6&lt;=6))&amp;" casas + "&amp;SUMPRODUCT($O92:$AB92*($O$6:$AB$6&gt;6))&amp;" aptos)"))</f>
        <v/>
      </c>
      <c r="F92" s="151">
        <f>_xlfn.MINIFS($O$7:$AB$7,$O92:$AB92,1)</f>
        <v/>
      </c>
      <c r="G92" s="151">
        <f>_xlfn.MAXIFS($O$7:$AB$7,$O92:$AB92,1)</f>
        <v/>
      </c>
      <c r="H92" s="151">
        <f>SUMPRODUCT($O92:$AB92,$O$7:$AB$7)/C92</f>
        <v/>
      </c>
      <c r="I92" s="151">
        <f>_xlfn.AGGREGATE(16,6,$O$7:$AB$7/($O92:$AB92=1),0.5)</f>
        <v/>
      </c>
      <c r="J92" s="151">
        <f>SQRT((SUMPRODUCT($O92:$AB92,$O$7:$AB$7^2)-C92*H92^2)/(C92-1))</f>
        <v/>
      </c>
      <c r="K92" s="152">
        <f>J92/H92</f>
        <v/>
      </c>
      <c r="L92" s="151">
        <f>H92-J92</f>
        <v/>
      </c>
      <c r="M92" s="151">
        <f>H92+J92</f>
        <v/>
      </c>
      <c r="N92" s="150">
        <f>IF(K92&lt;=$D$4,"SÍ","NO")</f>
        <v/>
      </c>
      <c r="O92" s="153" t="n">
        <v>0</v>
      </c>
      <c r="P92" s="153" t="n">
        <v>0</v>
      </c>
      <c r="Q92" s="153" t="n">
        <v>0</v>
      </c>
      <c r="R92" s="153" t="n">
        <v>0</v>
      </c>
      <c r="S92" s="153" t="n">
        <v>1</v>
      </c>
      <c r="T92" s="153" t="n">
        <v>1</v>
      </c>
      <c r="U92" s="153" t="n">
        <v>1</v>
      </c>
      <c r="V92" s="153" t="n">
        <v>1</v>
      </c>
      <c r="W92" s="153" t="n">
        <v>0</v>
      </c>
      <c r="X92" s="153" t="n">
        <v>0</v>
      </c>
      <c r="Y92" s="153" t="n">
        <v>0</v>
      </c>
      <c r="Z92" s="153" t="n">
        <v>0</v>
      </c>
      <c r="AA92" s="153" t="n">
        <v>0</v>
      </c>
      <c r="AB92" s="153" t="n">
        <v>0</v>
      </c>
    </row>
    <row r="93">
      <c r="A93" s="164" t="inlineStr">
        <is>
          <t>Todas</t>
        </is>
      </c>
      <c r="B93" s="150" t="n">
        <v>59</v>
      </c>
      <c r="C93" s="150">
        <f>SUM($O93:$AB93)</f>
        <v/>
      </c>
      <c r="D93" s="164">
        <f>SUBSTITUTE(TRIM(IF(O93=1,O$6&amp;" ","")&amp;IF(P93=1,P$6&amp;" ","")&amp;IF(Q93=1,Q$6&amp;" ","")&amp;IF(R93=1,R$6&amp;" ","")&amp;IF(S93=1,S$6&amp;" ","")&amp;IF(T93=1,T$6&amp;" ","")&amp;IF(U93=1,U$6&amp;" ","")&amp;IF(V93=1,V$6&amp;" ","")&amp;IF(W93=1,W$6&amp;" ","")&amp;IF(X93=1,X$6&amp;" ","")&amp;IF(Y93=1,Y$6&amp;" ","")&amp;IF(Z93=1,Z$6&amp;" ","")&amp;IF(AA93=1,AA$6&amp;" ","")&amp;IF(AB93=1,AB$6&amp;" ",""))," ",", ")</f>
        <v/>
      </c>
      <c r="E93" s="164">
        <f>IF(SUMPRODUCT($O93:$AB93*($O$6:$AB$6&lt;=6))=$C93,"Solo casas",IF(SUMPRODUCT($O93:$AB93*($O$6:$AB$6&gt;6))=$C93,"Solo apartamentos","Mixta ("&amp;SUMPRODUCT($O93:$AB93*($O$6:$AB$6&lt;=6))&amp;" casas + "&amp;SUMPRODUCT($O93:$AB93*($O$6:$AB$6&gt;6))&amp;" aptos)"))</f>
        <v/>
      </c>
      <c r="F93" s="151">
        <f>_xlfn.MINIFS($O$7:$AB$7,$O93:$AB93,1)</f>
        <v/>
      </c>
      <c r="G93" s="151">
        <f>_xlfn.MAXIFS($O$7:$AB$7,$O93:$AB93,1)</f>
        <v/>
      </c>
      <c r="H93" s="151">
        <f>SUMPRODUCT($O93:$AB93,$O$7:$AB$7)/C93</f>
        <v/>
      </c>
      <c r="I93" s="151">
        <f>_xlfn.AGGREGATE(16,6,$O$7:$AB$7/($O93:$AB93=1),0.5)</f>
        <v/>
      </c>
      <c r="J93" s="151">
        <f>SQRT((SUMPRODUCT($O93:$AB93,$O$7:$AB$7^2)-C93*H93^2)/(C93-1))</f>
        <v/>
      </c>
      <c r="K93" s="152">
        <f>J93/H93</f>
        <v/>
      </c>
      <c r="L93" s="151">
        <f>H93-J93</f>
        <v/>
      </c>
      <c r="M93" s="151">
        <f>H93+J93</f>
        <v/>
      </c>
      <c r="N93" s="150">
        <f>IF(K93&lt;=$D$4,"SÍ","NO")</f>
        <v/>
      </c>
      <c r="O93" s="153" t="n">
        <v>0</v>
      </c>
      <c r="P93" s="153" t="n">
        <v>0</v>
      </c>
      <c r="Q93" s="153" t="n">
        <v>0</v>
      </c>
      <c r="R93" s="153" t="n">
        <v>0</v>
      </c>
      <c r="S93" s="153" t="n">
        <v>1</v>
      </c>
      <c r="T93" s="153" t="n">
        <v>0</v>
      </c>
      <c r="U93" s="153" t="n">
        <v>1</v>
      </c>
      <c r="V93" s="153" t="n">
        <v>1</v>
      </c>
      <c r="W93" s="153" t="n">
        <v>0</v>
      </c>
      <c r="X93" s="153" t="n">
        <v>0</v>
      </c>
      <c r="Y93" s="153" t="n">
        <v>0</v>
      </c>
      <c r="Z93" s="153" t="n">
        <v>1</v>
      </c>
      <c r="AA93" s="153" t="n">
        <v>0</v>
      </c>
      <c r="AB93" s="153" t="n">
        <v>0</v>
      </c>
    </row>
    <row r="94">
      <c r="A94" s="164" t="inlineStr">
        <is>
          <t>Todas</t>
        </is>
      </c>
      <c r="B94" s="150" t="n">
        <v>60</v>
      </c>
      <c r="C94" s="150">
        <f>SUM($O94:$AB94)</f>
        <v/>
      </c>
      <c r="D94" s="164">
        <f>SUBSTITUTE(TRIM(IF(O94=1,O$6&amp;" ","")&amp;IF(P94=1,P$6&amp;" ","")&amp;IF(Q94=1,Q$6&amp;" ","")&amp;IF(R94=1,R$6&amp;" ","")&amp;IF(S94=1,S$6&amp;" ","")&amp;IF(T94=1,T$6&amp;" ","")&amp;IF(U94=1,U$6&amp;" ","")&amp;IF(V94=1,V$6&amp;" ","")&amp;IF(W94=1,W$6&amp;" ","")&amp;IF(X94=1,X$6&amp;" ","")&amp;IF(Y94=1,Y$6&amp;" ","")&amp;IF(Z94=1,Z$6&amp;" ","")&amp;IF(AA94=1,AA$6&amp;" ","")&amp;IF(AB94=1,AB$6&amp;" ",""))," ",", ")</f>
        <v/>
      </c>
      <c r="E94" s="164">
        <f>IF(SUMPRODUCT($O94:$AB94*($O$6:$AB$6&lt;=6))=$C94,"Solo casas",IF(SUMPRODUCT($O94:$AB94*($O$6:$AB$6&gt;6))=$C94,"Solo apartamentos","Mixta ("&amp;SUMPRODUCT($O94:$AB94*($O$6:$AB$6&lt;=6))&amp;" casas + "&amp;SUMPRODUCT($O94:$AB94*($O$6:$AB$6&gt;6))&amp;" aptos)"))</f>
        <v/>
      </c>
      <c r="F94" s="151">
        <f>_xlfn.MINIFS($O$7:$AB$7,$O94:$AB94,1)</f>
        <v/>
      </c>
      <c r="G94" s="151">
        <f>_xlfn.MAXIFS($O$7:$AB$7,$O94:$AB94,1)</f>
        <v/>
      </c>
      <c r="H94" s="151">
        <f>SUMPRODUCT($O94:$AB94,$O$7:$AB$7)/C94</f>
        <v/>
      </c>
      <c r="I94" s="151">
        <f>_xlfn.AGGREGATE(16,6,$O$7:$AB$7/($O94:$AB94=1),0.5)</f>
        <v/>
      </c>
      <c r="J94" s="151">
        <f>SQRT((SUMPRODUCT($O94:$AB94,$O$7:$AB$7^2)-C94*H94^2)/(C94-1))</f>
        <v/>
      </c>
      <c r="K94" s="152">
        <f>J94/H94</f>
        <v/>
      </c>
      <c r="L94" s="151">
        <f>H94-J94</f>
        <v/>
      </c>
      <c r="M94" s="151">
        <f>H94+J94</f>
        <v/>
      </c>
      <c r="N94" s="150">
        <f>IF(K94&lt;=$D$4,"SÍ","NO")</f>
        <v/>
      </c>
      <c r="O94" s="153" t="n">
        <v>0</v>
      </c>
      <c r="P94" s="153" t="n">
        <v>0</v>
      </c>
      <c r="Q94" s="153" t="n">
        <v>0</v>
      </c>
      <c r="R94" s="153" t="n">
        <v>0</v>
      </c>
      <c r="S94" s="153" t="n">
        <v>0</v>
      </c>
      <c r="T94" s="153" t="n">
        <v>1</v>
      </c>
      <c r="U94" s="153" t="n">
        <v>0</v>
      </c>
      <c r="V94" s="153" t="n">
        <v>1</v>
      </c>
      <c r="W94" s="153" t="n">
        <v>0</v>
      </c>
      <c r="X94" s="153" t="n">
        <v>0</v>
      </c>
      <c r="Y94" s="153" t="n">
        <v>1</v>
      </c>
      <c r="Z94" s="153" t="n">
        <v>1</v>
      </c>
      <c r="AA94" s="153" t="n">
        <v>0</v>
      </c>
      <c r="AB94" s="153" t="n">
        <v>0</v>
      </c>
    </row>
    <row r="95">
      <c r="A95" s="164" t="inlineStr">
        <is>
          <t>Todas</t>
        </is>
      </c>
      <c r="B95" s="150" t="n">
        <v>61</v>
      </c>
      <c r="C95" s="150">
        <f>SUM($O95:$AB95)</f>
        <v/>
      </c>
      <c r="D95" s="164">
        <f>SUBSTITUTE(TRIM(IF(O95=1,O$6&amp;" ","")&amp;IF(P95=1,P$6&amp;" ","")&amp;IF(Q95=1,Q$6&amp;" ","")&amp;IF(R95=1,R$6&amp;" ","")&amp;IF(S95=1,S$6&amp;" ","")&amp;IF(T95=1,T$6&amp;" ","")&amp;IF(U95=1,U$6&amp;" ","")&amp;IF(V95=1,V$6&amp;" ","")&amp;IF(W95=1,W$6&amp;" ","")&amp;IF(X95=1,X$6&amp;" ","")&amp;IF(Y95=1,Y$6&amp;" ","")&amp;IF(Z95=1,Z$6&amp;" ","")&amp;IF(AA95=1,AA$6&amp;" ","")&amp;IF(AB95=1,AB$6&amp;" ",""))," ",", ")</f>
        <v/>
      </c>
      <c r="E95" s="164">
        <f>IF(SUMPRODUCT($O95:$AB95*($O$6:$AB$6&lt;=6))=$C95,"Solo casas",IF(SUMPRODUCT($O95:$AB95*($O$6:$AB$6&gt;6))=$C95,"Solo apartamentos","Mixta ("&amp;SUMPRODUCT($O95:$AB95*($O$6:$AB$6&lt;=6))&amp;" casas + "&amp;SUMPRODUCT($O95:$AB95*($O$6:$AB$6&gt;6))&amp;" aptos)"))</f>
        <v/>
      </c>
      <c r="F95" s="151">
        <f>_xlfn.MINIFS($O$7:$AB$7,$O95:$AB95,1)</f>
        <v/>
      </c>
      <c r="G95" s="151">
        <f>_xlfn.MAXIFS($O$7:$AB$7,$O95:$AB95,1)</f>
        <v/>
      </c>
      <c r="H95" s="151">
        <f>SUMPRODUCT($O95:$AB95,$O$7:$AB$7)/C95</f>
        <v/>
      </c>
      <c r="I95" s="151">
        <f>_xlfn.AGGREGATE(16,6,$O$7:$AB$7/($O95:$AB95=1),0.5)</f>
        <v/>
      </c>
      <c r="J95" s="151">
        <f>SQRT((SUMPRODUCT($O95:$AB95,$O$7:$AB$7^2)-C95*H95^2)/(C95-1))</f>
        <v/>
      </c>
      <c r="K95" s="152">
        <f>J95/H95</f>
        <v/>
      </c>
      <c r="L95" s="151">
        <f>H95-J95</f>
        <v/>
      </c>
      <c r="M95" s="151">
        <f>H95+J95</f>
        <v/>
      </c>
      <c r="N95" s="150">
        <f>IF(K95&lt;=$D$4,"SÍ","NO")</f>
        <v/>
      </c>
      <c r="O95" s="153" t="n">
        <v>0</v>
      </c>
      <c r="P95" s="153" t="n">
        <v>0</v>
      </c>
      <c r="Q95" s="153" t="n">
        <v>0</v>
      </c>
      <c r="R95" s="153" t="n">
        <v>0</v>
      </c>
      <c r="S95" s="153" t="n">
        <v>1</v>
      </c>
      <c r="T95" s="153" t="n">
        <v>1</v>
      </c>
      <c r="U95" s="153" t="n">
        <v>0</v>
      </c>
      <c r="V95" s="153" t="n">
        <v>0</v>
      </c>
      <c r="W95" s="153" t="n">
        <v>0</v>
      </c>
      <c r="X95" s="153" t="n">
        <v>0</v>
      </c>
      <c r="Y95" s="153" t="n">
        <v>1</v>
      </c>
      <c r="Z95" s="153" t="n">
        <v>1</v>
      </c>
      <c r="AA95" s="153" t="n">
        <v>0</v>
      </c>
      <c r="AB95" s="153" t="n">
        <v>0</v>
      </c>
    </row>
    <row r="96">
      <c r="A96" s="164" t="inlineStr">
        <is>
          <t>Todas</t>
        </is>
      </c>
      <c r="B96" s="150" t="n">
        <v>62</v>
      </c>
      <c r="C96" s="150">
        <f>SUM($O96:$AB96)</f>
        <v/>
      </c>
      <c r="D96" s="164">
        <f>SUBSTITUTE(TRIM(IF(O96=1,O$6&amp;" ","")&amp;IF(P96=1,P$6&amp;" ","")&amp;IF(Q96=1,Q$6&amp;" ","")&amp;IF(R96=1,R$6&amp;" ","")&amp;IF(S96=1,S$6&amp;" ","")&amp;IF(T96=1,T$6&amp;" ","")&amp;IF(U96=1,U$6&amp;" ","")&amp;IF(V96=1,V$6&amp;" ","")&amp;IF(W96=1,W$6&amp;" ","")&amp;IF(X96=1,X$6&amp;" ","")&amp;IF(Y96=1,Y$6&amp;" ","")&amp;IF(Z96=1,Z$6&amp;" ","")&amp;IF(AA96=1,AA$6&amp;" ","")&amp;IF(AB96=1,AB$6&amp;" ",""))," ",", ")</f>
        <v/>
      </c>
      <c r="E96" s="164">
        <f>IF(SUMPRODUCT($O96:$AB96*($O$6:$AB$6&lt;=6))=$C96,"Solo casas",IF(SUMPRODUCT($O96:$AB96*($O$6:$AB$6&gt;6))=$C96,"Solo apartamentos","Mixta ("&amp;SUMPRODUCT($O96:$AB96*($O$6:$AB$6&lt;=6))&amp;" casas + "&amp;SUMPRODUCT($O96:$AB96*($O$6:$AB$6&gt;6))&amp;" aptos)"))</f>
        <v/>
      </c>
      <c r="F96" s="151">
        <f>_xlfn.MINIFS($O$7:$AB$7,$O96:$AB96,1)</f>
        <v/>
      </c>
      <c r="G96" s="151">
        <f>_xlfn.MAXIFS($O$7:$AB$7,$O96:$AB96,1)</f>
        <v/>
      </c>
      <c r="H96" s="151">
        <f>SUMPRODUCT($O96:$AB96,$O$7:$AB$7)/C96</f>
        <v/>
      </c>
      <c r="I96" s="151">
        <f>_xlfn.AGGREGATE(16,6,$O$7:$AB$7/($O96:$AB96=1),0.5)</f>
        <v/>
      </c>
      <c r="J96" s="151">
        <f>SQRT((SUMPRODUCT($O96:$AB96,$O$7:$AB$7^2)-C96*H96^2)/(C96-1))</f>
        <v/>
      </c>
      <c r="K96" s="152">
        <f>J96/H96</f>
        <v/>
      </c>
      <c r="L96" s="151">
        <f>H96-J96</f>
        <v/>
      </c>
      <c r="M96" s="151">
        <f>H96+J96</f>
        <v/>
      </c>
      <c r="N96" s="150">
        <f>IF(K96&lt;=$D$4,"SÍ","NO")</f>
        <v/>
      </c>
      <c r="O96" s="153" t="n">
        <v>0</v>
      </c>
      <c r="P96" s="153" t="n">
        <v>0</v>
      </c>
      <c r="Q96" s="153" t="n">
        <v>0</v>
      </c>
      <c r="R96" s="153" t="n">
        <v>1</v>
      </c>
      <c r="S96" s="153" t="n">
        <v>0</v>
      </c>
      <c r="T96" s="153" t="n">
        <v>0</v>
      </c>
      <c r="U96" s="153" t="n">
        <v>0</v>
      </c>
      <c r="V96" s="153" t="n">
        <v>0</v>
      </c>
      <c r="W96" s="153" t="n">
        <v>0</v>
      </c>
      <c r="X96" s="153" t="n">
        <v>1</v>
      </c>
      <c r="Y96" s="153" t="n">
        <v>0</v>
      </c>
      <c r="Z96" s="153" t="n">
        <v>0</v>
      </c>
      <c r="AA96" s="153" t="n">
        <v>1</v>
      </c>
      <c r="AB96" s="153" t="n">
        <v>1</v>
      </c>
    </row>
    <row r="97">
      <c r="A97" s="164" t="inlineStr">
        <is>
          <t>Todas</t>
        </is>
      </c>
      <c r="B97" s="150" t="n">
        <v>63</v>
      </c>
      <c r="C97" s="150">
        <f>SUM($O97:$AB97)</f>
        <v/>
      </c>
      <c r="D97" s="164">
        <f>SUBSTITUTE(TRIM(IF(O97=1,O$6&amp;" ","")&amp;IF(P97=1,P$6&amp;" ","")&amp;IF(Q97=1,Q$6&amp;" ","")&amp;IF(R97=1,R$6&amp;" ","")&amp;IF(S97=1,S$6&amp;" ","")&amp;IF(T97=1,T$6&amp;" ","")&amp;IF(U97=1,U$6&amp;" ","")&amp;IF(V97=1,V$6&amp;" ","")&amp;IF(W97=1,W$6&amp;" ","")&amp;IF(X97=1,X$6&amp;" ","")&amp;IF(Y97=1,Y$6&amp;" ","")&amp;IF(Z97=1,Z$6&amp;" ","")&amp;IF(AA97=1,AA$6&amp;" ","")&amp;IF(AB97=1,AB$6&amp;" ",""))," ",", ")</f>
        <v/>
      </c>
      <c r="E97" s="164">
        <f>IF(SUMPRODUCT($O97:$AB97*($O$6:$AB$6&lt;=6))=$C97,"Solo casas",IF(SUMPRODUCT($O97:$AB97*($O$6:$AB$6&gt;6))=$C97,"Solo apartamentos","Mixta ("&amp;SUMPRODUCT($O97:$AB97*($O$6:$AB$6&lt;=6))&amp;" casas + "&amp;SUMPRODUCT($O97:$AB97*($O$6:$AB$6&gt;6))&amp;" aptos)"))</f>
        <v/>
      </c>
      <c r="F97" s="151">
        <f>_xlfn.MINIFS($O$7:$AB$7,$O97:$AB97,1)</f>
        <v/>
      </c>
      <c r="G97" s="151">
        <f>_xlfn.MAXIFS($O$7:$AB$7,$O97:$AB97,1)</f>
        <v/>
      </c>
      <c r="H97" s="151">
        <f>SUMPRODUCT($O97:$AB97,$O$7:$AB$7)/C97</f>
        <v/>
      </c>
      <c r="I97" s="151">
        <f>_xlfn.AGGREGATE(16,6,$O$7:$AB$7/($O97:$AB97=1),0.5)</f>
        <v/>
      </c>
      <c r="J97" s="151">
        <f>SQRT((SUMPRODUCT($O97:$AB97,$O$7:$AB$7^2)-C97*H97^2)/(C97-1))</f>
        <v/>
      </c>
      <c r="K97" s="152">
        <f>J97/H97</f>
        <v/>
      </c>
      <c r="L97" s="151">
        <f>H97-J97</f>
        <v/>
      </c>
      <c r="M97" s="151">
        <f>H97+J97</f>
        <v/>
      </c>
      <c r="N97" s="150">
        <f>IF(K97&lt;=$D$4,"SÍ","NO")</f>
        <v/>
      </c>
      <c r="O97" s="153" t="n">
        <v>0</v>
      </c>
      <c r="P97" s="153" t="n">
        <v>0</v>
      </c>
      <c r="Q97" s="153" t="n">
        <v>0</v>
      </c>
      <c r="R97" s="153" t="n">
        <v>0</v>
      </c>
      <c r="S97" s="153" t="n">
        <v>1</v>
      </c>
      <c r="T97" s="153" t="n">
        <v>0</v>
      </c>
      <c r="U97" s="153" t="n">
        <v>0</v>
      </c>
      <c r="V97" s="153" t="n">
        <v>1</v>
      </c>
      <c r="W97" s="153" t="n">
        <v>1</v>
      </c>
      <c r="X97" s="153" t="n">
        <v>0</v>
      </c>
      <c r="Y97" s="153" t="n">
        <v>0</v>
      </c>
      <c r="Z97" s="153" t="n">
        <v>0</v>
      </c>
      <c r="AA97" s="153" t="n">
        <v>0</v>
      </c>
      <c r="AB97" s="153" t="n">
        <v>1</v>
      </c>
    </row>
    <row r="98">
      <c r="A98" s="164" t="inlineStr">
        <is>
          <t>Todas</t>
        </is>
      </c>
      <c r="B98" s="150" t="n">
        <v>64</v>
      </c>
      <c r="C98" s="150">
        <f>SUM($O98:$AB98)</f>
        <v/>
      </c>
      <c r="D98" s="164">
        <f>SUBSTITUTE(TRIM(IF(O98=1,O$6&amp;" ","")&amp;IF(P98=1,P$6&amp;" ","")&amp;IF(Q98=1,Q$6&amp;" ","")&amp;IF(R98=1,R$6&amp;" ","")&amp;IF(S98=1,S$6&amp;" ","")&amp;IF(T98=1,T$6&amp;" ","")&amp;IF(U98=1,U$6&amp;" ","")&amp;IF(V98=1,V$6&amp;" ","")&amp;IF(W98=1,W$6&amp;" ","")&amp;IF(X98=1,X$6&amp;" ","")&amp;IF(Y98=1,Y$6&amp;" ","")&amp;IF(Z98=1,Z$6&amp;" ","")&amp;IF(AA98=1,AA$6&amp;" ","")&amp;IF(AB98=1,AB$6&amp;" ",""))," ",", ")</f>
        <v/>
      </c>
      <c r="E98" s="164">
        <f>IF(SUMPRODUCT($O98:$AB98*($O$6:$AB$6&lt;=6))=$C98,"Solo casas",IF(SUMPRODUCT($O98:$AB98*($O$6:$AB$6&gt;6))=$C98,"Solo apartamentos","Mixta ("&amp;SUMPRODUCT($O98:$AB98*($O$6:$AB$6&lt;=6))&amp;" casas + "&amp;SUMPRODUCT($O98:$AB98*($O$6:$AB$6&gt;6))&amp;" aptos)"))</f>
        <v/>
      </c>
      <c r="F98" s="151">
        <f>_xlfn.MINIFS($O$7:$AB$7,$O98:$AB98,1)</f>
        <v/>
      </c>
      <c r="G98" s="151">
        <f>_xlfn.MAXIFS($O$7:$AB$7,$O98:$AB98,1)</f>
        <v/>
      </c>
      <c r="H98" s="151">
        <f>SUMPRODUCT($O98:$AB98,$O$7:$AB$7)/C98</f>
        <v/>
      </c>
      <c r="I98" s="151">
        <f>_xlfn.AGGREGATE(16,6,$O$7:$AB$7/($O98:$AB98=1),0.5)</f>
        <v/>
      </c>
      <c r="J98" s="151">
        <f>SQRT((SUMPRODUCT($O98:$AB98,$O$7:$AB$7^2)-C98*H98^2)/(C98-1))</f>
        <v/>
      </c>
      <c r="K98" s="152">
        <f>J98/H98</f>
        <v/>
      </c>
      <c r="L98" s="151">
        <f>H98-J98</f>
        <v/>
      </c>
      <c r="M98" s="151">
        <f>H98+J98</f>
        <v/>
      </c>
      <c r="N98" s="150">
        <f>IF(K98&lt;=$D$4,"SÍ","NO")</f>
        <v/>
      </c>
      <c r="O98" s="153" t="n">
        <v>0</v>
      </c>
      <c r="P98" s="153" t="n">
        <v>0</v>
      </c>
      <c r="Q98" s="153" t="n">
        <v>0</v>
      </c>
      <c r="R98" s="153" t="n">
        <v>0</v>
      </c>
      <c r="S98" s="153" t="n">
        <v>1</v>
      </c>
      <c r="T98" s="153" t="n">
        <v>0</v>
      </c>
      <c r="U98" s="153" t="n">
        <v>1</v>
      </c>
      <c r="V98" s="153" t="n">
        <v>1</v>
      </c>
      <c r="W98" s="153" t="n">
        <v>1</v>
      </c>
      <c r="X98" s="153" t="n">
        <v>0</v>
      </c>
      <c r="Y98" s="153" t="n">
        <v>0</v>
      </c>
      <c r="Z98" s="153" t="n">
        <v>0</v>
      </c>
      <c r="AA98" s="153" t="n">
        <v>0</v>
      </c>
      <c r="AB98" s="153" t="n">
        <v>0</v>
      </c>
    </row>
    <row r="99">
      <c r="A99" s="164" t="inlineStr">
        <is>
          <t>Todas</t>
        </is>
      </c>
      <c r="B99" s="150" t="n">
        <v>65</v>
      </c>
      <c r="C99" s="150">
        <f>SUM($O99:$AB99)</f>
        <v/>
      </c>
      <c r="D99" s="164">
        <f>SUBSTITUTE(TRIM(IF(O99=1,O$6&amp;" ","")&amp;IF(P99=1,P$6&amp;" ","")&amp;IF(Q99=1,Q$6&amp;" ","")&amp;IF(R99=1,R$6&amp;" ","")&amp;IF(S99=1,S$6&amp;" ","")&amp;IF(T99=1,T$6&amp;" ","")&amp;IF(U99=1,U$6&amp;" ","")&amp;IF(V99=1,V$6&amp;" ","")&amp;IF(W99=1,W$6&amp;" ","")&amp;IF(X99=1,X$6&amp;" ","")&amp;IF(Y99=1,Y$6&amp;" ","")&amp;IF(Z99=1,Z$6&amp;" ","")&amp;IF(AA99=1,AA$6&amp;" ","")&amp;IF(AB99=1,AB$6&amp;" ",""))," ",", ")</f>
        <v/>
      </c>
      <c r="E99" s="164">
        <f>IF(SUMPRODUCT($O99:$AB99*($O$6:$AB$6&lt;=6))=$C99,"Solo casas",IF(SUMPRODUCT($O99:$AB99*($O$6:$AB$6&gt;6))=$C99,"Solo apartamentos","Mixta ("&amp;SUMPRODUCT($O99:$AB99*($O$6:$AB$6&lt;=6))&amp;" casas + "&amp;SUMPRODUCT($O99:$AB99*($O$6:$AB$6&gt;6))&amp;" aptos)"))</f>
        <v/>
      </c>
      <c r="F99" s="151">
        <f>_xlfn.MINIFS($O$7:$AB$7,$O99:$AB99,1)</f>
        <v/>
      </c>
      <c r="G99" s="151">
        <f>_xlfn.MAXIFS($O$7:$AB$7,$O99:$AB99,1)</f>
        <v/>
      </c>
      <c r="H99" s="151">
        <f>SUMPRODUCT($O99:$AB99,$O$7:$AB$7)/C99</f>
        <v/>
      </c>
      <c r="I99" s="151">
        <f>_xlfn.AGGREGATE(16,6,$O$7:$AB$7/($O99:$AB99=1),0.5)</f>
        <v/>
      </c>
      <c r="J99" s="151">
        <f>SQRT((SUMPRODUCT($O99:$AB99,$O$7:$AB$7^2)-C99*H99^2)/(C99-1))</f>
        <v/>
      </c>
      <c r="K99" s="152">
        <f>J99/H99</f>
        <v/>
      </c>
      <c r="L99" s="151">
        <f>H99-J99</f>
        <v/>
      </c>
      <c r="M99" s="151">
        <f>H99+J99</f>
        <v/>
      </c>
      <c r="N99" s="150">
        <f>IF(K99&lt;=$D$4,"SÍ","NO")</f>
        <v/>
      </c>
      <c r="O99" s="153" t="n">
        <v>0</v>
      </c>
      <c r="P99" s="153" t="n">
        <v>0</v>
      </c>
      <c r="Q99" s="153" t="n">
        <v>0</v>
      </c>
      <c r="R99" s="153" t="n">
        <v>0</v>
      </c>
      <c r="S99" s="153" t="n">
        <v>1</v>
      </c>
      <c r="T99" s="153" t="n">
        <v>1</v>
      </c>
      <c r="U99" s="153" t="n">
        <v>0</v>
      </c>
      <c r="V99" s="153" t="n">
        <v>1</v>
      </c>
      <c r="W99" s="153" t="n">
        <v>0</v>
      </c>
      <c r="X99" s="153" t="n">
        <v>0</v>
      </c>
      <c r="Y99" s="153" t="n">
        <v>0</v>
      </c>
      <c r="Z99" s="153" t="n">
        <v>1</v>
      </c>
      <c r="AA99" s="153" t="n">
        <v>0</v>
      </c>
      <c r="AB99" s="153" t="n">
        <v>0</v>
      </c>
    </row>
    <row r="100">
      <c r="A100" s="164" t="inlineStr">
        <is>
          <t>Todas</t>
        </is>
      </c>
      <c r="B100" s="150" t="n">
        <v>66</v>
      </c>
      <c r="C100" s="150">
        <f>SUM($O100:$AB100)</f>
        <v/>
      </c>
      <c r="D100" s="164">
        <f>SUBSTITUTE(TRIM(IF(O100=1,O$6&amp;" ","")&amp;IF(P100=1,P$6&amp;" ","")&amp;IF(Q100=1,Q$6&amp;" ","")&amp;IF(R100=1,R$6&amp;" ","")&amp;IF(S100=1,S$6&amp;" ","")&amp;IF(T100=1,T$6&amp;" ","")&amp;IF(U100=1,U$6&amp;" ","")&amp;IF(V100=1,V$6&amp;" ","")&amp;IF(W100=1,W$6&amp;" ","")&amp;IF(X100=1,X$6&amp;" ","")&amp;IF(Y100=1,Y$6&amp;" ","")&amp;IF(Z100=1,Z$6&amp;" ","")&amp;IF(AA100=1,AA$6&amp;" ","")&amp;IF(AB100=1,AB$6&amp;" ",""))," ",", ")</f>
        <v/>
      </c>
      <c r="E100" s="164">
        <f>IF(SUMPRODUCT($O100:$AB100*($O$6:$AB$6&lt;=6))=$C100,"Solo casas",IF(SUMPRODUCT($O100:$AB100*($O$6:$AB$6&gt;6))=$C100,"Solo apartamentos","Mixta ("&amp;SUMPRODUCT($O100:$AB100*($O$6:$AB$6&lt;=6))&amp;" casas + "&amp;SUMPRODUCT($O100:$AB100*($O$6:$AB$6&gt;6))&amp;" aptos)"))</f>
        <v/>
      </c>
      <c r="F100" s="151">
        <f>_xlfn.MINIFS($O$7:$AB$7,$O100:$AB100,1)</f>
        <v/>
      </c>
      <c r="G100" s="151">
        <f>_xlfn.MAXIFS($O$7:$AB$7,$O100:$AB100,1)</f>
        <v/>
      </c>
      <c r="H100" s="151">
        <f>SUMPRODUCT($O100:$AB100,$O$7:$AB$7)/C100</f>
        <v/>
      </c>
      <c r="I100" s="151">
        <f>_xlfn.AGGREGATE(16,6,$O$7:$AB$7/($O100:$AB100=1),0.5)</f>
        <v/>
      </c>
      <c r="J100" s="151">
        <f>SQRT((SUMPRODUCT($O100:$AB100,$O$7:$AB$7^2)-C100*H100^2)/(C100-1))</f>
        <v/>
      </c>
      <c r="K100" s="152">
        <f>J100/H100</f>
        <v/>
      </c>
      <c r="L100" s="151">
        <f>H100-J100</f>
        <v/>
      </c>
      <c r="M100" s="151">
        <f>H100+J100</f>
        <v/>
      </c>
      <c r="N100" s="150">
        <f>IF(K100&lt;=$D$4,"SÍ","NO")</f>
        <v/>
      </c>
      <c r="O100" s="153" t="n">
        <v>0</v>
      </c>
      <c r="P100" s="153" t="n">
        <v>0</v>
      </c>
      <c r="Q100" s="153" t="n">
        <v>0</v>
      </c>
      <c r="R100" s="153" t="n">
        <v>0</v>
      </c>
      <c r="S100" s="153" t="n">
        <v>0</v>
      </c>
      <c r="T100" s="153" t="n">
        <v>0</v>
      </c>
      <c r="U100" s="153" t="n">
        <v>1</v>
      </c>
      <c r="V100" s="153" t="n">
        <v>1</v>
      </c>
      <c r="W100" s="153" t="n">
        <v>1</v>
      </c>
      <c r="X100" s="153" t="n">
        <v>0</v>
      </c>
      <c r="Y100" s="153" t="n">
        <v>1</v>
      </c>
      <c r="Z100" s="153" t="n">
        <v>0</v>
      </c>
      <c r="AA100" s="153" t="n">
        <v>0</v>
      </c>
      <c r="AB100" s="153" t="n">
        <v>0</v>
      </c>
    </row>
    <row r="101">
      <c r="A101" s="164" t="inlineStr">
        <is>
          <t>Todas</t>
        </is>
      </c>
      <c r="B101" s="150" t="n">
        <v>67</v>
      </c>
      <c r="C101" s="150">
        <f>SUM($O101:$AB101)</f>
        <v/>
      </c>
      <c r="D101" s="164">
        <f>SUBSTITUTE(TRIM(IF(O101=1,O$6&amp;" ","")&amp;IF(P101=1,P$6&amp;" ","")&amp;IF(Q101=1,Q$6&amp;" ","")&amp;IF(R101=1,R$6&amp;" ","")&amp;IF(S101=1,S$6&amp;" ","")&amp;IF(T101=1,T$6&amp;" ","")&amp;IF(U101=1,U$6&amp;" ","")&amp;IF(V101=1,V$6&amp;" ","")&amp;IF(W101=1,W$6&amp;" ","")&amp;IF(X101=1,X$6&amp;" ","")&amp;IF(Y101=1,Y$6&amp;" ","")&amp;IF(Z101=1,Z$6&amp;" ","")&amp;IF(AA101=1,AA$6&amp;" ","")&amp;IF(AB101=1,AB$6&amp;" ",""))," ",", ")</f>
        <v/>
      </c>
      <c r="E101" s="164">
        <f>IF(SUMPRODUCT($O101:$AB101*($O$6:$AB$6&lt;=6))=$C101,"Solo casas",IF(SUMPRODUCT($O101:$AB101*($O$6:$AB$6&gt;6))=$C101,"Solo apartamentos","Mixta ("&amp;SUMPRODUCT($O101:$AB101*($O$6:$AB$6&lt;=6))&amp;" casas + "&amp;SUMPRODUCT($O101:$AB101*($O$6:$AB$6&gt;6))&amp;" aptos)"))</f>
        <v/>
      </c>
      <c r="F101" s="151">
        <f>_xlfn.MINIFS($O$7:$AB$7,$O101:$AB101,1)</f>
        <v/>
      </c>
      <c r="G101" s="151">
        <f>_xlfn.MAXIFS($O$7:$AB$7,$O101:$AB101,1)</f>
        <v/>
      </c>
      <c r="H101" s="151">
        <f>SUMPRODUCT($O101:$AB101,$O$7:$AB$7)/C101</f>
        <v/>
      </c>
      <c r="I101" s="151">
        <f>_xlfn.AGGREGATE(16,6,$O$7:$AB$7/($O101:$AB101=1),0.5)</f>
        <v/>
      </c>
      <c r="J101" s="151">
        <f>SQRT((SUMPRODUCT($O101:$AB101,$O$7:$AB$7^2)-C101*H101^2)/(C101-1))</f>
        <v/>
      </c>
      <c r="K101" s="152">
        <f>J101/H101</f>
        <v/>
      </c>
      <c r="L101" s="151">
        <f>H101-J101</f>
        <v/>
      </c>
      <c r="M101" s="151">
        <f>H101+J101</f>
        <v/>
      </c>
      <c r="N101" s="150">
        <f>IF(K101&lt;=$D$4,"SÍ","NO")</f>
        <v/>
      </c>
      <c r="O101" s="153" t="n">
        <v>0</v>
      </c>
      <c r="P101" s="153" t="n">
        <v>0</v>
      </c>
      <c r="Q101" s="153" t="n">
        <v>0</v>
      </c>
      <c r="R101" s="153" t="n">
        <v>0</v>
      </c>
      <c r="S101" s="153" t="n">
        <v>1</v>
      </c>
      <c r="T101" s="153" t="n">
        <v>0</v>
      </c>
      <c r="U101" s="153" t="n">
        <v>1</v>
      </c>
      <c r="V101" s="153" t="n">
        <v>0</v>
      </c>
      <c r="W101" s="153" t="n">
        <v>1</v>
      </c>
      <c r="X101" s="153" t="n">
        <v>0</v>
      </c>
      <c r="Y101" s="153" t="n">
        <v>1</v>
      </c>
      <c r="Z101" s="153" t="n">
        <v>0</v>
      </c>
      <c r="AA101" s="153" t="n">
        <v>0</v>
      </c>
      <c r="AB101" s="153" t="n">
        <v>0</v>
      </c>
    </row>
    <row r="102">
      <c r="A102" s="164" t="inlineStr">
        <is>
          <t>Todas</t>
        </is>
      </c>
      <c r="B102" s="150" t="n">
        <v>68</v>
      </c>
      <c r="C102" s="150">
        <f>SUM($O102:$AB102)</f>
        <v/>
      </c>
      <c r="D102" s="164">
        <f>SUBSTITUTE(TRIM(IF(O102=1,O$6&amp;" ","")&amp;IF(P102=1,P$6&amp;" ","")&amp;IF(Q102=1,Q$6&amp;" ","")&amp;IF(R102=1,R$6&amp;" ","")&amp;IF(S102=1,S$6&amp;" ","")&amp;IF(T102=1,T$6&amp;" ","")&amp;IF(U102=1,U$6&amp;" ","")&amp;IF(V102=1,V$6&amp;" ","")&amp;IF(W102=1,W$6&amp;" ","")&amp;IF(X102=1,X$6&amp;" ","")&amp;IF(Y102=1,Y$6&amp;" ","")&amp;IF(Z102=1,Z$6&amp;" ","")&amp;IF(AA102=1,AA$6&amp;" ","")&amp;IF(AB102=1,AB$6&amp;" ",""))," ",", ")</f>
        <v/>
      </c>
      <c r="E102" s="164">
        <f>IF(SUMPRODUCT($O102:$AB102*($O$6:$AB$6&lt;=6))=$C102,"Solo casas",IF(SUMPRODUCT($O102:$AB102*($O$6:$AB$6&gt;6))=$C102,"Solo apartamentos","Mixta ("&amp;SUMPRODUCT($O102:$AB102*($O$6:$AB$6&lt;=6))&amp;" casas + "&amp;SUMPRODUCT($O102:$AB102*($O$6:$AB$6&gt;6))&amp;" aptos)"))</f>
        <v/>
      </c>
      <c r="F102" s="151">
        <f>_xlfn.MINIFS($O$7:$AB$7,$O102:$AB102,1)</f>
        <v/>
      </c>
      <c r="G102" s="151">
        <f>_xlfn.MAXIFS($O$7:$AB$7,$O102:$AB102,1)</f>
        <v/>
      </c>
      <c r="H102" s="151">
        <f>SUMPRODUCT($O102:$AB102,$O$7:$AB$7)/C102</f>
        <v/>
      </c>
      <c r="I102" s="151">
        <f>_xlfn.AGGREGATE(16,6,$O$7:$AB$7/($O102:$AB102=1),0.5)</f>
        <v/>
      </c>
      <c r="J102" s="151">
        <f>SQRT((SUMPRODUCT($O102:$AB102,$O$7:$AB$7^2)-C102*H102^2)/(C102-1))</f>
        <v/>
      </c>
      <c r="K102" s="152">
        <f>J102/H102</f>
        <v/>
      </c>
      <c r="L102" s="151">
        <f>H102-J102</f>
        <v/>
      </c>
      <c r="M102" s="151">
        <f>H102+J102</f>
        <v/>
      </c>
      <c r="N102" s="150">
        <f>IF(K102&lt;=$D$4,"SÍ","NO")</f>
        <v/>
      </c>
      <c r="O102" s="153" t="n">
        <v>0</v>
      </c>
      <c r="P102" s="153" t="n">
        <v>0</v>
      </c>
      <c r="Q102" s="153" t="n">
        <v>0</v>
      </c>
      <c r="R102" s="153" t="n">
        <v>0</v>
      </c>
      <c r="S102" s="153" t="n">
        <v>1</v>
      </c>
      <c r="T102" s="153" t="n">
        <v>0</v>
      </c>
      <c r="U102" s="153" t="n">
        <v>0</v>
      </c>
      <c r="V102" s="153" t="n">
        <v>1</v>
      </c>
      <c r="W102" s="153" t="n">
        <v>0</v>
      </c>
      <c r="X102" s="153" t="n">
        <v>0</v>
      </c>
      <c r="Y102" s="153" t="n">
        <v>1</v>
      </c>
      <c r="Z102" s="153" t="n">
        <v>0</v>
      </c>
      <c r="AA102" s="153" t="n">
        <v>0</v>
      </c>
      <c r="AB102" s="153" t="n">
        <v>1</v>
      </c>
    </row>
    <row r="103">
      <c r="A103" s="164" t="inlineStr">
        <is>
          <t>Todas</t>
        </is>
      </c>
      <c r="B103" s="150" t="n">
        <v>69</v>
      </c>
      <c r="C103" s="150">
        <f>SUM($O103:$AB103)</f>
        <v/>
      </c>
      <c r="D103" s="164">
        <f>SUBSTITUTE(TRIM(IF(O103=1,O$6&amp;" ","")&amp;IF(P103=1,P$6&amp;" ","")&amp;IF(Q103=1,Q$6&amp;" ","")&amp;IF(R103=1,R$6&amp;" ","")&amp;IF(S103=1,S$6&amp;" ","")&amp;IF(T103=1,T$6&amp;" ","")&amp;IF(U103=1,U$6&amp;" ","")&amp;IF(V103=1,V$6&amp;" ","")&amp;IF(W103=1,W$6&amp;" ","")&amp;IF(X103=1,X$6&amp;" ","")&amp;IF(Y103=1,Y$6&amp;" ","")&amp;IF(Z103=1,Z$6&amp;" ","")&amp;IF(AA103=1,AA$6&amp;" ","")&amp;IF(AB103=1,AB$6&amp;" ",""))," ",", ")</f>
        <v/>
      </c>
      <c r="E103" s="164">
        <f>IF(SUMPRODUCT($O103:$AB103*($O$6:$AB$6&lt;=6))=$C103,"Solo casas",IF(SUMPRODUCT($O103:$AB103*($O$6:$AB$6&gt;6))=$C103,"Solo apartamentos","Mixta ("&amp;SUMPRODUCT($O103:$AB103*($O$6:$AB$6&lt;=6))&amp;" casas + "&amp;SUMPRODUCT($O103:$AB103*($O$6:$AB$6&gt;6))&amp;" aptos)"))</f>
        <v/>
      </c>
      <c r="F103" s="151">
        <f>_xlfn.MINIFS($O$7:$AB$7,$O103:$AB103,1)</f>
        <v/>
      </c>
      <c r="G103" s="151">
        <f>_xlfn.MAXIFS($O$7:$AB$7,$O103:$AB103,1)</f>
        <v/>
      </c>
      <c r="H103" s="151">
        <f>SUMPRODUCT($O103:$AB103,$O$7:$AB$7)/C103</f>
        <v/>
      </c>
      <c r="I103" s="151">
        <f>_xlfn.AGGREGATE(16,6,$O$7:$AB$7/($O103:$AB103=1),0.5)</f>
        <v/>
      </c>
      <c r="J103" s="151">
        <f>SQRT((SUMPRODUCT($O103:$AB103,$O$7:$AB$7^2)-C103*H103^2)/(C103-1))</f>
        <v/>
      </c>
      <c r="K103" s="152">
        <f>J103/H103</f>
        <v/>
      </c>
      <c r="L103" s="151">
        <f>H103-J103</f>
        <v/>
      </c>
      <c r="M103" s="151">
        <f>H103+J103</f>
        <v/>
      </c>
      <c r="N103" s="150">
        <f>IF(K103&lt;=$D$4,"SÍ","NO")</f>
        <v/>
      </c>
      <c r="O103" s="153" t="n">
        <v>0</v>
      </c>
      <c r="P103" s="153" t="n">
        <v>0</v>
      </c>
      <c r="Q103" s="153" t="n">
        <v>0</v>
      </c>
      <c r="R103" s="153" t="n">
        <v>0</v>
      </c>
      <c r="S103" s="153" t="n">
        <v>1</v>
      </c>
      <c r="T103" s="153" t="n">
        <v>0</v>
      </c>
      <c r="U103" s="153" t="n">
        <v>0</v>
      </c>
      <c r="V103" s="153" t="n">
        <v>0</v>
      </c>
      <c r="W103" s="153" t="n">
        <v>1</v>
      </c>
      <c r="X103" s="153" t="n">
        <v>0</v>
      </c>
      <c r="Y103" s="153" t="n">
        <v>1</v>
      </c>
      <c r="Z103" s="153" t="n">
        <v>0</v>
      </c>
      <c r="AA103" s="153" t="n">
        <v>0</v>
      </c>
      <c r="AB103" s="153" t="n">
        <v>1</v>
      </c>
    </row>
    <row r="104">
      <c r="A104" s="164" t="inlineStr">
        <is>
          <t>Todas</t>
        </is>
      </c>
      <c r="B104" s="150" t="n">
        <v>70</v>
      </c>
      <c r="C104" s="150">
        <f>SUM($O104:$AB104)</f>
        <v/>
      </c>
      <c r="D104" s="164">
        <f>SUBSTITUTE(TRIM(IF(O104=1,O$6&amp;" ","")&amp;IF(P104=1,P$6&amp;" ","")&amp;IF(Q104=1,Q$6&amp;" ","")&amp;IF(R104=1,R$6&amp;" ","")&amp;IF(S104=1,S$6&amp;" ","")&amp;IF(T104=1,T$6&amp;" ","")&amp;IF(U104=1,U$6&amp;" ","")&amp;IF(V104=1,V$6&amp;" ","")&amp;IF(W104=1,W$6&amp;" ","")&amp;IF(X104=1,X$6&amp;" ","")&amp;IF(Y104=1,Y$6&amp;" ","")&amp;IF(Z104=1,Z$6&amp;" ","")&amp;IF(AA104=1,AA$6&amp;" ","")&amp;IF(AB104=1,AB$6&amp;" ",""))," ",", ")</f>
        <v/>
      </c>
      <c r="E104" s="164">
        <f>IF(SUMPRODUCT($O104:$AB104*($O$6:$AB$6&lt;=6))=$C104,"Solo casas",IF(SUMPRODUCT($O104:$AB104*($O$6:$AB$6&gt;6))=$C104,"Solo apartamentos","Mixta ("&amp;SUMPRODUCT($O104:$AB104*($O$6:$AB$6&lt;=6))&amp;" casas + "&amp;SUMPRODUCT($O104:$AB104*($O$6:$AB$6&gt;6))&amp;" aptos)"))</f>
        <v/>
      </c>
      <c r="F104" s="151">
        <f>_xlfn.MINIFS($O$7:$AB$7,$O104:$AB104,1)</f>
        <v/>
      </c>
      <c r="G104" s="151">
        <f>_xlfn.MAXIFS($O$7:$AB$7,$O104:$AB104,1)</f>
        <v/>
      </c>
      <c r="H104" s="151">
        <f>SUMPRODUCT($O104:$AB104,$O$7:$AB$7)/C104</f>
        <v/>
      </c>
      <c r="I104" s="151">
        <f>_xlfn.AGGREGATE(16,6,$O$7:$AB$7/($O104:$AB104=1),0.5)</f>
        <v/>
      </c>
      <c r="J104" s="151">
        <f>SQRT((SUMPRODUCT($O104:$AB104,$O$7:$AB$7^2)-C104*H104^2)/(C104-1))</f>
        <v/>
      </c>
      <c r="K104" s="152">
        <f>J104/H104</f>
        <v/>
      </c>
      <c r="L104" s="151">
        <f>H104-J104</f>
        <v/>
      </c>
      <c r="M104" s="151">
        <f>H104+J104</f>
        <v/>
      </c>
      <c r="N104" s="150">
        <f>IF(K104&lt;=$D$4,"SÍ","NO")</f>
        <v/>
      </c>
      <c r="O104" s="153" t="n">
        <v>0</v>
      </c>
      <c r="P104" s="153" t="n">
        <v>0</v>
      </c>
      <c r="Q104" s="153" t="n">
        <v>0</v>
      </c>
      <c r="R104" s="153" t="n">
        <v>0</v>
      </c>
      <c r="S104" s="153" t="n">
        <v>0</v>
      </c>
      <c r="T104" s="153" t="n">
        <v>0</v>
      </c>
      <c r="U104" s="153" t="n">
        <v>0</v>
      </c>
      <c r="V104" s="153" t="n">
        <v>1</v>
      </c>
      <c r="W104" s="153" t="n">
        <v>1</v>
      </c>
      <c r="X104" s="153" t="n">
        <v>0</v>
      </c>
      <c r="Y104" s="153" t="n">
        <v>1</v>
      </c>
      <c r="Z104" s="153" t="n">
        <v>0</v>
      </c>
      <c r="AA104" s="153" t="n">
        <v>0</v>
      </c>
      <c r="AB104" s="153" t="n">
        <v>1</v>
      </c>
    </row>
    <row r="105">
      <c r="A105" s="164" t="inlineStr">
        <is>
          <t>Todas</t>
        </is>
      </c>
      <c r="B105" s="150" t="n">
        <v>71</v>
      </c>
      <c r="C105" s="150">
        <f>SUM($O105:$AB105)</f>
        <v/>
      </c>
      <c r="D105" s="164">
        <f>SUBSTITUTE(TRIM(IF(O105=1,O$6&amp;" ","")&amp;IF(P105=1,P$6&amp;" ","")&amp;IF(Q105=1,Q$6&amp;" ","")&amp;IF(R105=1,R$6&amp;" ","")&amp;IF(S105=1,S$6&amp;" ","")&amp;IF(T105=1,T$6&amp;" ","")&amp;IF(U105=1,U$6&amp;" ","")&amp;IF(V105=1,V$6&amp;" ","")&amp;IF(W105=1,W$6&amp;" ","")&amp;IF(X105=1,X$6&amp;" ","")&amp;IF(Y105=1,Y$6&amp;" ","")&amp;IF(Z105=1,Z$6&amp;" ","")&amp;IF(AA105=1,AA$6&amp;" ","")&amp;IF(AB105=1,AB$6&amp;" ",""))," ",", ")</f>
        <v/>
      </c>
      <c r="E105" s="164">
        <f>IF(SUMPRODUCT($O105:$AB105*($O$6:$AB$6&lt;=6))=$C105,"Solo casas",IF(SUMPRODUCT($O105:$AB105*($O$6:$AB$6&gt;6))=$C105,"Solo apartamentos","Mixta ("&amp;SUMPRODUCT($O105:$AB105*($O$6:$AB$6&lt;=6))&amp;" casas + "&amp;SUMPRODUCT($O105:$AB105*($O$6:$AB$6&gt;6))&amp;" aptos)"))</f>
        <v/>
      </c>
      <c r="F105" s="151">
        <f>_xlfn.MINIFS($O$7:$AB$7,$O105:$AB105,1)</f>
        <v/>
      </c>
      <c r="G105" s="151">
        <f>_xlfn.MAXIFS($O$7:$AB$7,$O105:$AB105,1)</f>
        <v/>
      </c>
      <c r="H105" s="151">
        <f>SUMPRODUCT($O105:$AB105,$O$7:$AB$7)/C105</f>
        <v/>
      </c>
      <c r="I105" s="151">
        <f>_xlfn.AGGREGATE(16,6,$O$7:$AB$7/($O105:$AB105=1),0.5)</f>
        <v/>
      </c>
      <c r="J105" s="151">
        <f>SQRT((SUMPRODUCT($O105:$AB105,$O$7:$AB$7^2)-C105*H105^2)/(C105-1))</f>
        <v/>
      </c>
      <c r="K105" s="152">
        <f>J105/H105</f>
        <v/>
      </c>
      <c r="L105" s="151">
        <f>H105-J105</f>
        <v/>
      </c>
      <c r="M105" s="151">
        <f>H105+J105</f>
        <v/>
      </c>
      <c r="N105" s="150">
        <f>IF(K105&lt;=$D$4,"SÍ","NO")</f>
        <v/>
      </c>
      <c r="O105" s="153" t="n">
        <v>0</v>
      </c>
      <c r="P105" s="153" t="n">
        <v>0</v>
      </c>
      <c r="Q105" s="153" t="n">
        <v>0</v>
      </c>
      <c r="R105" s="153" t="n">
        <v>0</v>
      </c>
      <c r="S105" s="153" t="n">
        <v>0</v>
      </c>
      <c r="T105" s="153" t="n">
        <v>0</v>
      </c>
      <c r="U105" s="153" t="n">
        <v>0</v>
      </c>
      <c r="V105" s="153" t="n">
        <v>0</v>
      </c>
      <c r="W105" s="153" t="n">
        <v>1</v>
      </c>
      <c r="X105" s="153" t="n">
        <v>1</v>
      </c>
      <c r="Y105" s="153" t="n">
        <v>0</v>
      </c>
      <c r="Z105" s="153" t="n">
        <v>0</v>
      </c>
      <c r="AA105" s="153" t="n">
        <v>1</v>
      </c>
      <c r="AB105" s="153" t="n">
        <v>1</v>
      </c>
    </row>
    <row r="106">
      <c r="A106" s="164" t="inlineStr">
        <is>
          <t>Todas</t>
        </is>
      </c>
      <c r="B106" s="150" t="n">
        <v>72</v>
      </c>
      <c r="C106" s="150">
        <f>SUM($O106:$AB106)</f>
        <v/>
      </c>
      <c r="D106" s="164">
        <f>SUBSTITUTE(TRIM(IF(O106=1,O$6&amp;" ","")&amp;IF(P106=1,P$6&amp;" ","")&amp;IF(Q106=1,Q$6&amp;" ","")&amp;IF(R106=1,R$6&amp;" ","")&amp;IF(S106=1,S$6&amp;" ","")&amp;IF(T106=1,T$6&amp;" ","")&amp;IF(U106=1,U$6&amp;" ","")&amp;IF(V106=1,V$6&amp;" ","")&amp;IF(W106=1,W$6&amp;" ","")&amp;IF(X106=1,X$6&amp;" ","")&amp;IF(Y106=1,Y$6&amp;" ","")&amp;IF(Z106=1,Z$6&amp;" ","")&amp;IF(AA106=1,AA$6&amp;" ","")&amp;IF(AB106=1,AB$6&amp;" ",""))," ",", ")</f>
        <v/>
      </c>
      <c r="E106" s="164">
        <f>IF(SUMPRODUCT($O106:$AB106*($O$6:$AB$6&lt;=6))=$C106,"Solo casas",IF(SUMPRODUCT($O106:$AB106*($O$6:$AB$6&gt;6))=$C106,"Solo apartamentos","Mixta ("&amp;SUMPRODUCT($O106:$AB106*($O$6:$AB$6&lt;=6))&amp;" casas + "&amp;SUMPRODUCT($O106:$AB106*($O$6:$AB$6&gt;6))&amp;" aptos)"))</f>
        <v/>
      </c>
      <c r="F106" s="151">
        <f>_xlfn.MINIFS($O$7:$AB$7,$O106:$AB106,1)</f>
        <v/>
      </c>
      <c r="G106" s="151">
        <f>_xlfn.MAXIFS($O$7:$AB$7,$O106:$AB106,1)</f>
        <v/>
      </c>
      <c r="H106" s="151">
        <f>SUMPRODUCT($O106:$AB106,$O$7:$AB$7)/C106</f>
        <v/>
      </c>
      <c r="I106" s="151">
        <f>_xlfn.AGGREGATE(16,6,$O$7:$AB$7/($O106:$AB106=1),0.5)</f>
        <v/>
      </c>
      <c r="J106" s="151">
        <f>SQRT((SUMPRODUCT($O106:$AB106,$O$7:$AB$7^2)-C106*H106^2)/(C106-1))</f>
        <v/>
      </c>
      <c r="K106" s="152">
        <f>J106/H106</f>
        <v/>
      </c>
      <c r="L106" s="151">
        <f>H106-J106</f>
        <v/>
      </c>
      <c r="M106" s="151">
        <f>H106+J106</f>
        <v/>
      </c>
      <c r="N106" s="150">
        <f>IF(K106&lt;=$D$4,"SÍ","NO")</f>
        <v/>
      </c>
      <c r="O106" s="153" t="n">
        <v>0</v>
      </c>
      <c r="P106" s="153" t="n">
        <v>0</v>
      </c>
      <c r="Q106" s="153" t="n">
        <v>0</v>
      </c>
      <c r="R106" s="153" t="n">
        <v>1</v>
      </c>
      <c r="S106" s="153" t="n">
        <v>0</v>
      </c>
      <c r="T106" s="153" t="n">
        <v>0</v>
      </c>
      <c r="U106" s="153" t="n">
        <v>0</v>
      </c>
      <c r="V106" s="153" t="n">
        <v>0</v>
      </c>
      <c r="W106" s="153" t="n">
        <v>1</v>
      </c>
      <c r="X106" s="153" t="n">
        <v>1</v>
      </c>
      <c r="Y106" s="153" t="n">
        <v>0</v>
      </c>
      <c r="Z106" s="153" t="n">
        <v>0</v>
      </c>
      <c r="AA106" s="153" t="n">
        <v>1</v>
      </c>
      <c r="AB106" s="153" t="n">
        <v>0</v>
      </c>
    </row>
    <row r="107">
      <c r="A107" s="164" t="inlineStr">
        <is>
          <t>Todas</t>
        </is>
      </c>
      <c r="B107" s="150" t="n">
        <v>73</v>
      </c>
      <c r="C107" s="150">
        <f>SUM($O107:$AB107)</f>
        <v/>
      </c>
      <c r="D107" s="164">
        <f>SUBSTITUTE(TRIM(IF(O107=1,O$6&amp;" ","")&amp;IF(P107=1,P$6&amp;" ","")&amp;IF(Q107=1,Q$6&amp;" ","")&amp;IF(R107=1,R$6&amp;" ","")&amp;IF(S107=1,S$6&amp;" ","")&amp;IF(T107=1,T$6&amp;" ","")&amp;IF(U107=1,U$6&amp;" ","")&amp;IF(V107=1,V$6&amp;" ","")&amp;IF(W107=1,W$6&amp;" ","")&amp;IF(X107=1,X$6&amp;" ","")&amp;IF(Y107=1,Y$6&amp;" ","")&amp;IF(Z107=1,Z$6&amp;" ","")&amp;IF(AA107=1,AA$6&amp;" ","")&amp;IF(AB107=1,AB$6&amp;" ",""))," ",", ")</f>
        <v/>
      </c>
      <c r="E107" s="164">
        <f>IF(SUMPRODUCT($O107:$AB107*($O$6:$AB$6&lt;=6))=$C107,"Solo casas",IF(SUMPRODUCT($O107:$AB107*($O$6:$AB$6&gt;6))=$C107,"Solo apartamentos","Mixta ("&amp;SUMPRODUCT($O107:$AB107*($O$6:$AB$6&lt;=6))&amp;" casas + "&amp;SUMPRODUCT($O107:$AB107*($O$6:$AB$6&gt;6))&amp;" aptos)"))</f>
        <v/>
      </c>
      <c r="F107" s="151">
        <f>_xlfn.MINIFS($O$7:$AB$7,$O107:$AB107,1)</f>
        <v/>
      </c>
      <c r="G107" s="151">
        <f>_xlfn.MAXIFS($O$7:$AB$7,$O107:$AB107,1)</f>
        <v/>
      </c>
      <c r="H107" s="151">
        <f>SUMPRODUCT($O107:$AB107,$O$7:$AB$7)/C107</f>
        <v/>
      </c>
      <c r="I107" s="151">
        <f>_xlfn.AGGREGATE(16,6,$O$7:$AB$7/($O107:$AB107=1),0.5)</f>
        <v/>
      </c>
      <c r="J107" s="151">
        <f>SQRT((SUMPRODUCT($O107:$AB107,$O$7:$AB$7^2)-C107*H107^2)/(C107-1))</f>
        <v/>
      </c>
      <c r="K107" s="152">
        <f>J107/H107</f>
        <v/>
      </c>
      <c r="L107" s="151">
        <f>H107-J107</f>
        <v/>
      </c>
      <c r="M107" s="151">
        <f>H107+J107</f>
        <v/>
      </c>
      <c r="N107" s="150">
        <f>IF(K107&lt;=$D$4,"SÍ","NO")</f>
        <v/>
      </c>
      <c r="O107" s="153" t="n">
        <v>0</v>
      </c>
      <c r="P107" s="153" t="n">
        <v>0</v>
      </c>
      <c r="Q107" s="153" t="n">
        <v>0</v>
      </c>
      <c r="R107" s="153" t="n">
        <v>0</v>
      </c>
      <c r="S107" s="153" t="n">
        <v>1</v>
      </c>
      <c r="T107" s="153" t="n">
        <v>1</v>
      </c>
      <c r="U107" s="153" t="n">
        <v>0</v>
      </c>
      <c r="V107" s="153" t="n">
        <v>1</v>
      </c>
      <c r="W107" s="153" t="n">
        <v>1</v>
      </c>
      <c r="X107" s="153" t="n">
        <v>0</v>
      </c>
      <c r="Y107" s="153" t="n">
        <v>0</v>
      </c>
      <c r="Z107" s="153" t="n">
        <v>0</v>
      </c>
      <c r="AA107" s="153" t="n">
        <v>0</v>
      </c>
      <c r="AB107" s="153" t="n">
        <v>0</v>
      </c>
    </row>
    <row r="108">
      <c r="A108" s="164" t="inlineStr">
        <is>
          <t>Todas</t>
        </is>
      </c>
      <c r="B108" s="150" t="n">
        <v>74</v>
      </c>
      <c r="C108" s="150">
        <f>SUM($O108:$AB108)</f>
        <v/>
      </c>
      <c r="D108" s="164">
        <f>SUBSTITUTE(TRIM(IF(O108=1,O$6&amp;" ","")&amp;IF(P108=1,P$6&amp;" ","")&amp;IF(Q108=1,Q$6&amp;" ","")&amp;IF(R108=1,R$6&amp;" ","")&amp;IF(S108=1,S$6&amp;" ","")&amp;IF(T108=1,T$6&amp;" ","")&amp;IF(U108=1,U$6&amp;" ","")&amp;IF(V108=1,V$6&amp;" ","")&amp;IF(W108=1,W$6&amp;" ","")&amp;IF(X108=1,X$6&amp;" ","")&amp;IF(Y108=1,Y$6&amp;" ","")&amp;IF(Z108=1,Z$6&amp;" ","")&amp;IF(AA108=1,AA$6&amp;" ","")&amp;IF(AB108=1,AB$6&amp;" ",""))," ",", ")</f>
        <v/>
      </c>
      <c r="E108" s="164">
        <f>IF(SUMPRODUCT($O108:$AB108*($O$6:$AB$6&lt;=6))=$C108,"Solo casas",IF(SUMPRODUCT($O108:$AB108*($O$6:$AB$6&gt;6))=$C108,"Solo apartamentos","Mixta ("&amp;SUMPRODUCT($O108:$AB108*($O$6:$AB$6&lt;=6))&amp;" casas + "&amp;SUMPRODUCT($O108:$AB108*($O$6:$AB$6&gt;6))&amp;" aptos)"))</f>
        <v/>
      </c>
      <c r="F108" s="151">
        <f>_xlfn.MINIFS($O$7:$AB$7,$O108:$AB108,1)</f>
        <v/>
      </c>
      <c r="G108" s="151">
        <f>_xlfn.MAXIFS($O$7:$AB$7,$O108:$AB108,1)</f>
        <v/>
      </c>
      <c r="H108" s="151">
        <f>SUMPRODUCT($O108:$AB108,$O$7:$AB$7)/C108</f>
        <v/>
      </c>
      <c r="I108" s="151">
        <f>_xlfn.AGGREGATE(16,6,$O$7:$AB$7/($O108:$AB108=1),0.5)</f>
        <v/>
      </c>
      <c r="J108" s="151">
        <f>SQRT((SUMPRODUCT($O108:$AB108,$O$7:$AB$7^2)-C108*H108^2)/(C108-1))</f>
        <v/>
      </c>
      <c r="K108" s="152">
        <f>J108/H108</f>
        <v/>
      </c>
      <c r="L108" s="151">
        <f>H108-J108</f>
        <v/>
      </c>
      <c r="M108" s="151">
        <f>H108+J108</f>
        <v/>
      </c>
      <c r="N108" s="150">
        <f>IF(K108&lt;=$D$4,"SÍ","NO")</f>
        <v/>
      </c>
      <c r="O108" s="153" t="n">
        <v>0</v>
      </c>
      <c r="P108" s="153" t="n">
        <v>0</v>
      </c>
      <c r="Q108" s="153" t="n">
        <v>0</v>
      </c>
      <c r="R108" s="153" t="n">
        <v>0</v>
      </c>
      <c r="S108" s="153" t="n">
        <v>1</v>
      </c>
      <c r="T108" s="153" t="n">
        <v>0</v>
      </c>
      <c r="U108" s="153" t="n">
        <v>0</v>
      </c>
      <c r="V108" s="153" t="n">
        <v>1</v>
      </c>
      <c r="W108" s="153" t="n">
        <v>1</v>
      </c>
      <c r="X108" s="153" t="n">
        <v>0</v>
      </c>
      <c r="Y108" s="153" t="n">
        <v>0</v>
      </c>
      <c r="Z108" s="153" t="n">
        <v>1</v>
      </c>
      <c r="AA108" s="153" t="n">
        <v>0</v>
      </c>
      <c r="AB108" s="153" t="n">
        <v>0</v>
      </c>
    </row>
    <row r="109">
      <c r="A109" s="164" t="inlineStr">
        <is>
          <t>Todas</t>
        </is>
      </c>
      <c r="B109" s="150" t="n">
        <v>75</v>
      </c>
      <c r="C109" s="150">
        <f>SUM($O109:$AB109)</f>
        <v/>
      </c>
      <c r="D109" s="164">
        <f>SUBSTITUTE(TRIM(IF(O109=1,O$6&amp;" ","")&amp;IF(P109=1,P$6&amp;" ","")&amp;IF(Q109=1,Q$6&amp;" ","")&amp;IF(R109=1,R$6&amp;" ","")&amp;IF(S109=1,S$6&amp;" ","")&amp;IF(T109=1,T$6&amp;" ","")&amp;IF(U109=1,U$6&amp;" ","")&amp;IF(V109=1,V$6&amp;" ","")&amp;IF(W109=1,W$6&amp;" ","")&amp;IF(X109=1,X$6&amp;" ","")&amp;IF(Y109=1,Y$6&amp;" ","")&amp;IF(Z109=1,Z$6&amp;" ","")&amp;IF(AA109=1,AA$6&amp;" ","")&amp;IF(AB109=1,AB$6&amp;" ",""))," ",", ")</f>
        <v/>
      </c>
      <c r="E109" s="164">
        <f>IF(SUMPRODUCT($O109:$AB109*($O$6:$AB$6&lt;=6))=$C109,"Solo casas",IF(SUMPRODUCT($O109:$AB109*($O$6:$AB$6&gt;6))=$C109,"Solo apartamentos","Mixta ("&amp;SUMPRODUCT($O109:$AB109*($O$6:$AB$6&lt;=6))&amp;" casas + "&amp;SUMPRODUCT($O109:$AB109*($O$6:$AB$6&gt;6))&amp;" aptos)"))</f>
        <v/>
      </c>
      <c r="F109" s="151">
        <f>_xlfn.MINIFS($O$7:$AB$7,$O109:$AB109,1)</f>
        <v/>
      </c>
      <c r="G109" s="151">
        <f>_xlfn.MAXIFS($O$7:$AB$7,$O109:$AB109,1)</f>
        <v/>
      </c>
      <c r="H109" s="151">
        <f>SUMPRODUCT($O109:$AB109,$O$7:$AB$7)/C109</f>
        <v/>
      </c>
      <c r="I109" s="151">
        <f>_xlfn.AGGREGATE(16,6,$O$7:$AB$7/($O109:$AB109=1),0.5)</f>
        <v/>
      </c>
      <c r="J109" s="151">
        <f>SQRT((SUMPRODUCT($O109:$AB109,$O$7:$AB$7^2)-C109*H109^2)/(C109-1))</f>
        <v/>
      </c>
      <c r="K109" s="152">
        <f>J109/H109</f>
        <v/>
      </c>
      <c r="L109" s="151">
        <f>H109-J109</f>
        <v/>
      </c>
      <c r="M109" s="151">
        <f>H109+J109</f>
        <v/>
      </c>
      <c r="N109" s="150">
        <f>IF(K109&lt;=$D$4,"SÍ","NO")</f>
        <v/>
      </c>
      <c r="O109" s="153" t="n">
        <v>0</v>
      </c>
      <c r="P109" s="153" t="n">
        <v>0</v>
      </c>
      <c r="Q109" s="153" t="n">
        <v>0</v>
      </c>
      <c r="R109" s="153" t="n">
        <v>0</v>
      </c>
      <c r="S109" s="153" t="n">
        <v>0</v>
      </c>
      <c r="T109" s="153" t="n">
        <v>1</v>
      </c>
      <c r="U109" s="153" t="n">
        <v>0</v>
      </c>
      <c r="V109" s="153" t="n">
        <v>1</v>
      </c>
      <c r="W109" s="153" t="n">
        <v>1</v>
      </c>
      <c r="X109" s="153" t="n">
        <v>0</v>
      </c>
      <c r="Y109" s="153" t="n">
        <v>1</v>
      </c>
      <c r="Z109" s="153" t="n">
        <v>0</v>
      </c>
      <c r="AA109" s="153" t="n">
        <v>0</v>
      </c>
      <c r="AB109" s="153" t="n">
        <v>0</v>
      </c>
    </row>
    <row r="110">
      <c r="A110" s="164" t="inlineStr">
        <is>
          <t>Todas</t>
        </is>
      </c>
      <c r="B110" s="150" t="n">
        <v>76</v>
      </c>
      <c r="C110" s="150">
        <f>SUM($O110:$AB110)</f>
        <v/>
      </c>
      <c r="D110" s="164">
        <f>SUBSTITUTE(TRIM(IF(O110=1,O$6&amp;" ","")&amp;IF(P110=1,P$6&amp;" ","")&amp;IF(Q110=1,Q$6&amp;" ","")&amp;IF(R110=1,R$6&amp;" ","")&amp;IF(S110=1,S$6&amp;" ","")&amp;IF(T110=1,T$6&amp;" ","")&amp;IF(U110=1,U$6&amp;" ","")&amp;IF(V110=1,V$6&amp;" ","")&amp;IF(W110=1,W$6&amp;" ","")&amp;IF(X110=1,X$6&amp;" ","")&amp;IF(Y110=1,Y$6&amp;" ","")&amp;IF(Z110=1,Z$6&amp;" ","")&amp;IF(AA110=1,AA$6&amp;" ","")&amp;IF(AB110=1,AB$6&amp;" ",""))," ",", ")</f>
        <v/>
      </c>
      <c r="E110" s="164">
        <f>IF(SUMPRODUCT($O110:$AB110*($O$6:$AB$6&lt;=6))=$C110,"Solo casas",IF(SUMPRODUCT($O110:$AB110*($O$6:$AB$6&gt;6))=$C110,"Solo apartamentos","Mixta ("&amp;SUMPRODUCT($O110:$AB110*($O$6:$AB$6&lt;=6))&amp;" casas + "&amp;SUMPRODUCT($O110:$AB110*($O$6:$AB$6&gt;6))&amp;" aptos)"))</f>
        <v/>
      </c>
      <c r="F110" s="151">
        <f>_xlfn.MINIFS($O$7:$AB$7,$O110:$AB110,1)</f>
        <v/>
      </c>
      <c r="G110" s="151">
        <f>_xlfn.MAXIFS($O$7:$AB$7,$O110:$AB110,1)</f>
        <v/>
      </c>
      <c r="H110" s="151">
        <f>SUMPRODUCT($O110:$AB110,$O$7:$AB$7)/C110</f>
        <v/>
      </c>
      <c r="I110" s="151">
        <f>_xlfn.AGGREGATE(16,6,$O$7:$AB$7/($O110:$AB110=1),0.5)</f>
        <v/>
      </c>
      <c r="J110" s="151">
        <f>SQRT((SUMPRODUCT($O110:$AB110,$O$7:$AB$7^2)-C110*H110^2)/(C110-1))</f>
        <v/>
      </c>
      <c r="K110" s="152">
        <f>J110/H110</f>
        <v/>
      </c>
      <c r="L110" s="151">
        <f>H110-J110</f>
        <v/>
      </c>
      <c r="M110" s="151">
        <f>H110+J110</f>
        <v/>
      </c>
      <c r="N110" s="150">
        <f>IF(K110&lt;=$D$4,"SÍ","NO")</f>
        <v/>
      </c>
      <c r="O110" s="153" t="n">
        <v>0</v>
      </c>
      <c r="P110" s="153" t="n">
        <v>0</v>
      </c>
      <c r="Q110" s="153" t="n">
        <v>0</v>
      </c>
      <c r="R110" s="153" t="n">
        <v>0</v>
      </c>
      <c r="S110" s="153" t="n">
        <v>0</v>
      </c>
      <c r="T110" s="153" t="n">
        <v>0</v>
      </c>
      <c r="U110" s="153" t="n">
        <v>0</v>
      </c>
      <c r="V110" s="153" t="n">
        <v>1</v>
      </c>
      <c r="W110" s="153" t="n">
        <v>1</v>
      </c>
      <c r="X110" s="153" t="n">
        <v>0</v>
      </c>
      <c r="Y110" s="153" t="n">
        <v>1</v>
      </c>
      <c r="Z110" s="153" t="n">
        <v>1</v>
      </c>
      <c r="AA110" s="153" t="n">
        <v>0</v>
      </c>
      <c r="AB110" s="153" t="n">
        <v>0</v>
      </c>
    </row>
    <row r="111">
      <c r="A111" s="164" t="inlineStr">
        <is>
          <t>Todas</t>
        </is>
      </c>
      <c r="B111" s="150" t="n">
        <v>77</v>
      </c>
      <c r="C111" s="150">
        <f>SUM($O111:$AB111)</f>
        <v/>
      </c>
      <c r="D111" s="164">
        <f>SUBSTITUTE(TRIM(IF(O111=1,O$6&amp;" ","")&amp;IF(P111=1,P$6&amp;" ","")&amp;IF(Q111=1,Q$6&amp;" ","")&amp;IF(R111=1,R$6&amp;" ","")&amp;IF(S111=1,S$6&amp;" ","")&amp;IF(T111=1,T$6&amp;" ","")&amp;IF(U111=1,U$6&amp;" ","")&amp;IF(V111=1,V$6&amp;" ","")&amp;IF(W111=1,W$6&amp;" ","")&amp;IF(X111=1,X$6&amp;" ","")&amp;IF(Y111=1,Y$6&amp;" ","")&amp;IF(Z111=1,Z$6&amp;" ","")&amp;IF(AA111=1,AA$6&amp;" ","")&amp;IF(AB111=1,AB$6&amp;" ",""))," ",", ")</f>
        <v/>
      </c>
      <c r="E111" s="164">
        <f>IF(SUMPRODUCT($O111:$AB111*($O$6:$AB$6&lt;=6))=$C111,"Solo casas",IF(SUMPRODUCT($O111:$AB111*($O$6:$AB$6&gt;6))=$C111,"Solo apartamentos","Mixta ("&amp;SUMPRODUCT($O111:$AB111*($O$6:$AB$6&lt;=6))&amp;" casas + "&amp;SUMPRODUCT($O111:$AB111*($O$6:$AB$6&gt;6))&amp;" aptos)"))</f>
        <v/>
      </c>
      <c r="F111" s="151">
        <f>_xlfn.MINIFS($O$7:$AB$7,$O111:$AB111,1)</f>
        <v/>
      </c>
      <c r="G111" s="151">
        <f>_xlfn.MAXIFS($O$7:$AB$7,$O111:$AB111,1)</f>
        <v/>
      </c>
      <c r="H111" s="151">
        <f>SUMPRODUCT($O111:$AB111,$O$7:$AB$7)/C111</f>
        <v/>
      </c>
      <c r="I111" s="151">
        <f>_xlfn.AGGREGATE(16,6,$O$7:$AB$7/($O111:$AB111=1),0.5)</f>
        <v/>
      </c>
      <c r="J111" s="151">
        <f>SQRT((SUMPRODUCT($O111:$AB111,$O$7:$AB$7^2)-C111*H111^2)/(C111-1))</f>
        <v/>
      </c>
      <c r="K111" s="152">
        <f>J111/H111</f>
        <v/>
      </c>
      <c r="L111" s="151">
        <f>H111-J111</f>
        <v/>
      </c>
      <c r="M111" s="151">
        <f>H111+J111</f>
        <v/>
      </c>
      <c r="N111" s="150">
        <f>IF(K111&lt;=$D$4,"SÍ","NO")</f>
        <v/>
      </c>
      <c r="O111" s="153" t="n">
        <v>0</v>
      </c>
      <c r="P111" s="153" t="n">
        <v>0</v>
      </c>
      <c r="Q111" s="153" t="n">
        <v>0</v>
      </c>
      <c r="R111" s="153" t="n">
        <v>0</v>
      </c>
      <c r="S111" s="153" t="n">
        <v>1</v>
      </c>
      <c r="T111" s="153" t="n">
        <v>1</v>
      </c>
      <c r="U111" s="153" t="n">
        <v>0</v>
      </c>
      <c r="V111" s="153" t="n">
        <v>0</v>
      </c>
      <c r="W111" s="153" t="n">
        <v>1</v>
      </c>
      <c r="X111" s="153" t="n">
        <v>0</v>
      </c>
      <c r="Y111" s="153" t="n">
        <v>1</v>
      </c>
      <c r="Z111" s="153" t="n">
        <v>0</v>
      </c>
      <c r="AA111" s="153" t="n">
        <v>0</v>
      </c>
      <c r="AB111" s="153" t="n">
        <v>0</v>
      </c>
    </row>
    <row r="112">
      <c r="A112" s="164" t="inlineStr">
        <is>
          <t>Todas</t>
        </is>
      </c>
      <c r="B112" s="150" t="n">
        <v>78</v>
      </c>
      <c r="C112" s="150">
        <f>SUM($O112:$AB112)</f>
        <v/>
      </c>
      <c r="D112" s="164">
        <f>SUBSTITUTE(TRIM(IF(O112=1,O$6&amp;" ","")&amp;IF(P112=1,P$6&amp;" ","")&amp;IF(Q112=1,Q$6&amp;" ","")&amp;IF(R112=1,R$6&amp;" ","")&amp;IF(S112=1,S$6&amp;" ","")&amp;IF(T112=1,T$6&amp;" ","")&amp;IF(U112=1,U$6&amp;" ","")&amp;IF(V112=1,V$6&amp;" ","")&amp;IF(W112=1,W$6&amp;" ","")&amp;IF(X112=1,X$6&amp;" ","")&amp;IF(Y112=1,Y$6&amp;" ","")&amp;IF(Z112=1,Z$6&amp;" ","")&amp;IF(AA112=1,AA$6&amp;" ","")&amp;IF(AB112=1,AB$6&amp;" ",""))," ",", ")</f>
        <v/>
      </c>
      <c r="E112" s="164">
        <f>IF(SUMPRODUCT($O112:$AB112*($O$6:$AB$6&lt;=6))=$C112,"Solo casas",IF(SUMPRODUCT($O112:$AB112*($O$6:$AB$6&gt;6))=$C112,"Solo apartamentos","Mixta ("&amp;SUMPRODUCT($O112:$AB112*($O$6:$AB$6&lt;=6))&amp;" casas + "&amp;SUMPRODUCT($O112:$AB112*($O$6:$AB$6&gt;6))&amp;" aptos)"))</f>
        <v/>
      </c>
      <c r="F112" s="151">
        <f>_xlfn.MINIFS($O$7:$AB$7,$O112:$AB112,1)</f>
        <v/>
      </c>
      <c r="G112" s="151">
        <f>_xlfn.MAXIFS($O$7:$AB$7,$O112:$AB112,1)</f>
        <v/>
      </c>
      <c r="H112" s="151">
        <f>SUMPRODUCT($O112:$AB112,$O$7:$AB$7)/C112</f>
        <v/>
      </c>
      <c r="I112" s="151">
        <f>_xlfn.AGGREGATE(16,6,$O$7:$AB$7/($O112:$AB112=1),0.5)</f>
        <v/>
      </c>
      <c r="J112" s="151">
        <f>SQRT((SUMPRODUCT($O112:$AB112,$O$7:$AB$7^2)-C112*H112^2)/(C112-1))</f>
        <v/>
      </c>
      <c r="K112" s="152">
        <f>J112/H112</f>
        <v/>
      </c>
      <c r="L112" s="151">
        <f>H112-J112</f>
        <v/>
      </c>
      <c r="M112" s="151">
        <f>H112+J112</f>
        <v/>
      </c>
      <c r="N112" s="150">
        <f>IF(K112&lt;=$D$4,"SÍ","NO")</f>
        <v/>
      </c>
      <c r="O112" s="153" t="n">
        <v>0</v>
      </c>
      <c r="P112" s="153" t="n">
        <v>0</v>
      </c>
      <c r="Q112" s="153" t="n">
        <v>0</v>
      </c>
      <c r="R112" s="153" t="n">
        <v>0</v>
      </c>
      <c r="S112" s="153" t="n">
        <v>1</v>
      </c>
      <c r="T112" s="153" t="n">
        <v>0</v>
      </c>
      <c r="U112" s="153" t="n">
        <v>0</v>
      </c>
      <c r="V112" s="153" t="n">
        <v>0</v>
      </c>
      <c r="W112" s="153" t="n">
        <v>1</v>
      </c>
      <c r="X112" s="153" t="n">
        <v>0</v>
      </c>
      <c r="Y112" s="153" t="n">
        <v>1</v>
      </c>
      <c r="Z112" s="153" t="n">
        <v>1</v>
      </c>
      <c r="AA112" s="153" t="n">
        <v>0</v>
      </c>
      <c r="AB112" s="153" t="n">
        <v>0</v>
      </c>
    </row>
    <row r="113">
      <c r="A113" s="164" t="inlineStr">
        <is>
          <t>Todas</t>
        </is>
      </c>
      <c r="B113" s="150" t="n">
        <v>79</v>
      </c>
      <c r="C113" s="150">
        <f>SUM($O113:$AB113)</f>
        <v/>
      </c>
      <c r="D113" s="164">
        <f>SUBSTITUTE(TRIM(IF(O113=1,O$6&amp;" ","")&amp;IF(P113=1,P$6&amp;" ","")&amp;IF(Q113=1,Q$6&amp;" ","")&amp;IF(R113=1,R$6&amp;" ","")&amp;IF(S113=1,S$6&amp;" ","")&amp;IF(T113=1,T$6&amp;" ","")&amp;IF(U113=1,U$6&amp;" ","")&amp;IF(V113=1,V$6&amp;" ","")&amp;IF(W113=1,W$6&amp;" ","")&amp;IF(X113=1,X$6&amp;" ","")&amp;IF(Y113=1,Y$6&amp;" ","")&amp;IF(Z113=1,Z$6&amp;" ","")&amp;IF(AA113=1,AA$6&amp;" ","")&amp;IF(AB113=1,AB$6&amp;" ",""))," ",", ")</f>
        <v/>
      </c>
      <c r="E113" s="164">
        <f>IF(SUMPRODUCT($O113:$AB113*($O$6:$AB$6&lt;=6))=$C113,"Solo casas",IF(SUMPRODUCT($O113:$AB113*($O$6:$AB$6&gt;6))=$C113,"Solo apartamentos","Mixta ("&amp;SUMPRODUCT($O113:$AB113*($O$6:$AB$6&lt;=6))&amp;" casas + "&amp;SUMPRODUCT($O113:$AB113*($O$6:$AB$6&gt;6))&amp;" aptos)"))</f>
        <v/>
      </c>
      <c r="F113" s="151">
        <f>_xlfn.MINIFS($O$7:$AB$7,$O113:$AB113,1)</f>
        <v/>
      </c>
      <c r="G113" s="151">
        <f>_xlfn.MAXIFS($O$7:$AB$7,$O113:$AB113,1)</f>
        <v/>
      </c>
      <c r="H113" s="151">
        <f>SUMPRODUCT($O113:$AB113,$O$7:$AB$7)/C113</f>
        <v/>
      </c>
      <c r="I113" s="151">
        <f>_xlfn.AGGREGATE(16,6,$O$7:$AB$7/($O113:$AB113=1),0.5)</f>
        <v/>
      </c>
      <c r="J113" s="151">
        <f>SQRT((SUMPRODUCT($O113:$AB113,$O$7:$AB$7^2)-C113*H113^2)/(C113-1))</f>
        <v/>
      </c>
      <c r="K113" s="152">
        <f>J113/H113</f>
        <v/>
      </c>
      <c r="L113" s="151">
        <f>H113-J113</f>
        <v/>
      </c>
      <c r="M113" s="151">
        <f>H113+J113</f>
        <v/>
      </c>
      <c r="N113" s="150">
        <f>IF(K113&lt;=$D$4,"SÍ","NO")</f>
        <v/>
      </c>
      <c r="O113" s="153" t="n">
        <v>0</v>
      </c>
      <c r="P113" s="153" t="n">
        <v>0</v>
      </c>
      <c r="Q113" s="153" t="n">
        <v>0</v>
      </c>
      <c r="R113" s="153" t="n">
        <v>0</v>
      </c>
      <c r="S113" s="153" t="n">
        <v>1</v>
      </c>
      <c r="T113" s="153" t="n">
        <v>0</v>
      </c>
      <c r="U113" s="153" t="n">
        <v>1</v>
      </c>
      <c r="V113" s="153" t="n">
        <v>1</v>
      </c>
      <c r="W113" s="153" t="n">
        <v>0</v>
      </c>
      <c r="X113" s="153" t="n">
        <v>0</v>
      </c>
      <c r="Y113" s="153" t="n">
        <v>0</v>
      </c>
      <c r="Z113" s="153" t="n">
        <v>0</v>
      </c>
      <c r="AA113" s="153" t="n">
        <v>0</v>
      </c>
      <c r="AB113" s="153" t="n">
        <v>1</v>
      </c>
    </row>
    <row r="114">
      <c r="A114" s="164" t="inlineStr">
        <is>
          <t>Todas</t>
        </is>
      </c>
      <c r="B114" s="150" t="n">
        <v>80</v>
      </c>
      <c r="C114" s="150">
        <f>SUM($O114:$AB114)</f>
        <v/>
      </c>
      <c r="D114" s="164">
        <f>SUBSTITUTE(TRIM(IF(O114=1,O$6&amp;" ","")&amp;IF(P114=1,P$6&amp;" ","")&amp;IF(Q114=1,Q$6&amp;" ","")&amp;IF(R114=1,R$6&amp;" ","")&amp;IF(S114=1,S$6&amp;" ","")&amp;IF(T114=1,T$6&amp;" ","")&amp;IF(U114=1,U$6&amp;" ","")&amp;IF(V114=1,V$6&amp;" ","")&amp;IF(W114=1,W$6&amp;" ","")&amp;IF(X114=1,X$6&amp;" ","")&amp;IF(Y114=1,Y$6&amp;" ","")&amp;IF(Z114=1,Z$6&amp;" ","")&amp;IF(AA114=1,AA$6&amp;" ","")&amp;IF(AB114=1,AB$6&amp;" ",""))," ",", ")</f>
        <v/>
      </c>
      <c r="E114" s="164">
        <f>IF(SUMPRODUCT($O114:$AB114*($O$6:$AB$6&lt;=6))=$C114,"Solo casas",IF(SUMPRODUCT($O114:$AB114*($O$6:$AB$6&gt;6))=$C114,"Solo apartamentos","Mixta ("&amp;SUMPRODUCT($O114:$AB114*($O$6:$AB$6&lt;=6))&amp;" casas + "&amp;SUMPRODUCT($O114:$AB114*($O$6:$AB$6&gt;6))&amp;" aptos)"))</f>
        <v/>
      </c>
      <c r="F114" s="151">
        <f>_xlfn.MINIFS($O$7:$AB$7,$O114:$AB114,1)</f>
        <v/>
      </c>
      <c r="G114" s="151">
        <f>_xlfn.MAXIFS($O$7:$AB$7,$O114:$AB114,1)</f>
        <v/>
      </c>
      <c r="H114" s="151">
        <f>SUMPRODUCT($O114:$AB114,$O$7:$AB$7)/C114</f>
        <v/>
      </c>
      <c r="I114" s="151">
        <f>_xlfn.AGGREGATE(16,6,$O$7:$AB$7/($O114:$AB114=1),0.5)</f>
        <v/>
      </c>
      <c r="J114" s="151">
        <f>SQRT((SUMPRODUCT($O114:$AB114,$O$7:$AB$7^2)-C114*H114^2)/(C114-1))</f>
        <v/>
      </c>
      <c r="K114" s="152">
        <f>J114/H114</f>
        <v/>
      </c>
      <c r="L114" s="151">
        <f>H114-J114</f>
        <v/>
      </c>
      <c r="M114" s="151">
        <f>H114+J114</f>
        <v/>
      </c>
      <c r="N114" s="150">
        <f>IF(K114&lt;=$D$4,"SÍ","NO")</f>
        <v/>
      </c>
      <c r="O114" s="153" t="n">
        <v>0</v>
      </c>
      <c r="P114" s="153" t="n">
        <v>0</v>
      </c>
      <c r="Q114" s="153" t="n">
        <v>0</v>
      </c>
      <c r="R114" s="153" t="n">
        <v>1</v>
      </c>
      <c r="S114" s="153" t="n">
        <v>0</v>
      </c>
      <c r="T114" s="153" t="n">
        <v>0</v>
      </c>
      <c r="U114" s="153" t="n">
        <v>0</v>
      </c>
      <c r="V114" s="153" t="n">
        <v>0</v>
      </c>
      <c r="W114" s="153" t="n">
        <v>1</v>
      </c>
      <c r="X114" s="153" t="n">
        <v>1</v>
      </c>
      <c r="Y114" s="153" t="n">
        <v>0</v>
      </c>
      <c r="Z114" s="153" t="n">
        <v>0</v>
      </c>
      <c r="AA114" s="153" t="n">
        <v>0</v>
      </c>
      <c r="AB114" s="153" t="n">
        <v>1</v>
      </c>
    </row>
    <row r="115">
      <c r="A115" s="164" t="inlineStr">
        <is>
          <t>Todas</t>
        </is>
      </c>
      <c r="B115" s="150" t="n">
        <v>81</v>
      </c>
      <c r="C115" s="150">
        <f>SUM($O115:$AB115)</f>
        <v/>
      </c>
      <c r="D115" s="164">
        <f>SUBSTITUTE(TRIM(IF(O115=1,O$6&amp;" ","")&amp;IF(P115=1,P$6&amp;" ","")&amp;IF(Q115=1,Q$6&amp;" ","")&amp;IF(R115=1,R$6&amp;" ","")&amp;IF(S115=1,S$6&amp;" ","")&amp;IF(T115=1,T$6&amp;" ","")&amp;IF(U115=1,U$6&amp;" ","")&amp;IF(V115=1,V$6&amp;" ","")&amp;IF(W115=1,W$6&amp;" ","")&amp;IF(X115=1,X$6&amp;" ","")&amp;IF(Y115=1,Y$6&amp;" ","")&amp;IF(Z115=1,Z$6&amp;" ","")&amp;IF(AA115=1,AA$6&amp;" ","")&amp;IF(AB115=1,AB$6&amp;" ",""))," ",", ")</f>
        <v/>
      </c>
      <c r="E115" s="164">
        <f>IF(SUMPRODUCT($O115:$AB115*($O$6:$AB$6&lt;=6))=$C115,"Solo casas",IF(SUMPRODUCT($O115:$AB115*($O$6:$AB$6&gt;6))=$C115,"Solo apartamentos","Mixta ("&amp;SUMPRODUCT($O115:$AB115*($O$6:$AB$6&lt;=6))&amp;" casas + "&amp;SUMPRODUCT($O115:$AB115*($O$6:$AB$6&gt;6))&amp;" aptos)"))</f>
        <v/>
      </c>
      <c r="F115" s="151">
        <f>_xlfn.MINIFS($O$7:$AB$7,$O115:$AB115,1)</f>
        <v/>
      </c>
      <c r="G115" s="151">
        <f>_xlfn.MAXIFS($O$7:$AB$7,$O115:$AB115,1)</f>
        <v/>
      </c>
      <c r="H115" s="151">
        <f>SUMPRODUCT($O115:$AB115,$O$7:$AB$7)/C115</f>
        <v/>
      </c>
      <c r="I115" s="151">
        <f>_xlfn.AGGREGATE(16,6,$O$7:$AB$7/($O115:$AB115=1),0.5)</f>
        <v/>
      </c>
      <c r="J115" s="151">
        <f>SQRT((SUMPRODUCT($O115:$AB115,$O$7:$AB$7^2)-C115*H115^2)/(C115-1))</f>
        <v/>
      </c>
      <c r="K115" s="152">
        <f>J115/H115</f>
        <v/>
      </c>
      <c r="L115" s="151">
        <f>H115-J115</f>
        <v/>
      </c>
      <c r="M115" s="151">
        <f>H115+J115</f>
        <v/>
      </c>
      <c r="N115" s="150">
        <f>IF(K115&lt;=$D$4,"SÍ","NO")</f>
        <v/>
      </c>
      <c r="O115" s="153" t="n">
        <v>0</v>
      </c>
      <c r="P115" s="153" t="n">
        <v>0</v>
      </c>
      <c r="Q115" s="153" t="n">
        <v>0</v>
      </c>
      <c r="R115" s="153" t="n">
        <v>1</v>
      </c>
      <c r="S115" s="153" t="n">
        <v>0</v>
      </c>
      <c r="T115" s="153" t="n">
        <v>0</v>
      </c>
      <c r="U115" s="153" t="n">
        <v>0</v>
      </c>
      <c r="V115" s="153" t="n">
        <v>0</v>
      </c>
      <c r="W115" s="153" t="n">
        <v>1</v>
      </c>
      <c r="X115" s="153" t="n">
        <v>0</v>
      </c>
      <c r="Y115" s="153" t="n">
        <v>0</v>
      </c>
      <c r="Z115" s="153" t="n">
        <v>0</v>
      </c>
      <c r="AA115" s="153" t="n">
        <v>1</v>
      </c>
      <c r="AB115" s="153" t="n">
        <v>1</v>
      </c>
    </row>
    <row r="116">
      <c r="A116" s="164" t="inlineStr">
        <is>
          <t>Todas</t>
        </is>
      </c>
      <c r="B116" s="150" t="n">
        <v>82</v>
      </c>
      <c r="C116" s="150">
        <f>SUM($O116:$AB116)</f>
        <v/>
      </c>
      <c r="D116" s="164">
        <f>SUBSTITUTE(TRIM(IF(O116=1,O$6&amp;" ","")&amp;IF(P116=1,P$6&amp;" ","")&amp;IF(Q116=1,Q$6&amp;" ","")&amp;IF(R116=1,R$6&amp;" ","")&amp;IF(S116=1,S$6&amp;" ","")&amp;IF(T116=1,T$6&amp;" ","")&amp;IF(U116=1,U$6&amp;" ","")&amp;IF(V116=1,V$6&amp;" ","")&amp;IF(W116=1,W$6&amp;" ","")&amp;IF(X116=1,X$6&amp;" ","")&amp;IF(Y116=1,Y$6&amp;" ","")&amp;IF(Z116=1,Z$6&amp;" ","")&amp;IF(AA116=1,AA$6&amp;" ","")&amp;IF(AB116=1,AB$6&amp;" ",""))," ",", ")</f>
        <v/>
      </c>
      <c r="E116" s="164">
        <f>IF(SUMPRODUCT($O116:$AB116*($O$6:$AB$6&lt;=6))=$C116,"Solo casas",IF(SUMPRODUCT($O116:$AB116*($O$6:$AB$6&gt;6))=$C116,"Solo apartamentos","Mixta ("&amp;SUMPRODUCT($O116:$AB116*($O$6:$AB$6&lt;=6))&amp;" casas + "&amp;SUMPRODUCT($O116:$AB116*($O$6:$AB$6&gt;6))&amp;" aptos)"))</f>
        <v/>
      </c>
      <c r="F116" s="151">
        <f>_xlfn.MINIFS($O$7:$AB$7,$O116:$AB116,1)</f>
        <v/>
      </c>
      <c r="G116" s="151">
        <f>_xlfn.MAXIFS($O$7:$AB$7,$O116:$AB116,1)</f>
        <v/>
      </c>
      <c r="H116" s="151">
        <f>SUMPRODUCT($O116:$AB116,$O$7:$AB$7)/C116</f>
        <v/>
      </c>
      <c r="I116" s="151">
        <f>_xlfn.AGGREGATE(16,6,$O$7:$AB$7/($O116:$AB116=1),0.5)</f>
        <v/>
      </c>
      <c r="J116" s="151">
        <f>SQRT((SUMPRODUCT($O116:$AB116,$O$7:$AB$7^2)-C116*H116^2)/(C116-1))</f>
        <v/>
      </c>
      <c r="K116" s="152">
        <f>J116/H116</f>
        <v/>
      </c>
      <c r="L116" s="151">
        <f>H116-J116</f>
        <v/>
      </c>
      <c r="M116" s="151">
        <f>H116+J116</f>
        <v/>
      </c>
      <c r="N116" s="150">
        <f>IF(K116&lt;=$D$4,"SÍ","NO")</f>
        <v/>
      </c>
      <c r="O116" s="153" t="n">
        <v>0</v>
      </c>
      <c r="P116" s="153" t="n">
        <v>0</v>
      </c>
      <c r="Q116" s="153" t="n">
        <v>0</v>
      </c>
      <c r="R116" s="153" t="n">
        <v>0</v>
      </c>
      <c r="S116" s="153" t="n">
        <v>1</v>
      </c>
      <c r="T116" s="153" t="n">
        <v>0</v>
      </c>
      <c r="U116" s="153" t="n">
        <v>1</v>
      </c>
      <c r="V116" s="153" t="n">
        <v>0</v>
      </c>
      <c r="W116" s="153" t="n">
        <v>1</v>
      </c>
      <c r="X116" s="153" t="n">
        <v>0</v>
      </c>
      <c r="Y116" s="153" t="n">
        <v>0</v>
      </c>
      <c r="Z116" s="153" t="n">
        <v>0</v>
      </c>
      <c r="AA116" s="153" t="n">
        <v>0</v>
      </c>
      <c r="AB116" s="153" t="n">
        <v>1</v>
      </c>
    </row>
    <row r="117">
      <c r="A117" s="164" t="inlineStr">
        <is>
          <t>Todas</t>
        </is>
      </c>
      <c r="B117" s="150" t="n">
        <v>83</v>
      </c>
      <c r="C117" s="150">
        <f>SUM($O117:$AB117)</f>
        <v/>
      </c>
      <c r="D117" s="164">
        <f>SUBSTITUTE(TRIM(IF(O117=1,O$6&amp;" ","")&amp;IF(P117=1,P$6&amp;" ","")&amp;IF(Q117=1,Q$6&amp;" ","")&amp;IF(R117=1,R$6&amp;" ","")&amp;IF(S117=1,S$6&amp;" ","")&amp;IF(T117=1,T$6&amp;" ","")&amp;IF(U117=1,U$6&amp;" ","")&amp;IF(V117=1,V$6&amp;" ","")&amp;IF(W117=1,W$6&amp;" ","")&amp;IF(X117=1,X$6&amp;" ","")&amp;IF(Y117=1,Y$6&amp;" ","")&amp;IF(Z117=1,Z$6&amp;" ","")&amp;IF(AA117=1,AA$6&amp;" ","")&amp;IF(AB117=1,AB$6&amp;" ",""))," ",", ")</f>
        <v/>
      </c>
      <c r="E117" s="164">
        <f>IF(SUMPRODUCT($O117:$AB117*($O$6:$AB$6&lt;=6))=$C117,"Solo casas",IF(SUMPRODUCT($O117:$AB117*($O$6:$AB$6&gt;6))=$C117,"Solo apartamentos","Mixta ("&amp;SUMPRODUCT($O117:$AB117*($O$6:$AB$6&lt;=6))&amp;" casas + "&amp;SUMPRODUCT($O117:$AB117*($O$6:$AB$6&gt;6))&amp;" aptos)"))</f>
        <v/>
      </c>
      <c r="F117" s="151">
        <f>_xlfn.MINIFS($O$7:$AB$7,$O117:$AB117,1)</f>
        <v/>
      </c>
      <c r="G117" s="151">
        <f>_xlfn.MAXIFS($O$7:$AB$7,$O117:$AB117,1)</f>
        <v/>
      </c>
      <c r="H117" s="151">
        <f>SUMPRODUCT($O117:$AB117,$O$7:$AB$7)/C117</f>
        <v/>
      </c>
      <c r="I117" s="151">
        <f>_xlfn.AGGREGATE(16,6,$O$7:$AB$7/($O117:$AB117=1),0.5)</f>
        <v/>
      </c>
      <c r="J117" s="151">
        <f>SQRT((SUMPRODUCT($O117:$AB117,$O$7:$AB$7^2)-C117*H117^2)/(C117-1))</f>
        <v/>
      </c>
      <c r="K117" s="152">
        <f>J117/H117</f>
        <v/>
      </c>
      <c r="L117" s="151">
        <f>H117-J117</f>
        <v/>
      </c>
      <c r="M117" s="151">
        <f>H117+J117</f>
        <v/>
      </c>
      <c r="N117" s="150">
        <f>IF(K117&lt;=$D$4,"SÍ","NO")</f>
        <v/>
      </c>
      <c r="O117" s="153" t="n">
        <v>0</v>
      </c>
      <c r="P117" s="153" t="n">
        <v>0</v>
      </c>
      <c r="Q117" s="153" t="n">
        <v>0</v>
      </c>
      <c r="R117" s="153" t="n">
        <v>0</v>
      </c>
      <c r="S117" s="153" t="n">
        <v>0</v>
      </c>
      <c r="T117" s="153" t="n">
        <v>1</v>
      </c>
      <c r="U117" s="153" t="n">
        <v>1</v>
      </c>
      <c r="V117" s="153" t="n">
        <v>0</v>
      </c>
      <c r="W117" s="153" t="n">
        <v>1</v>
      </c>
      <c r="X117" s="153" t="n">
        <v>0</v>
      </c>
      <c r="Y117" s="153" t="n">
        <v>1</v>
      </c>
      <c r="Z117" s="153" t="n">
        <v>0</v>
      </c>
      <c r="AA117" s="153" t="n">
        <v>0</v>
      </c>
      <c r="AB117" s="153" t="n">
        <v>0</v>
      </c>
    </row>
    <row r="118">
      <c r="A118" s="164" t="inlineStr">
        <is>
          <t>Todas</t>
        </is>
      </c>
      <c r="B118" s="150" t="n">
        <v>84</v>
      </c>
      <c r="C118" s="150">
        <f>SUM($O118:$AB118)</f>
        <v/>
      </c>
      <c r="D118" s="164">
        <f>SUBSTITUTE(TRIM(IF(O118=1,O$6&amp;" ","")&amp;IF(P118=1,P$6&amp;" ","")&amp;IF(Q118=1,Q$6&amp;" ","")&amp;IF(R118=1,R$6&amp;" ","")&amp;IF(S118=1,S$6&amp;" ","")&amp;IF(T118=1,T$6&amp;" ","")&amp;IF(U118=1,U$6&amp;" ","")&amp;IF(V118=1,V$6&amp;" ","")&amp;IF(W118=1,W$6&amp;" ","")&amp;IF(X118=1,X$6&amp;" ","")&amp;IF(Y118=1,Y$6&amp;" ","")&amp;IF(Z118=1,Z$6&amp;" ","")&amp;IF(AA118=1,AA$6&amp;" ","")&amp;IF(AB118=1,AB$6&amp;" ",""))," ",", ")</f>
        <v/>
      </c>
      <c r="E118" s="164">
        <f>IF(SUMPRODUCT($O118:$AB118*($O$6:$AB$6&lt;=6))=$C118,"Solo casas",IF(SUMPRODUCT($O118:$AB118*($O$6:$AB$6&gt;6))=$C118,"Solo apartamentos","Mixta ("&amp;SUMPRODUCT($O118:$AB118*($O$6:$AB$6&lt;=6))&amp;" casas + "&amp;SUMPRODUCT($O118:$AB118*($O$6:$AB$6&gt;6))&amp;" aptos)"))</f>
        <v/>
      </c>
      <c r="F118" s="151">
        <f>_xlfn.MINIFS($O$7:$AB$7,$O118:$AB118,1)</f>
        <v/>
      </c>
      <c r="G118" s="151">
        <f>_xlfn.MAXIFS($O$7:$AB$7,$O118:$AB118,1)</f>
        <v/>
      </c>
      <c r="H118" s="151">
        <f>SUMPRODUCT($O118:$AB118,$O$7:$AB$7)/C118</f>
        <v/>
      </c>
      <c r="I118" s="151">
        <f>_xlfn.AGGREGATE(16,6,$O$7:$AB$7/($O118:$AB118=1),0.5)</f>
        <v/>
      </c>
      <c r="J118" s="151">
        <f>SQRT((SUMPRODUCT($O118:$AB118,$O$7:$AB$7^2)-C118*H118^2)/(C118-1))</f>
        <v/>
      </c>
      <c r="K118" s="152">
        <f>J118/H118</f>
        <v/>
      </c>
      <c r="L118" s="151">
        <f>H118-J118</f>
        <v/>
      </c>
      <c r="M118" s="151">
        <f>H118+J118</f>
        <v/>
      </c>
      <c r="N118" s="150">
        <f>IF(K118&lt;=$D$4,"SÍ","NO")</f>
        <v/>
      </c>
      <c r="O118" s="153" t="n">
        <v>0</v>
      </c>
      <c r="P118" s="153" t="n">
        <v>0</v>
      </c>
      <c r="Q118" s="153" t="n">
        <v>0</v>
      </c>
      <c r="R118" s="153" t="n">
        <v>0</v>
      </c>
      <c r="S118" s="153" t="n">
        <v>0</v>
      </c>
      <c r="T118" s="153" t="n">
        <v>0</v>
      </c>
      <c r="U118" s="153" t="n">
        <v>1</v>
      </c>
      <c r="V118" s="153" t="n">
        <v>0</v>
      </c>
      <c r="W118" s="153" t="n">
        <v>1</v>
      </c>
      <c r="X118" s="153" t="n">
        <v>0</v>
      </c>
      <c r="Y118" s="153" t="n">
        <v>1</v>
      </c>
      <c r="Z118" s="153" t="n">
        <v>1</v>
      </c>
      <c r="AA118" s="153" t="n">
        <v>0</v>
      </c>
      <c r="AB118" s="153" t="n">
        <v>0</v>
      </c>
    </row>
    <row r="119">
      <c r="A119" s="164" t="inlineStr">
        <is>
          <t>Todas</t>
        </is>
      </c>
      <c r="B119" s="150" t="n">
        <v>85</v>
      </c>
      <c r="C119" s="150">
        <f>SUM($O119:$AB119)</f>
        <v/>
      </c>
      <c r="D119" s="164">
        <f>SUBSTITUTE(TRIM(IF(O119=1,O$6&amp;" ","")&amp;IF(P119=1,P$6&amp;" ","")&amp;IF(Q119=1,Q$6&amp;" ","")&amp;IF(R119=1,R$6&amp;" ","")&amp;IF(S119=1,S$6&amp;" ","")&amp;IF(T119=1,T$6&amp;" ","")&amp;IF(U119=1,U$6&amp;" ","")&amp;IF(V119=1,V$6&amp;" ","")&amp;IF(W119=1,W$6&amp;" ","")&amp;IF(X119=1,X$6&amp;" ","")&amp;IF(Y119=1,Y$6&amp;" ","")&amp;IF(Z119=1,Z$6&amp;" ","")&amp;IF(AA119=1,AA$6&amp;" ","")&amp;IF(AB119=1,AB$6&amp;" ",""))," ",", ")</f>
        <v/>
      </c>
      <c r="E119" s="164">
        <f>IF(SUMPRODUCT($O119:$AB119*($O$6:$AB$6&lt;=6))=$C119,"Solo casas",IF(SUMPRODUCT($O119:$AB119*($O$6:$AB$6&gt;6))=$C119,"Solo apartamentos","Mixta ("&amp;SUMPRODUCT($O119:$AB119*($O$6:$AB$6&lt;=6))&amp;" casas + "&amp;SUMPRODUCT($O119:$AB119*($O$6:$AB$6&gt;6))&amp;" aptos)"))</f>
        <v/>
      </c>
      <c r="F119" s="151">
        <f>_xlfn.MINIFS($O$7:$AB$7,$O119:$AB119,1)</f>
        <v/>
      </c>
      <c r="G119" s="151">
        <f>_xlfn.MAXIFS($O$7:$AB$7,$O119:$AB119,1)</f>
        <v/>
      </c>
      <c r="H119" s="151">
        <f>SUMPRODUCT($O119:$AB119,$O$7:$AB$7)/C119</f>
        <v/>
      </c>
      <c r="I119" s="151">
        <f>_xlfn.AGGREGATE(16,6,$O$7:$AB$7/($O119:$AB119=1),0.5)</f>
        <v/>
      </c>
      <c r="J119" s="151">
        <f>SQRT((SUMPRODUCT($O119:$AB119,$O$7:$AB$7^2)-C119*H119^2)/(C119-1))</f>
        <v/>
      </c>
      <c r="K119" s="152">
        <f>J119/H119</f>
        <v/>
      </c>
      <c r="L119" s="151">
        <f>H119-J119</f>
        <v/>
      </c>
      <c r="M119" s="151">
        <f>H119+J119</f>
        <v/>
      </c>
      <c r="N119" s="150">
        <f>IF(K119&lt;=$D$4,"SÍ","NO")</f>
        <v/>
      </c>
      <c r="O119" s="153" t="n">
        <v>0</v>
      </c>
      <c r="P119" s="153" t="n">
        <v>0</v>
      </c>
      <c r="Q119" s="153" t="n">
        <v>0</v>
      </c>
      <c r="R119" s="153" t="n">
        <v>0</v>
      </c>
      <c r="S119" s="153" t="n">
        <v>0</v>
      </c>
      <c r="T119" s="153" t="n">
        <v>0</v>
      </c>
      <c r="U119" s="153" t="n">
        <v>1</v>
      </c>
      <c r="V119" s="153" t="n">
        <v>1</v>
      </c>
      <c r="W119" s="153" t="n">
        <v>1</v>
      </c>
      <c r="X119" s="153" t="n">
        <v>0</v>
      </c>
      <c r="Y119" s="153" t="n">
        <v>0</v>
      </c>
      <c r="Z119" s="153" t="n">
        <v>0</v>
      </c>
      <c r="AA119" s="153" t="n">
        <v>0</v>
      </c>
      <c r="AB119" s="153" t="n">
        <v>1</v>
      </c>
    </row>
    <row r="120">
      <c r="A120" s="164" t="inlineStr">
        <is>
          <t>Todas</t>
        </is>
      </c>
      <c r="B120" s="150" t="n">
        <v>86</v>
      </c>
      <c r="C120" s="150">
        <f>SUM($O120:$AB120)</f>
        <v/>
      </c>
      <c r="D120" s="164">
        <f>SUBSTITUTE(TRIM(IF(O120=1,O$6&amp;" ","")&amp;IF(P120=1,P$6&amp;" ","")&amp;IF(Q120=1,Q$6&amp;" ","")&amp;IF(R120=1,R$6&amp;" ","")&amp;IF(S120=1,S$6&amp;" ","")&amp;IF(T120=1,T$6&amp;" ","")&amp;IF(U120=1,U$6&amp;" ","")&amp;IF(V120=1,V$6&amp;" ","")&amp;IF(W120=1,W$6&amp;" ","")&amp;IF(X120=1,X$6&amp;" ","")&amp;IF(Y120=1,Y$6&amp;" ","")&amp;IF(Z120=1,Z$6&amp;" ","")&amp;IF(AA120=1,AA$6&amp;" ","")&amp;IF(AB120=1,AB$6&amp;" ",""))," ",", ")</f>
        <v/>
      </c>
      <c r="E120" s="164">
        <f>IF(SUMPRODUCT($O120:$AB120*($O$6:$AB$6&lt;=6))=$C120,"Solo casas",IF(SUMPRODUCT($O120:$AB120*($O$6:$AB$6&gt;6))=$C120,"Solo apartamentos","Mixta ("&amp;SUMPRODUCT($O120:$AB120*($O$6:$AB$6&lt;=6))&amp;" casas + "&amp;SUMPRODUCT($O120:$AB120*($O$6:$AB$6&gt;6))&amp;" aptos)"))</f>
        <v/>
      </c>
      <c r="F120" s="151">
        <f>_xlfn.MINIFS($O$7:$AB$7,$O120:$AB120,1)</f>
        <v/>
      </c>
      <c r="G120" s="151">
        <f>_xlfn.MAXIFS($O$7:$AB$7,$O120:$AB120,1)</f>
        <v/>
      </c>
      <c r="H120" s="151">
        <f>SUMPRODUCT($O120:$AB120,$O$7:$AB$7)/C120</f>
        <v/>
      </c>
      <c r="I120" s="151">
        <f>_xlfn.AGGREGATE(16,6,$O$7:$AB$7/($O120:$AB120=1),0.5)</f>
        <v/>
      </c>
      <c r="J120" s="151">
        <f>SQRT((SUMPRODUCT($O120:$AB120,$O$7:$AB$7^2)-C120*H120^2)/(C120-1))</f>
        <v/>
      </c>
      <c r="K120" s="152">
        <f>J120/H120</f>
        <v/>
      </c>
      <c r="L120" s="151">
        <f>H120-J120</f>
        <v/>
      </c>
      <c r="M120" s="151">
        <f>H120+J120</f>
        <v/>
      </c>
      <c r="N120" s="150">
        <f>IF(K120&lt;=$D$4,"SÍ","NO")</f>
        <v/>
      </c>
      <c r="O120" s="153" t="n">
        <v>0</v>
      </c>
      <c r="P120" s="153" t="n">
        <v>0</v>
      </c>
      <c r="Q120" s="153" t="n">
        <v>0</v>
      </c>
      <c r="R120" s="153" t="n">
        <v>0</v>
      </c>
      <c r="S120" s="153" t="n">
        <v>0</v>
      </c>
      <c r="T120" s="153" t="n">
        <v>1</v>
      </c>
      <c r="U120" s="153" t="n">
        <v>1</v>
      </c>
      <c r="V120" s="153" t="n">
        <v>1</v>
      </c>
      <c r="W120" s="153" t="n">
        <v>1</v>
      </c>
      <c r="X120" s="153" t="n">
        <v>0</v>
      </c>
      <c r="Y120" s="153" t="n">
        <v>0</v>
      </c>
      <c r="Z120" s="153" t="n">
        <v>0</v>
      </c>
      <c r="AA120" s="153" t="n">
        <v>0</v>
      </c>
      <c r="AB120" s="153" t="n">
        <v>0</v>
      </c>
    </row>
    <row r="121">
      <c r="A121" s="164" t="inlineStr">
        <is>
          <t>Todas</t>
        </is>
      </c>
      <c r="B121" s="150" t="n">
        <v>87</v>
      </c>
      <c r="C121" s="150">
        <f>SUM($O121:$AB121)</f>
        <v/>
      </c>
      <c r="D121" s="164">
        <f>SUBSTITUTE(TRIM(IF(O121=1,O$6&amp;" ","")&amp;IF(P121=1,P$6&amp;" ","")&amp;IF(Q121=1,Q$6&amp;" ","")&amp;IF(R121=1,R$6&amp;" ","")&amp;IF(S121=1,S$6&amp;" ","")&amp;IF(T121=1,T$6&amp;" ","")&amp;IF(U121=1,U$6&amp;" ","")&amp;IF(V121=1,V$6&amp;" ","")&amp;IF(W121=1,W$6&amp;" ","")&amp;IF(X121=1,X$6&amp;" ","")&amp;IF(Y121=1,Y$6&amp;" ","")&amp;IF(Z121=1,Z$6&amp;" ","")&amp;IF(AA121=1,AA$6&amp;" ","")&amp;IF(AB121=1,AB$6&amp;" ",""))," ",", ")</f>
        <v/>
      </c>
      <c r="E121" s="164">
        <f>IF(SUMPRODUCT($O121:$AB121*($O$6:$AB$6&lt;=6))=$C121,"Solo casas",IF(SUMPRODUCT($O121:$AB121*($O$6:$AB$6&gt;6))=$C121,"Solo apartamentos","Mixta ("&amp;SUMPRODUCT($O121:$AB121*($O$6:$AB$6&lt;=6))&amp;" casas + "&amp;SUMPRODUCT($O121:$AB121*($O$6:$AB$6&gt;6))&amp;" aptos)"))</f>
        <v/>
      </c>
      <c r="F121" s="151">
        <f>_xlfn.MINIFS($O$7:$AB$7,$O121:$AB121,1)</f>
        <v/>
      </c>
      <c r="G121" s="151">
        <f>_xlfn.MAXIFS($O$7:$AB$7,$O121:$AB121,1)</f>
        <v/>
      </c>
      <c r="H121" s="151">
        <f>SUMPRODUCT($O121:$AB121,$O$7:$AB$7)/C121</f>
        <v/>
      </c>
      <c r="I121" s="151">
        <f>_xlfn.AGGREGATE(16,6,$O$7:$AB$7/($O121:$AB121=1),0.5)</f>
        <v/>
      </c>
      <c r="J121" s="151">
        <f>SQRT((SUMPRODUCT($O121:$AB121,$O$7:$AB$7^2)-C121*H121^2)/(C121-1))</f>
        <v/>
      </c>
      <c r="K121" s="152">
        <f>J121/H121</f>
        <v/>
      </c>
      <c r="L121" s="151">
        <f>H121-J121</f>
        <v/>
      </c>
      <c r="M121" s="151">
        <f>H121+J121</f>
        <v/>
      </c>
      <c r="N121" s="150">
        <f>IF(K121&lt;=$D$4,"SÍ","NO")</f>
        <v/>
      </c>
      <c r="O121" s="153" t="n">
        <v>0</v>
      </c>
      <c r="P121" s="153" t="n">
        <v>0</v>
      </c>
      <c r="Q121" s="153" t="n">
        <v>0</v>
      </c>
      <c r="R121" s="153" t="n">
        <v>0</v>
      </c>
      <c r="S121" s="153" t="n">
        <v>0</v>
      </c>
      <c r="T121" s="153" t="n">
        <v>0</v>
      </c>
      <c r="U121" s="153" t="n">
        <v>1</v>
      </c>
      <c r="V121" s="153" t="n">
        <v>1</v>
      </c>
      <c r="W121" s="153" t="n">
        <v>1</v>
      </c>
      <c r="X121" s="153" t="n">
        <v>0</v>
      </c>
      <c r="Y121" s="153" t="n">
        <v>0</v>
      </c>
      <c r="Z121" s="153" t="n">
        <v>1</v>
      </c>
      <c r="AA121" s="153" t="n">
        <v>0</v>
      </c>
      <c r="AB121" s="153" t="n">
        <v>0</v>
      </c>
    </row>
    <row r="122">
      <c r="A122" s="164" t="inlineStr">
        <is>
          <t>Todas</t>
        </is>
      </c>
      <c r="B122" s="150" t="n">
        <v>88</v>
      </c>
      <c r="C122" s="150">
        <f>SUM($O122:$AB122)</f>
        <v/>
      </c>
      <c r="D122" s="164">
        <f>SUBSTITUTE(TRIM(IF(O122=1,O$6&amp;" ","")&amp;IF(P122=1,P$6&amp;" ","")&amp;IF(Q122=1,Q$6&amp;" ","")&amp;IF(R122=1,R$6&amp;" ","")&amp;IF(S122=1,S$6&amp;" ","")&amp;IF(T122=1,T$6&amp;" ","")&amp;IF(U122=1,U$6&amp;" ","")&amp;IF(V122=1,V$6&amp;" ","")&amp;IF(W122=1,W$6&amp;" ","")&amp;IF(X122=1,X$6&amp;" ","")&amp;IF(Y122=1,Y$6&amp;" ","")&amp;IF(Z122=1,Z$6&amp;" ","")&amp;IF(AA122=1,AA$6&amp;" ","")&amp;IF(AB122=1,AB$6&amp;" ",""))," ",", ")</f>
        <v/>
      </c>
      <c r="E122" s="164">
        <f>IF(SUMPRODUCT($O122:$AB122*($O$6:$AB$6&lt;=6))=$C122,"Solo casas",IF(SUMPRODUCT($O122:$AB122*($O$6:$AB$6&gt;6))=$C122,"Solo apartamentos","Mixta ("&amp;SUMPRODUCT($O122:$AB122*($O$6:$AB$6&lt;=6))&amp;" casas + "&amp;SUMPRODUCT($O122:$AB122*($O$6:$AB$6&gt;6))&amp;" aptos)"))</f>
        <v/>
      </c>
      <c r="F122" s="151">
        <f>_xlfn.MINIFS($O$7:$AB$7,$O122:$AB122,1)</f>
        <v/>
      </c>
      <c r="G122" s="151">
        <f>_xlfn.MAXIFS($O$7:$AB$7,$O122:$AB122,1)</f>
        <v/>
      </c>
      <c r="H122" s="151">
        <f>SUMPRODUCT($O122:$AB122,$O$7:$AB$7)/C122</f>
        <v/>
      </c>
      <c r="I122" s="151">
        <f>_xlfn.AGGREGATE(16,6,$O$7:$AB$7/($O122:$AB122=1),0.5)</f>
        <v/>
      </c>
      <c r="J122" s="151">
        <f>SQRT((SUMPRODUCT($O122:$AB122,$O$7:$AB$7^2)-C122*H122^2)/(C122-1))</f>
        <v/>
      </c>
      <c r="K122" s="152">
        <f>J122/H122</f>
        <v/>
      </c>
      <c r="L122" s="151">
        <f>H122-J122</f>
        <v/>
      </c>
      <c r="M122" s="151">
        <f>H122+J122</f>
        <v/>
      </c>
      <c r="N122" s="150">
        <f>IF(K122&lt;=$D$4,"SÍ","NO")</f>
        <v/>
      </c>
      <c r="O122" s="153" t="n">
        <v>0</v>
      </c>
      <c r="P122" s="153" t="n">
        <v>0</v>
      </c>
      <c r="Q122" s="153" t="n">
        <v>0</v>
      </c>
      <c r="R122" s="153" t="n">
        <v>0</v>
      </c>
      <c r="S122" s="153" t="n">
        <v>1</v>
      </c>
      <c r="T122" s="153" t="n">
        <v>1</v>
      </c>
      <c r="U122" s="153" t="n">
        <v>1</v>
      </c>
      <c r="V122" s="153" t="n">
        <v>0</v>
      </c>
      <c r="W122" s="153" t="n">
        <v>1</v>
      </c>
      <c r="X122" s="153" t="n">
        <v>0</v>
      </c>
      <c r="Y122" s="153" t="n">
        <v>0</v>
      </c>
      <c r="Z122" s="153" t="n">
        <v>0</v>
      </c>
      <c r="AA122" s="153" t="n">
        <v>0</v>
      </c>
      <c r="AB122" s="153" t="n">
        <v>0</v>
      </c>
    </row>
    <row r="123">
      <c r="A123" s="164" t="inlineStr">
        <is>
          <t>Todas</t>
        </is>
      </c>
      <c r="B123" s="150" t="n">
        <v>89</v>
      </c>
      <c r="C123" s="150">
        <f>SUM($O123:$AB123)</f>
        <v/>
      </c>
      <c r="D123" s="164">
        <f>SUBSTITUTE(TRIM(IF(O123=1,O$6&amp;" ","")&amp;IF(P123=1,P$6&amp;" ","")&amp;IF(Q123=1,Q$6&amp;" ","")&amp;IF(R123=1,R$6&amp;" ","")&amp;IF(S123=1,S$6&amp;" ","")&amp;IF(T123=1,T$6&amp;" ","")&amp;IF(U123=1,U$6&amp;" ","")&amp;IF(V123=1,V$6&amp;" ","")&amp;IF(W123=1,W$6&amp;" ","")&amp;IF(X123=1,X$6&amp;" ","")&amp;IF(Y123=1,Y$6&amp;" ","")&amp;IF(Z123=1,Z$6&amp;" ","")&amp;IF(AA123=1,AA$6&amp;" ","")&amp;IF(AB123=1,AB$6&amp;" ",""))," ",", ")</f>
        <v/>
      </c>
      <c r="E123" s="164">
        <f>IF(SUMPRODUCT($O123:$AB123*($O$6:$AB$6&lt;=6))=$C123,"Solo casas",IF(SUMPRODUCT($O123:$AB123*($O$6:$AB$6&gt;6))=$C123,"Solo apartamentos","Mixta ("&amp;SUMPRODUCT($O123:$AB123*($O$6:$AB$6&lt;=6))&amp;" casas + "&amp;SUMPRODUCT($O123:$AB123*($O$6:$AB$6&gt;6))&amp;" aptos)"))</f>
        <v/>
      </c>
      <c r="F123" s="151">
        <f>_xlfn.MINIFS($O$7:$AB$7,$O123:$AB123,1)</f>
        <v/>
      </c>
      <c r="G123" s="151">
        <f>_xlfn.MAXIFS($O$7:$AB$7,$O123:$AB123,1)</f>
        <v/>
      </c>
      <c r="H123" s="151">
        <f>SUMPRODUCT($O123:$AB123,$O$7:$AB$7)/C123</f>
        <v/>
      </c>
      <c r="I123" s="151">
        <f>_xlfn.AGGREGATE(16,6,$O$7:$AB$7/($O123:$AB123=1),0.5)</f>
        <v/>
      </c>
      <c r="J123" s="151">
        <f>SQRT((SUMPRODUCT($O123:$AB123,$O$7:$AB$7^2)-C123*H123^2)/(C123-1))</f>
        <v/>
      </c>
      <c r="K123" s="152">
        <f>J123/H123</f>
        <v/>
      </c>
      <c r="L123" s="151">
        <f>H123-J123</f>
        <v/>
      </c>
      <c r="M123" s="151">
        <f>H123+J123</f>
        <v/>
      </c>
      <c r="N123" s="150">
        <f>IF(K123&lt;=$D$4,"SÍ","NO")</f>
        <v/>
      </c>
      <c r="O123" s="153" t="n">
        <v>0</v>
      </c>
      <c r="P123" s="153" t="n">
        <v>0</v>
      </c>
      <c r="Q123" s="153" t="n">
        <v>0</v>
      </c>
      <c r="R123" s="153" t="n">
        <v>0</v>
      </c>
      <c r="S123" s="153" t="n">
        <v>1</v>
      </c>
      <c r="T123" s="153" t="n">
        <v>0</v>
      </c>
      <c r="U123" s="153" t="n">
        <v>1</v>
      </c>
      <c r="V123" s="153" t="n">
        <v>0</v>
      </c>
      <c r="W123" s="153" t="n">
        <v>1</v>
      </c>
      <c r="X123" s="153" t="n">
        <v>0</v>
      </c>
      <c r="Y123" s="153" t="n">
        <v>0</v>
      </c>
      <c r="Z123" s="153" t="n">
        <v>1</v>
      </c>
      <c r="AA123" s="153" t="n">
        <v>0</v>
      </c>
      <c r="AB123" s="153" t="n">
        <v>0</v>
      </c>
    </row>
    <row r="124">
      <c r="A124" s="164" t="inlineStr">
        <is>
          <t>Todas</t>
        </is>
      </c>
      <c r="B124" s="150" t="n">
        <v>90</v>
      </c>
      <c r="C124" s="150">
        <f>SUM($O124:$AB124)</f>
        <v/>
      </c>
      <c r="D124" s="164">
        <f>SUBSTITUTE(TRIM(IF(O124=1,O$6&amp;" ","")&amp;IF(P124=1,P$6&amp;" ","")&amp;IF(Q124=1,Q$6&amp;" ","")&amp;IF(R124=1,R$6&amp;" ","")&amp;IF(S124=1,S$6&amp;" ","")&amp;IF(T124=1,T$6&amp;" ","")&amp;IF(U124=1,U$6&amp;" ","")&amp;IF(V124=1,V$6&amp;" ","")&amp;IF(W124=1,W$6&amp;" ","")&amp;IF(X124=1,X$6&amp;" ","")&amp;IF(Y124=1,Y$6&amp;" ","")&amp;IF(Z124=1,Z$6&amp;" ","")&amp;IF(AA124=1,AA$6&amp;" ","")&amp;IF(AB124=1,AB$6&amp;" ",""))," ",", ")</f>
        <v/>
      </c>
      <c r="E124" s="164">
        <f>IF(SUMPRODUCT($O124:$AB124*($O$6:$AB$6&lt;=6))=$C124,"Solo casas",IF(SUMPRODUCT($O124:$AB124*($O$6:$AB$6&gt;6))=$C124,"Solo apartamentos","Mixta ("&amp;SUMPRODUCT($O124:$AB124*($O$6:$AB$6&lt;=6))&amp;" casas + "&amp;SUMPRODUCT($O124:$AB124*($O$6:$AB$6&gt;6))&amp;" aptos)"))</f>
        <v/>
      </c>
      <c r="F124" s="151">
        <f>_xlfn.MINIFS($O$7:$AB$7,$O124:$AB124,1)</f>
        <v/>
      </c>
      <c r="G124" s="151">
        <f>_xlfn.MAXIFS($O$7:$AB$7,$O124:$AB124,1)</f>
        <v/>
      </c>
      <c r="H124" s="151">
        <f>SUMPRODUCT($O124:$AB124,$O$7:$AB$7)/C124</f>
        <v/>
      </c>
      <c r="I124" s="151">
        <f>_xlfn.AGGREGATE(16,6,$O$7:$AB$7/($O124:$AB124=1),0.5)</f>
        <v/>
      </c>
      <c r="J124" s="151">
        <f>SQRT((SUMPRODUCT($O124:$AB124,$O$7:$AB$7^2)-C124*H124^2)/(C124-1))</f>
        <v/>
      </c>
      <c r="K124" s="152">
        <f>J124/H124</f>
        <v/>
      </c>
      <c r="L124" s="151">
        <f>H124-J124</f>
        <v/>
      </c>
      <c r="M124" s="151">
        <f>H124+J124</f>
        <v/>
      </c>
      <c r="N124" s="150">
        <f>IF(K124&lt;=$D$4,"SÍ","NO")</f>
        <v/>
      </c>
      <c r="O124" s="153" t="n">
        <v>0</v>
      </c>
      <c r="P124" s="153" t="n">
        <v>0</v>
      </c>
      <c r="Q124" s="153" t="n">
        <v>0</v>
      </c>
      <c r="R124" s="153" t="n">
        <v>0</v>
      </c>
      <c r="S124" s="153" t="n">
        <v>1</v>
      </c>
      <c r="T124" s="153" t="n">
        <v>0</v>
      </c>
      <c r="U124" s="153" t="n">
        <v>1</v>
      </c>
      <c r="V124" s="153" t="n">
        <v>0</v>
      </c>
      <c r="W124" s="153" t="n">
        <v>0</v>
      </c>
      <c r="X124" s="153" t="n">
        <v>0</v>
      </c>
      <c r="Y124" s="153" t="n">
        <v>1</v>
      </c>
      <c r="Z124" s="153" t="n">
        <v>0</v>
      </c>
      <c r="AA124" s="153" t="n">
        <v>0</v>
      </c>
      <c r="AB124" s="153" t="n">
        <v>1</v>
      </c>
    </row>
    <row r="125">
      <c r="A125" s="164" t="inlineStr">
        <is>
          <t>Todas</t>
        </is>
      </c>
      <c r="B125" s="150" t="n">
        <v>91</v>
      </c>
      <c r="C125" s="150">
        <f>SUM($O125:$AB125)</f>
        <v/>
      </c>
      <c r="D125" s="164">
        <f>SUBSTITUTE(TRIM(IF(O125=1,O$6&amp;" ","")&amp;IF(P125=1,P$6&amp;" ","")&amp;IF(Q125=1,Q$6&amp;" ","")&amp;IF(R125=1,R$6&amp;" ","")&amp;IF(S125=1,S$6&amp;" ","")&amp;IF(T125=1,T$6&amp;" ","")&amp;IF(U125=1,U$6&amp;" ","")&amp;IF(V125=1,V$6&amp;" ","")&amp;IF(W125=1,W$6&amp;" ","")&amp;IF(X125=1,X$6&amp;" ","")&amp;IF(Y125=1,Y$6&amp;" ","")&amp;IF(Z125=1,Z$6&amp;" ","")&amp;IF(AA125=1,AA$6&amp;" ","")&amp;IF(AB125=1,AB$6&amp;" ",""))," ",", ")</f>
        <v/>
      </c>
      <c r="E125" s="164">
        <f>IF(SUMPRODUCT($O125:$AB125*($O$6:$AB$6&lt;=6))=$C125,"Solo casas",IF(SUMPRODUCT($O125:$AB125*($O$6:$AB$6&gt;6))=$C125,"Solo apartamentos","Mixta ("&amp;SUMPRODUCT($O125:$AB125*($O$6:$AB$6&lt;=6))&amp;" casas + "&amp;SUMPRODUCT($O125:$AB125*($O$6:$AB$6&gt;6))&amp;" aptos)"))</f>
        <v/>
      </c>
      <c r="F125" s="151">
        <f>_xlfn.MINIFS($O$7:$AB$7,$O125:$AB125,1)</f>
        <v/>
      </c>
      <c r="G125" s="151">
        <f>_xlfn.MAXIFS($O$7:$AB$7,$O125:$AB125,1)</f>
        <v/>
      </c>
      <c r="H125" s="151">
        <f>SUMPRODUCT($O125:$AB125,$O$7:$AB$7)/C125</f>
        <v/>
      </c>
      <c r="I125" s="151">
        <f>_xlfn.AGGREGATE(16,6,$O$7:$AB$7/($O125:$AB125=1),0.5)</f>
        <v/>
      </c>
      <c r="J125" s="151">
        <f>SQRT((SUMPRODUCT($O125:$AB125,$O$7:$AB$7^2)-C125*H125^2)/(C125-1))</f>
        <v/>
      </c>
      <c r="K125" s="152">
        <f>J125/H125</f>
        <v/>
      </c>
      <c r="L125" s="151">
        <f>H125-J125</f>
        <v/>
      </c>
      <c r="M125" s="151">
        <f>H125+J125</f>
        <v/>
      </c>
      <c r="N125" s="150">
        <f>IF(K125&lt;=$D$4,"SÍ","NO")</f>
        <v/>
      </c>
      <c r="O125" s="153" t="n">
        <v>0</v>
      </c>
      <c r="P125" s="153" t="n">
        <v>0</v>
      </c>
      <c r="Q125" s="153" t="n">
        <v>0</v>
      </c>
      <c r="R125" s="153" t="n">
        <v>0</v>
      </c>
      <c r="S125" s="153" t="n">
        <v>0</v>
      </c>
      <c r="T125" s="153" t="n">
        <v>0</v>
      </c>
      <c r="U125" s="153" t="n">
        <v>1</v>
      </c>
      <c r="V125" s="153" t="n">
        <v>1</v>
      </c>
      <c r="W125" s="153" t="n">
        <v>0</v>
      </c>
      <c r="X125" s="153" t="n">
        <v>0</v>
      </c>
      <c r="Y125" s="153" t="n">
        <v>1</v>
      </c>
      <c r="Z125" s="153" t="n">
        <v>0</v>
      </c>
      <c r="AA125" s="153" t="n">
        <v>0</v>
      </c>
      <c r="AB125" s="153" t="n">
        <v>1</v>
      </c>
    </row>
    <row r="126">
      <c r="A126" s="164" t="inlineStr">
        <is>
          <t>Todas</t>
        </is>
      </c>
      <c r="B126" s="150" t="n">
        <v>92</v>
      </c>
      <c r="C126" s="150">
        <f>SUM($O126:$AB126)</f>
        <v/>
      </c>
      <c r="D126" s="164">
        <f>SUBSTITUTE(TRIM(IF(O126=1,O$6&amp;" ","")&amp;IF(P126=1,P$6&amp;" ","")&amp;IF(Q126=1,Q$6&amp;" ","")&amp;IF(R126=1,R$6&amp;" ","")&amp;IF(S126=1,S$6&amp;" ","")&amp;IF(T126=1,T$6&amp;" ","")&amp;IF(U126=1,U$6&amp;" ","")&amp;IF(V126=1,V$6&amp;" ","")&amp;IF(W126=1,W$6&amp;" ","")&amp;IF(X126=1,X$6&amp;" ","")&amp;IF(Y126=1,Y$6&amp;" ","")&amp;IF(Z126=1,Z$6&amp;" ","")&amp;IF(AA126=1,AA$6&amp;" ","")&amp;IF(AB126=1,AB$6&amp;" ",""))," ",", ")</f>
        <v/>
      </c>
      <c r="E126" s="164">
        <f>IF(SUMPRODUCT($O126:$AB126*($O$6:$AB$6&lt;=6))=$C126,"Solo casas",IF(SUMPRODUCT($O126:$AB126*($O$6:$AB$6&gt;6))=$C126,"Solo apartamentos","Mixta ("&amp;SUMPRODUCT($O126:$AB126*($O$6:$AB$6&lt;=6))&amp;" casas + "&amp;SUMPRODUCT($O126:$AB126*($O$6:$AB$6&gt;6))&amp;" aptos)"))</f>
        <v/>
      </c>
      <c r="F126" s="151">
        <f>_xlfn.MINIFS($O$7:$AB$7,$O126:$AB126,1)</f>
        <v/>
      </c>
      <c r="G126" s="151">
        <f>_xlfn.MAXIFS($O$7:$AB$7,$O126:$AB126,1)</f>
        <v/>
      </c>
      <c r="H126" s="151">
        <f>SUMPRODUCT($O126:$AB126,$O$7:$AB$7)/C126</f>
        <v/>
      </c>
      <c r="I126" s="151">
        <f>_xlfn.AGGREGATE(16,6,$O$7:$AB$7/($O126:$AB126=1),0.5)</f>
        <v/>
      </c>
      <c r="J126" s="151">
        <f>SQRT((SUMPRODUCT($O126:$AB126,$O$7:$AB$7^2)-C126*H126^2)/(C126-1))</f>
        <v/>
      </c>
      <c r="K126" s="152">
        <f>J126/H126</f>
        <v/>
      </c>
      <c r="L126" s="151">
        <f>H126-J126</f>
        <v/>
      </c>
      <c r="M126" s="151">
        <f>H126+J126</f>
        <v/>
      </c>
      <c r="N126" s="150">
        <f>IF(K126&lt;=$D$4,"SÍ","NO")</f>
        <v/>
      </c>
      <c r="O126" s="153" t="n">
        <v>0</v>
      </c>
      <c r="P126" s="153" t="n">
        <v>0</v>
      </c>
      <c r="Q126" s="153" t="n">
        <v>0</v>
      </c>
      <c r="R126" s="153" t="n">
        <v>1</v>
      </c>
      <c r="S126" s="153" t="n">
        <v>0</v>
      </c>
      <c r="T126" s="153" t="n">
        <v>0</v>
      </c>
      <c r="U126" s="153" t="n">
        <v>0</v>
      </c>
      <c r="V126" s="153" t="n">
        <v>0</v>
      </c>
      <c r="W126" s="153" t="n">
        <v>0</v>
      </c>
      <c r="X126" s="153" t="n">
        <v>1</v>
      </c>
      <c r="Y126" s="153" t="n">
        <v>0</v>
      </c>
      <c r="Z126" s="153" t="n">
        <v>0</v>
      </c>
      <c r="AA126" s="153" t="n">
        <v>1</v>
      </c>
      <c r="AB126" s="153" t="n">
        <v>0</v>
      </c>
    </row>
    <row r="127">
      <c r="A127" s="164" t="inlineStr">
        <is>
          <t>Todas</t>
        </is>
      </c>
      <c r="B127" s="150" t="n">
        <v>93</v>
      </c>
      <c r="C127" s="150">
        <f>SUM($O127:$AB127)</f>
        <v/>
      </c>
      <c r="D127" s="164">
        <f>SUBSTITUTE(TRIM(IF(O127=1,O$6&amp;" ","")&amp;IF(P127=1,P$6&amp;" ","")&amp;IF(Q127=1,Q$6&amp;" ","")&amp;IF(R127=1,R$6&amp;" ","")&amp;IF(S127=1,S$6&amp;" ","")&amp;IF(T127=1,T$6&amp;" ","")&amp;IF(U127=1,U$6&amp;" ","")&amp;IF(V127=1,V$6&amp;" ","")&amp;IF(W127=1,W$6&amp;" ","")&amp;IF(X127=1,X$6&amp;" ","")&amp;IF(Y127=1,Y$6&amp;" ","")&amp;IF(Z127=1,Z$6&amp;" ","")&amp;IF(AA127=1,AA$6&amp;" ","")&amp;IF(AB127=1,AB$6&amp;" ",""))," ",", ")</f>
        <v/>
      </c>
      <c r="E127" s="164">
        <f>IF(SUMPRODUCT($O127:$AB127*($O$6:$AB$6&lt;=6))=$C127,"Solo casas",IF(SUMPRODUCT($O127:$AB127*($O$6:$AB$6&gt;6))=$C127,"Solo apartamentos","Mixta ("&amp;SUMPRODUCT($O127:$AB127*($O$6:$AB$6&lt;=6))&amp;" casas + "&amp;SUMPRODUCT($O127:$AB127*($O$6:$AB$6&gt;6))&amp;" aptos)"))</f>
        <v/>
      </c>
      <c r="F127" s="151">
        <f>_xlfn.MINIFS($O$7:$AB$7,$O127:$AB127,1)</f>
        <v/>
      </c>
      <c r="G127" s="151">
        <f>_xlfn.MAXIFS($O$7:$AB$7,$O127:$AB127,1)</f>
        <v/>
      </c>
      <c r="H127" s="151">
        <f>SUMPRODUCT($O127:$AB127,$O$7:$AB$7)/C127</f>
        <v/>
      </c>
      <c r="I127" s="151">
        <f>_xlfn.AGGREGATE(16,6,$O$7:$AB$7/($O127:$AB127=1),0.5)</f>
        <v/>
      </c>
      <c r="J127" s="151">
        <f>SQRT((SUMPRODUCT($O127:$AB127,$O$7:$AB$7^2)-C127*H127^2)/(C127-1))</f>
        <v/>
      </c>
      <c r="K127" s="152">
        <f>J127/H127</f>
        <v/>
      </c>
      <c r="L127" s="151">
        <f>H127-J127</f>
        <v/>
      </c>
      <c r="M127" s="151">
        <f>H127+J127</f>
        <v/>
      </c>
      <c r="N127" s="150">
        <f>IF(K127&lt;=$D$4,"SÍ","NO")</f>
        <v/>
      </c>
      <c r="O127" s="153" t="n">
        <v>0</v>
      </c>
      <c r="P127" s="153" t="n">
        <v>0</v>
      </c>
      <c r="Q127" s="153" t="n">
        <v>0</v>
      </c>
      <c r="R127" s="153" t="n">
        <v>0</v>
      </c>
      <c r="S127" s="153" t="n">
        <v>1</v>
      </c>
      <c r="T127" s="153" t="n">
        <v>0</v>
      </c>
      <c r="U127" s="153" t="n">
        <v>0</v>
      </c>
      <c r="V127" s="153" t="n">
        <v>1</v>
      </c>
      <c r="W127" s="153" t="n">
        <v>0</v>
      </c>
      <c r="X127" s="153" t="n">
        <v>0</v>
      </c>
      <c r="Y127" s="153" t="n">
        <v>1</v>
      </c>
      <c r="Z127" s="153" t="n">
        <v>0</v>
      </c>
      <c r="AA127" s="153" t="n">
        <v>0</v>
      </c>
      <c r="AB127" s="153" t="n">
        <v>0</v>
      </c>
    </row>
    <row r="128">
      <c r="A128" s="164" t="inlineStr">
        <is>
          <t>Todas</t>
        </is>
      </c>
      <c r="B128" s="150" t="n">
        <v>94</v>
      </c>
      <c r="C128" s="150">
        <f>SUM($O128:$AB128)</f>
        <v/>
      </c>
      <c r="D128" s="164">
        <f>SUBSTITUTE(TRIM(IF(O128=1,O$6&amp;" ","")&amp;IF(P128=1,P$6&amp;" ","")&amp;IF(Q128=1,Q$6&amp;" ","")&amp;IF(R128=1,R$6&amp;" ","")&amp;IF(S128=1,S$6&amp;" ","")&amp;IF(T128=1,T$6&amp;" ","")&amp;IF(U128=1,U$6&amp;" ","")&amp;IF(V128=1,V$6&amp;" ","")&amp;IF(W128=1,W$6&amp;" ","")&amp;IF(X128=1,X$6&amp;" ","")&amp;IF(Y128=1,Y$6&amp;" ","")&amp;IF(Z128=1,Z$6&amp;" ","")&amp;IF(AA128=1,AA$6&amp;" ","")&amp;IF(AB128=1,AB$6&amp;" ",""))," ",", ")</f>
        <v/>
      </c>
      <c r="E128" s="164">
        <f>IF(SUMPRODUCT($O128:$AB128*($O$6:$AB$6&lt;=6))=$C128,"Solo casas",IF(SUMPRODUCT($O128:$AB128*($O$6:$AB$6&gt;6))=$C128,"Solo apartamentos","Mixta ("&amp;SUMPRODUCT($O128:$AB128*($O$6:$AB$6&lt;=6))&amp;" casas + "&amp;SUMPRODUCT($O128:$AB128*($O$6:$AB$6&gt;6))&amp;" aptos)"))</f>
        <v/>
      </c>
      <c r="F128" s="151">
        <f>_xlfn.MINIFS($O$7:$AB$7,$O128:$AB128,1)</f>
        <v/>
      </c>
      <c r="G128" s="151">
        <f>_xlfn.MAXIFS($O$7:$AB$7,$O128:$AB128,1)</f>
        <v/>
      </c>
      <c r="H128" s="151">
        <f>SUMPRODUCT($O128:$AB128,$O$7:$AB$7)/C128</f>
        <v/>
      </c>
      <c r="I128" s="151">
        <f>_xlfn.AGGREGATE(16,6,$O$7:$AB$7/($O128:$AB128=1),0.5)</f>
        <v/>
      </c>
      <c r="J128" s="151">
        <f>SQRT((SUMPRODUCT($O128:$AB128,$O$7:$AB$7^2)-C128*H128^2)/(C128-1))</f>
        <v/>
      </c>
      <c r="K128" s="152">
        <f>J128/H128</f>
        <v/>
      </c>
      <c r="L128" s="151">
        <f>H128-J128</f>
        <v/>
      </c>
      <c r="M128" s="151">
        <f>H128+J128</f>
        <v/>
      </c>
      <c r="N128" s="150">
        <f>IF(K128&lt;=$D$4,"SÍ","NO")</f>
        <v/>
      </c>
      <c r="O128" s="153" t="n">
        <v>0</v>
      </c>
      <c r="P128" s="153" t="n">
        <v>0</v>
      </c>
      <c r="Q128" s="153" t="n">
        <v>0</v>
      </c>
      <c r="R128" s="153" t="n">
        <v>0</v>
      </c>
      <c r="S128" s="153" t="n">
        <v>0</v>
      </c>
      <c r="T128" s="153" t="n">
        <v>1</v>
      </c>
      <c r="U128" s="153" t="n">
        <v>1</v>
      </c>
      <c r="V128" s="153" t="n">
        <v>0</v>
      </c>
      <c r="W128" s="153" t="n">
        <v>0</v>
      </c>
      <c r="X128" s="153" t="n">
        <v>0</v>
      </c>
      <c r="Y128" s="153" t="n">
        <v>0</v>
      </c>
      <c r="Z128" s="153" t="n">
        <v>1</v>
      </c>
      <c r="AA128" s="153" t="n">
        <v>0</v>
      </c>
      <c r="AB128" s="153" t="n">
        <v>0</v>
      </c>
    </row>
    <row r="129">
      <c r="A129" s="164" t="inlineStr">
        <is>
          <t>Todas</t>
        </is>
      </c>
      <c r="B129" s="150" t="n">
        <v>95</v>
      </c>
      <c r="C129" s="150">
        <f>SUM($O129:$AB129)</f>
        <v/>
      </c>
      <c r="D129" s="164">
        <f>SUBSTITUTE(TRIM(IF(O129=1,O$6&amp;" ","")&amp;IF(P129=1,P$6&amp;" ","")&amp;IF(Q129=1,Q$6&amp;" ","")&amp;IF(R129=1,R$6&amp;" ","")&amp;IF(S129=1,S$6&amp;" ","")&amp;IF(T129=1,T$6&amp;" ","")&amp;IF(U129=1,U$6&amp;" ","")&amp;IF(V129=1,V$6&amp;" ","")&amp;IF(W129=1,W$6&amp;" ","")&amp;IF(X129=1,X$6&amp;" ","")&amp;IF(Y129=1,Y$6&amp;" ","")&amp;IF(Z129=1,Z$6&amp;" ","")&amp;IF(AA129=1,AA$6&amp;" ","")&amp;IF(AB129=1,AB$6&amp;" ",""))," ",", ")</f>
        <v/>
      </c>
      <c r="E129" s="164">
        <f>IF(SUMPRODUCT($O129:$AB129*($O$6:$AB$6&lt;=6))=$C129,"Solo casas",IF(SUMPRODUCT($O129:$AB129*($O$6:$AB$6&gt;6))=$C129,"Solo apartamentos","Mixta ("&amp;SUMPRODUCT($O129:$AB129*($O$6:$AB$6&lt;=6))&amp;" casas + "&amp;SUMPRODUCT($O129:$AB129*($O$6:$AB$6&gt;6))&amp;" aptos)"))</f>
        <v/>
      </c>
      <c r="F129" s="151">
        <f>_xlfn.MINIFS($O$7:$AB$7,$O129:$AB129,1)</f>
        <v/>
      </c>
      <c r="G129" s="151">
        <f>_xlfn.MAXIFS($O$7:$AB$7,$O129:$AB129,1)</f>
        <v/>
      </c>
      <c r="H129" s="151">
        <f>SUMPRODUCT($O129:$AB129,$O$7:$AB$7)/C129</f>
        <v/>
      </c>
      <c r="I129" s="151">
        <f>_xlfn.AGGREGATE(16,6,$O$7:$AB$7/($O129:$AB129=1),0.5)</f>
        <v/>
      </c>
      <c r="J129" s="151">
        <f>SQRT((SUMPRODUCT($O129:$AB129,$O$7:$AB$7^2)-C129*H129^2)/(C129-1))</f>
        <v/>
      </c>
      <c r="K129" s="152">
        <f>J129/H129</f>
        <v/>
      </c>
      <c r="L129" s="151">
        <f>H129-J129</f>
        <v/>
      </c>
      <c r="M129" s="151">
        <f>H129+J129</f>
        <v/>
      </c>
      <c r="N129" s="150">
        <f>IF(K129&lt;=$D$4,"SÍ","NO")</f>
        <v/>
      </c>
      <c r="O129" s="153" t="n">
        <v>0</v>
      </c>
      <c r="P129" s="153" t="n">
        <v>0</v>
      </c>
      <c r="Q129" s="153" t="n">
        <v>0</v>
      </c>
      <c r="R129" s="153" t="n">
        <v>0</v>
      </c>
      <c r="S129" s="153" t="n">
        <v>0</v>
      </c>
      <c r="T129" s="153" t="n">
        <v>0</v>
      </c>
      <c r="U129" s="153" t="n">
        <v>1</v>
      </c>
      <c r="V129" s="153" t="n">
        <v>1</v>
      </c>
      <c r="W129" s="153" t="n">
        <v>0</v>
      </c>
      <c r="X129" s="153" t="n">
        <v>0</v>
      </c>
      <c r="Y129" s="153" t="n">
        <v>1</v>
      </c>
      <c r="Z129" s="153" t="n">
        <v>0</v>
      </c>
      <c r="AA129" s="153" t="n">
        <v>0</v>
      </c>
      <c r="AB129" s="153" t="n">
        <v>0</v>
      </c>
    </row>
    <row r="130">
      <c r="A130" s="164" t="inlineStr">
        <is>
          <t>Todas</t>
        </is>
      </c>
      <c r="B130" s="150" t="n">
        <v>96</v>
      </c>
      <c r="C130" s="150">
        <f>SUM($O130:$AB130)</f>
        <v/>
      </c>
      <c r="D130" s="164">
        <f>SUBSTITUTE(TRIM(IF(O130=1,O$6&amp;" ","")&amp;IF(P130=1,P$6&amp;" ","")&amp;IF(Q130=1,Q$6&amp;" ","")&amp;IF(R130=1,R$6&amp;" ","")&amp;IF(S130=1,S$6&amp;" ","")&amp;IF(T130=1,T$6&amp;" ","")&amp;IF(U130=1,U$6&amp;" ","")&amp;IF(V130=1,V$6&amp;" ","")&amp;IF(W130=1,W$6&amp;" ","")&amp;IF(X130=1,X$6&amp;" ","")&amp;IF(Y130=1,Y$6&amp;" ","")&amp;IF(Z130=1,Z$6&amp;" ","")&amp;IF(AA130=1,AA$6&amp;" ","")&amp;IF(AB130=1,AB$6&amp;" ",""))," ",", ")</f>
        <v/>
      </c>
      <c r="E130" s="164">
        <f>IF(SUMPRODUCT($O130:$AB130*($O$6:$AB$6&lt;=6))=$C130,"Solo casas",IF(SUMPRODUCT($O130:$AB130*($O$6:$AB$6&gt;6))=$C130,"Solo apartamentos","Mixta ("&amp;SUMPRODUCT($O130:$AB130*($O$6:$AB$6&lt;=6))&amp;" casas + "&amp;SUMPRODUCT($O130:$AB130*($O$6:$AB$6&gt;6))&amp;" aptos)"))</f>
        <v/>
      </c>
      <c r="F130" s="151">
        <f>_xlfn.MINIFS($O$7:$AB$7,$O130:$AB130,1)</f>
        <v/>
      </c>
      <c r="G130" s="151">
        <f>_xlfn.MAXIFS($O$7:$AB$7,$O130:$AB130,1)</f>
        <v/>
      </c>
      <c r="H130" s="151">
        <f>SUMPRODUCT($O130:$AB130,$O$7:$AB$7)/C130</f>
        <v/>
      </c>
      <c r="I130" s="151">
        <f>_xlfn.AGGREGATE(16,6,$O$7:$AB$7/($O130:$AB130=1),0.5)</f>
        <v/>
      </c>
      <c r="J130" s="151">
        <f>SQRT((SUMPRODUCT($O130:$AB130,$O$7:$AB$7^2)-C130*H130^2)/(C130-1))</f>
        <v/>
      </c>
      <c r="K130" s="152">
        <f>J130/H130</f>
        <v/>
      </c>
      <c r="L130" s="151">
        <f>H130-J130</f>
        <v/>
      </c>
      <c r="M130" s="151">
        <f>H130+J130</f>
        <v/>
      </c>
      <c r="N130" s="150">
        <f>IF(K130&lt;=$D$4,"SÍ","NO")</f>
        <v/>
      </c>
      <c r="O130" s="153" t="n">
        <v>0</v>
      </c>
      <c r="P130" s="153" t="n">
        <v>0</v>
      </c>
      <c r="Q130" s="153" t="n">
        <v>0</v>
      </c>
      <c r="R130" s="153" t="n">
        <v>0</v>
      </c>
      <c r="S130" s="153" t="n">
        <v>0</v>
      </c>
      <c r="T130" s="153" t="n">
        <v>1</v>
      </c>
      <c r="U130" s="153" t="n">
        <v>1</v>
      </c>
      <c r="V130" s="153" t="n">
        <v>0</v>
      </c>
      <c r="W130" s="153" t="n">
        <v>0</v>
      </c>
      <c r="X130" s="153" t="n">
        <v>0</v>
      </c>
      <c r="Y130" s="153" t="n">
        <v>1</v>
      </c>
      <c r="Z130" s="153" t="n">
        <v>0</v>
      </c>
      <c r="AA130" s="153" t="n">
        <v>0</v>
      </c>
      <c r="AB130" s="153" t="n">
        <v>0</v>
      </c>
    </row>
    <row r="131">
      <c r="A131" s="164" t="inlineStr">
        <is>
          <t>Todas</t>
        </is>
      </c>
      <c r="B131" s="150" t="n">
        <v>97</v>
      </c>
      <c r="C131" s="150">
        <f>SUM($O131:$AB131)</f>
        <v/>
      </c>
      <c r="D131" s="164">
        <f>SUBSTITUTE(TRIM(IF(O131=1,O$6&amp;" ","")&amp;IF(P131=1,P$6&amp;" ","")&amp;IF(Q131=1,Q$6&amp;" ","")&amp;IF(R131=1,R$6&amp;" ","")&amp;IF(S131=1,S$6&amp;" ","")&amp;IF(T131=1,T$6&amp;" ","")&amp;IF(U131=1,U$6&amp;" ","")&amp;IF(V131=1,V$6&amp;" ","")&amp;IF(W131=1,W$6&amp;" ","")&amp;IF(X131=1,X$6&amp;" ","")&amp;IF(Y131=1,Y$6&amp;" ","")&amp;IF(Z131=1,Z$6&amp;" ","")&amp;IF(AA131=1,AA$6&amp;" ","")&amp;IF(AB131=1,AB$6&amp;" ",""))," ",", ")</f>
        <v/>
      </c>
      <c r="E131" s="164">
        <f>IF(SUMPRODUCT($O131:$AB131*($O$6:$AB$6&lt;=6))=$C131,"Solo casas",IF(SUMPRODUCT($O131:$AB131*($O$6:$AB$6&gt;6))=$C131,"Solo apartamentos","Mixta ("&amp;SUMPRODUCT($O131:$AB131*($O$6:$AB$6&lt;=6))&amp;" casas + "&amp;SUMPRODUCT($O131:$AB131*($O$6:$AB$6&gt;6))&amp;" aptos)"))</f>
        <v/>
      </c>
      <c r="F131" s="151">
        <f>_xlfn.MINIFS($O$7:$AB$7,$O131:$AB131,1)</f>
        <v/>
      </c>
      <c r="G131" s="151">
        <f>_xlfn.MAXIFS($O$7:$AB$7,$O131:$AB131,1)</f>
        <v/>
      </c>
      <c r="H131" s="151">
        <f>SUMPRODUCT($O131:$AB131,$O$7:$AB$7)/C131</f>
        <v/>
      </c>
      <c r="I131" s="151">
        <f>_xlfn.AGGREGATE(16,6,$O$7:$AB$7/($O131:$AB131=1),0.5)</f>
        <v/>
      </c>
      <c r="J131" s="151">
        <f>SQRT((SUMPRODUCT($O131:$AB131,$O$7:$AB$7^2)-C131*H131^2)/(C131-1))</f>
        <v/>
      </c>
      <c r="K131" s="152">
        <f>J131/H131</f>
        <v/>
      </c>
      <c r="L131" s="151">
        <f>H131-J131</f>
        <v/>
      </c>
      <c r="M131" s="151">
        <f>H131+J131</f>
        <v/>
      </c>
      <c r="N131" s="150">
        <f>IF(K131&lt;=$D$4,"SÍ","NO")</f>
        <v/>
      </c>
      <c r="O131" s="153" t="n">
        <v>0</v>
      </c>
      <c r="P131" s="153" t="n">
        <v>0</v>
      </c>
      <c r="Q131" s="153" t="n">
        <v>0</v>
      </c>
      <c r="R131" s="153" t="n">
        <v>0</v>
      </c>
      <c r="S131" s="153" t="n">
        <v>0</v>
      </c>
      <c r="T131" s="153" t="n">
        <v>0</v>
      </c>
      <c r="U131" s="153" t="n">
        <v>1</v>
      </c>
      <c r="V131" s="153" t="n">
        <v>0</v>
      </c>
      <c r="W131" s="153" t="n">
        <v>0</v>
      </c>
      <c r="X131" s="153" t="n">
        <v>0</v>
      </c>
      <c r="Y131" s="153" t="n">
        <v>1</v>
      </c>
      <c r="Z131" s="153" t="n">
        <v>1</v>
      </c>
      <c r="AA131" s="153" t="n">
        <v>0</v>
      </c>
      <c r="AB131" s="153" t="n">
        <v>0</v>
      </c>
    </row>
    <row r="132">
      <c r="A132" s="164" t="inlineStr">
        <is>
          <t>Todas</t>
        </is>
      </c>
      <c r="B132" s="150" t="n">
        <v>98</v>
      </c>
      <c r="C132" s="150">
        <f>SUM($O132:$AB132)</f>
        <v/>
      </c>
      <c r="D132" s="164">
        <f>SUBSTITUTE(TRIM(IF(O132=1,O$6&amp;" ","")&amp;IF(P132=1,P$6&amp;" ","")&amp;IF(Q132=1,Q$6&amp;" ","")&amp;IF(R132=1,R$6&amp;" ","")&amp;IF(S132=1,S$6&amp;" ","")&amp;IF(T132=1,T$6&amp;" ","")&amp;IF(U132=1,U$6&amp;" ","")&amp;IF(V132=1,V$6&amp;" ","")&amp;IF(W132=1,W$6&amp;" ","")&amp;IF(X132=1,X$6&amp;" ","")&amp;IF(Y132=1,Y$6&amp;" ","")&amp;IF(Z132=1,Z$6&amp;" ","")&amp;IF(AA132=1,AA$6&amp;" ","")&amp;IF(AB132=1,AB$6&amp;" ",""))," ",", ")</f>
        <v/>
      </c>
      <c r="E132" s="164">
        <f>IF(SUMPRODUCT($O132:$AB132*($O$6:$AB$6&lt;=6))=$C132,"Solo casas",IF(SUMPRODUCT($O132:$AB132*($O$6:$AB$6&gt;6))=$C132,"Solo apartamentos","Mixta ("&amp;SUMPRODUCT($O132:$AB132*($O$6:$AB$6&lt;=6))&amp;" casas + "&amp;SUMPRODUCT($O132:$AB132*($O$6:$AB$6&gt;6))&amp;" aptos)"))</f>
        <v/>
      </c>
      <c r="F132" s="151">
        <f>_xlfn.MINIFS($O$7:$AB$7,$O132:$AB132,1)</f>
        <v/>
      </c>
      <c r="G132" s="151">
        <f>_xlfn.MAXIFS($O$7:$AB$7,$O132:$AB132,1)</f>
        <v/>
      </c>
      <c r="H132" s="151">
        <f>SUMPRODUCT($O132:$AB132,$O$7:$AB$7)/C132</f>
        <v/>
      </c>
      <c r="I132" s="151">
        <f>_xlfn.AGGREGATE(16,6,$O$7:$AB$7/($O132:$AB132=1),0.5)</f>
        <v/>
      </c>
      <c r="J132" s="151">
        <f>SQRT((SUMPRODUCT($O132:$AB132,$O$7:$AB$7^2)-C132*H132^2)/(C132-1))</f>
        <v/>
      </c>
      <c r="K132" s="152">
        <f>J132/H132</f>
        <v/>
      </c>
      <c r="L132" s="151">
        <f>H132-J132</f>
        <v/>
      </c>
      <c r="M132" s="151">
        <f>H132+J132</f>
        <v/>
      </c>
      <c r="N132" s="150">
        <f>IF(K132&lt;=$D$4,"SÍ","NO")</f>
        <v/>
      </c>
      <c r="O132" s="153" t="n">
        <v>0</v>
      </c>
      <c r="P132" s="153" t="n">
        <v>0</v>
      </c>
      <c r="Q132" s="153" t="n">
        <v>0</v>
      </c>
      <c r="R132" s="153" t="n">
        <v>0</v>
      </c>
      <c r="S132" s="153" t="n">
        <v>1</v>
      </c>
      <c r="T132" s="153" t="n">
        <v>0</v>
      </c>
      <c r="U132" s="153" t="n">
        <v>1</v>
      </c>
      <c r="V132" s="153" t="n">
        <v>0</v>
      </c>
      <c r="W132" s="153" t="n">
        <v>0</v>
      </c>
      <c r="X132" s="153" t="n">
        <v>0</v>
      </c>
      <c r="Y132" s="153" t="n">
        <v>1</v>
      </c>
      <c r="Z132" s="153" t="n">
        <v>0</v>
      </c>
      <c r="AA132" s="153" t="n">
        <v>0</v>
      </c>
      <c r="AB132" s="153" t="n">
        <v>0</v>
      </c>
    </row>
    <row r="133">
      <c r="A133" s="164" t="inlineStr">
        <is>
          <t>Todas</t>
        </is>
      </c>
      <c r="B133" s="150" t="n">
        <v>99</v>
      </c>
      <c r="C133" s="150">
        <f>SUM($O133:$AB133)</f>
        <v/>
      </c>
      <c r="D133" s="164">
        <f>SUBSTITUTE(TRIM(IF(O133=1,O$6&amp;" ","")&amp;IF(P133=1,P$6&amp;" ","")&amp;IF(Q133=1,Q$6&amp;" ","")&amp;IF(R133=1,R$6&amp;" ","")&amp;IF(S133=1,S$6&amp;" ","")&amp;IF(T133=1,T$6&amp;" ","")&amp;IF(U133=1,U$6&amp;" ","")&amp;IF(V133=1,V$6&amp;" ","")&amp;IF(W133=1,W$6&amp;" ","")&amp;IF(X133=1,X$6&amp;" ","")&amp;IF(Y133=1,Y$6&amp;" ","")&amp;IF(Z133=1,Z$6&amp;" ","")&amp;IF(AA133=1,AA$6&amp;" ","")&amp;IF(AB133=1,AB$6&amp;" ",""))," ",", ")</f>
        <v/>
      </c>
      <c r="E133" s="164">
        <f>IF(SUMPRODUCT($O133:$AB133*($O$6:$AB$6&lt;=6))=$C133,"Solo casas",IF(SUMPRODUCT($O133:$AB133*($O$6:$AB$6&gt;6))=$C133,"Solo apartamentos","Mixta ("&amp;SUMPRODUCT($O133:$AB133*($O$6:$AB$6&lt;=6))&amp;" casas + "&amp;SUMPRODUCT($O133:$AB133*($O$6:$AB$6&gt;6))&amp;" aptos)"))</f>
        <v/>
      </c>
      <c r="F133" s="151">
        <f>_xlfn.MINIFS($O$7:$AB$7,$O133:$AB133,1)</f>
        <v/>
      </c>
      <c r="G133" s="151">
        <f>_xlfn.MAXIFS($O$7:$AB$7,$O133:$AB133,1)</f>
        <v/>
      </c>
      <c r="H133" s="151">
        <f>SUMPRODUCT($O133:$AB133,$O$7:$AB$7)/C133</f>
        <v/>
      </c>
      <c r="I133" s="151">
        <f>_xlfn.AGGREGATE(16,6,$O$7:$AB$7/($O133:$AB133=1),0.5)</f>
        <v/>
      </c>
      <c r="J133" s="151">
        <f>SQRT((SUMPRODUCT($O133:$AB133,$O$7:$AB$7^2)-C133*H133^2)/(C133-1))</f>
        <v/>
      </c>
      <c r="K133" s="152">
        <f>J133/H133</f>
        <v/>
      </c>
      <c r="L133" s="151">
        <f>H133-J133</f>
        <v/>
      </c>
      <c r="M133" s="151">
        <f>H133+J133</f>
        <v/>
      </c>
      <c r="N133" s="150">
        <f>IF(K133&lt;=$D$4,"SÍ","NO")</f>
        <v/>
      </c>
      <c r="O133" s="153" t="n">
        <v>0</v>
      </c>
      <c r="P133" s="153" t="n">
        <v>0</v>
      </c>
      <c r="Q133" s="153" t="n">
        <v>0</v>
      </c>
      <c r="R133" s="153" t="n">
        <v>0</v>
      </c>
      <c r="S133" s="153" t="n">
        <v>1</v>
      </c>
      <c r="T133" s="153" t="n">
        <v>0</v>
      </c>
      <c r="U133" s="153" t="n">
        <v>1</v>
      </c>
      <c r="V133" s="153" t="n">
        <v>1</v>
      </c>
      <c r="W133" s="153" t="n">
        <v>0</v>
      </c>
      <c r="X133" s="153" t="n">
        <v>0</v>
      </c>
      <c r="Y133" s="153" t="n">
        <v>0</v>
      </c>
      <c r="Z133" s="153" t="n">
        <v>0</v>
      </c>
      <c r="AA133" s="153" t="n">
        <v>0</v>
      </c>
      <c r="AB133" s="153" t="n">
        <v>0</v>
      </c>
    </row>
    <row r="134">
      <c r="A134" s="164" t="inlineStr">
        <is>
          <t>Todas</t>
        </is>
      </c>
      <c r="B134" s="150" t="n">
        <v>100</v>
      </c>
      <c r="C134" s="150">
        <f>SUM($O134:$AB134)</f>
        <v/>
      </c>
      <c r="D134" s="164">
        <f>SUBSTITUTE(TRIM(IF(O134=1,O$6&amp;" ","")&amp;IF(P134=1,P$6&amp;" ","")&amp;IF(Q134=1,Q$6&amp;" ","")&amp;IF(R134=1,R$6&amp;" ","")&amp;IF(S134=1,S$6&amp;" ","")&amp;IF(T134=1,T$6&amp;" ","")&amp;IF(U134=1,U$6&amp;" ","")&amp;IF(V134=1,V$6&amp;" ","")&amp;IF(W134=1,W$6&amp;" ","")&amp;IF(X134=1,X$6&amp;" ","")&amp;IF(Y134=1,Y$6&amp;" ","")&amp;IF(Z134=1,Z$6&amp;" ","")&amp;IF(AA134=1,AA$6&amp;" ","")&amp;IF(AB134=1,AB$6&amp;" ",""))," ",", ")</f>
        <v/>
      </c>
      <c r="E134" s="164">
        <f>IF(SUMPRODUCT($O134:$AB134*($O$6:$AB$6&lt;=6))=$C134,"Solo casas",IF(SUMPRODUCT($O134:$AB134*($O$6:$AB$6&gt;6))=$C134,"Solo apartamentos","Mixta ("&amp;SUMPRODUCT($O134:$AB134*($O$6:$AB$6&lt;=6))&amp;" casas + "&amp;SUMPRODUCT($O134:$AB134*($O$6:$AB$6&gt;6))&amp;" aptos)"))</f>
        <v/>
      </c>
      <c r="F134" s="151">
        <f>_xlfn.MINIFS($O$7:$AB$7,$O134:$AB134,1)</f>
        <v/>
      </c>
      <c r="G134" s="151">
        <f>_xlfn.MAXIFS($O$7:$AB$7,$O134:$AB134,1)</f>
        <v/>
      </c>
      <c r="H134" s="151">
        <f>SUMPRODUCT($O134:$AB134,$O$7:$AB$7)/C134</f>
        <v/>
      </c>
      <c r="I134" s="151">
        <f>_xlfn.AGGREGATE(16,6,$O$7:$AB$7/($O134:$AB134=1),0.5)</f>
        <v/>
      </c>
      <c r="J134" s="151">
        <f>SQRT((SUMPRODUCT($O134:$AB134,$O$7:$AB$7^2)-C134*H134^2)/(C134-1))</f>
        <v/>
      </c>
      <c r="K134" s="152">
        <f>J134/H134</f>
        <v/>
      </c>
      <c r="L134" s="151">
        <f>H134-J134</f>
        <v/>
      </c>
      <c r="M134" s="151">
        <f>H134+J134</f>
        <v/>
      </c>
      <c r="N134" s="150">
        <f>IF(K134&lt;=$D$4,"SÍ","NO")</f>
        <v/>
      </c>
      <c r="O134" s="153" t="n">
        <v>1</v>
      </c>
      <c r="P134" s="153" t="n">
        <v>1</v>
      </c>
      <c r="Q134" s="153" t="n">
        <v>1</v>
      </c>
      <c r="R134" s="153" t="n">
        <v>0</v>
      </c>
      <c r="S134" s="153" t="n">
        <v>0</v>
      </c>
      <c r="T134" s="153" t="n">
        <v>0</v>
      </c>
      <c r="U134" s="153" t="n">
        <v>0</v>
      </c>
      <c r="V134" s="153" t="n">
        <v>0</v>
      </c>
      <c r="W134" s="153" t="n">
        <v>0</v>
      </c>
      <c r="X134" s="153" t="n">
        <v>0</v>
      </c>
      <c r="Y134" s="153" t="n">
        <v>0</v>
      </c>
      <c r="Z134" s="153" t="n">
        <v>0</v>
      </c>
      <c r="AA134" s="153" t="n">
        <v>0</v>
      </c>
      <c r="AB134" s="153" t="n">
        <v>0</v>
      </c>
    </row>
    <row r="135">
      <c r="A135" s="164" t="inlineStr">
        <is>
          <t>Todas</t>
        </is>
      </c>
      <c r="B135" s="150" t="n">
        <v>101</v>
      </c>
      <c r="C135" s="150">
        <f>SUM($O135:$AB135)</f>
        <v/>
      </c>
      <c r="D135" s="164">
        <f>SUBSTITUTE(TRIM(IF(O135=1,O$6&amp;" ","")&amp;IF(P135=1,P$6&amp;" ","")&amp;IF(Q135=1,Q$6&amp;" ","")&amp;IF(R135=1,R$6&amp;" ","")&amp;IF(S135=1,S$6&amp;" ","")&amp;IF(T135=1,T$6&amp;" ","")&amp;IF(U135=1,U$6&amp;" ","")&amp;IF(V135=1,V$6&amp;" ","")&amp;IF(W135=1,W$6&amp;" ","")&amp;IF(X135=1,X$6&amp;" ","")&amp;IF(Y135=1,Y$6&amp;" ","")&amp;IF(Z135=1,Z$6&amp;" ","")&amp;IF(AA135=1,AA$6&amp;" ","")&amp;IF(AB135=1,AB$6&amp;" ",""))," ",", ")</f>
        <v/>
      </c>
      <c r="E135" s="164">
        <f>IF(SUMPRODUCT($O135:$AB135*($O$6:$AB$6&lt;=6))=$C135,"Solo casas",IF(SUMPRODUCT($O135:$AB135*($O$6:$AB$6&gt;6))=$C135,"Solo apartamentos","Mixta ("&amp;SUMPRODUCT($O135:$AB135*($O$6:$AB$6&lt;=6))&amp;" casas + "&amp;SUMPRODUCT($O135:$AB135*($O$6:$AB$6&gt;6))&amp;" aptos)"))</f>
        <v/>
      </c>
      <c r="F135" s="151">
        <f>_xlfn.MINIFS($O$7:$AB$7,$O135:$AB135,1)</f>
        <v/>
      </c>
      <c r="G135" s="151">
        <f>_xlfn.MAXIFS($O$7:$AB$7,$O135:$AB135,1)</f>
        <v/>
      </c>
      <c r="H135" s="151">
        <f>SUMPRODUCT($O135:$AB135,$O$7:$AB$7)/C135</f>
        <v/>
      </c>
      <c r="I135" s="151">
        <f>_xlfn.AGGREGATE(16,6,$O$7:$AB$7/($O135:$AB135=1),0.5)</f>
        <v/>
      </c>
      <c r="J135" s="151">
        <f>SQRT((SUMPRODUCT($O135:$AB135,$O$7:$AB$7^2)-C135*H135^2)/(C135-1))</f>
        <v/>
      </c>
      <c r="K135" s="152">
        <f>J135/H135</f>
        <v/>
      </c>
      <c r="L135" s="151">
        <f>H135-J135</f>
        <v/>
      </c>
      <c r="M135" s="151">
        <f>H135+J135</f>
        <v/>
      </c>
      <c r="N135" s="150">
        <f>IF(K135&lt;=$D$4,"SÍ","NO")</f>
        <v/>
      </c>
      <c r="O135" s="153" t="n">
        <v>0</v>
      </c>
      <c r="P135" s="153" t="n">
        <v>0</v>
      </c>
      <c r="Q135" s="153" t="n">
        <v>0</v>
      </c>
      <c r="R135" s="153" t="n">
        <v>0</v>
      </c>
      <c r="S135" s="153" t="n">
        <v>0</v>
      </c>
      <c r="T135" s="153" t="n">
        <v>1</v>
      </c>
      <c r="U135" s="153" t="n">
        <v>0</v>
      </c>
      <c r="V135" s="153" t="n">
        <v>0</v>
      </c>
      <c r="W135" s="153" t="n">
        <v>0</v>
      </c>
      <c r="X135" s="153" t="n">
        <v>0</v>
      </c>
      <c r="Y135" s="153" t="n">
        <v>1</v>
      </c>
      <c r="Z135" s="153" t="n">
        <v>1</v>
      </c>
      <c r="AA135" s="153" t="n">
        <v>0</v>
      </c>
      <c r="AB135" s="153" t="n">
        <v>0</v>
      </c>
    </row>
    <row r="136">
      <c r="A136" s="164" t="inlineStr">
        <is>
          <t>Todas</t>
        </is>
      </c>
      <c r="B136" s="150" t="n">
        <v>102</v>
      </c>
      <c r="C136" s="150">
        <f>SUM($O136:$AB136)</f>
        <v/>
      </c>
      <c r="D136" s="164">
        <f>SUBSTITUTE(TRIM(IF(O136=1,O$6&amp;" ","")&amp;IF(P136=1,P$6&amp;" ","")&amp;IF(Q136=1,Q$6&amp;" ","")&amp;IF(R136=1,R$6&amp;" ","")&amp;IF(S136=1,S$6&amp;" ","")&amp;IF(T136=1,T$6&amp;" ","")&amp;IF(U136=1,U$6&amp;" ","")&amp;IF(V136=1,V$6&amp;" ","")&amp;IF(W136=1,W$6&amp;" ","")&amp;IF(X136=1,X$6&amp;" ","")&amp;IF(Y136=1,Y$6&amp;" ","")&amp;IF(Z136=1,Z$6&amp;" ","")&amp;IF(AA136=1,AA$6&amp;" ","")&amp;IF(AB136=1,AB$6&amp;" ",""))," ",", ")</f>
        <v/>
      </c>
      <c r="E136" s="164">
        <f>IF(SUMPRODUCT($O136:$AB136*($O$6:$AB$6&lt;=6))=$C136,"Solo casas",IF(SUMPRODUCT($O136:$AB136*($O$6:$AB$6&gt;6))=$C136,"Solo apartamentos","Mixta ("&amp;SUMPRODUCT($O136:$AB136*($O$6:$AB$6&lt;=6))&amp;" casas + "&amp;SUMPRODUCT($O136:$AB136*($O$6:$AB$6&gt;6))&amp;" aptos)"))</f>
        <v/>
      </c>
      <c r="F136" s="151">
        <f>_xlfn.MINIFS($O$7:$AB$7,$O136:$AB136,1)</f>
        <v/>
      </c>
      <c r="G136" s="151">
        <f>_xlfn.MAXIFS($O$7:$AB$7,$O136:$AB136,1)</f>
        <v/>
      </c>
      <c r="H136" s="151">
        <f>SUMPRODUCT($O136:$AB136,$O$7:$AB$7)/C136</f>
        <v/>
      </c>
      <c r="I136" s="151">
        <f>_xlfn.AGGREGATE(16,6,$O$7:$AB$7/($O136:$AB136=1),0.5)</f>
        <v/>
      </c>
      <c r="J136" s="151">
        <f>SQRT((SUMPRODUCT($O136:$AB136,$O$7:$AB$7^2)-C136*H136^2)/(C136-1))</f>
        <v/>
      </c>
      <c r="K136" s="152">
        <f>J136/H136</f>
        <v/>
      </c>
      <c r="L136" s="151">
        <f>H136-J136</f>
        <v/>
      </c>
      <c r="M136" s="151">
        <f>H136+J136</f>
        <v/>
      </c>
      <c r="N136" s="150">
        <f>IF(K136&lt;=$D$4,"SÍ","NO")</f>
        <v/>
      </c>
      <c r="O136" s="153" t="n">
        <v>0</v>
      </c>
      <c r="P136" s="153" t="n">
        <v>0</v>
      </c>
      <c r="Q136" s="153" t="n">
        <v>0</v>
      </c>
      <c r="R136" s="153" t="n">
        <v>0</v>
      </c>
      <c r="S136" s="153" t="n">
        <v>1</v>
      </c>
      <c r="T136" s="153" t="n">
        <v>0</v>
      </c>
      <c r="U136" s="153" t="n">
        <v>0</v>
      </c>
      <c r="V136" s="153" t="n">
        <v>1</v>
      </c>
      <c r="W136" s="153" t="n">
        <v>1</v>
      </c>
      <c r="X136" s="153" t="n">
        <v>0</v>
      </c>
      <c r="Y136" s="153" t="n">
        <v>0</v>
      </c>
      <c r="Z136" s="153" t="n">
        <v>0</v>
      </c>
      <c r="AA136" s="153" t="n">
        <v>0</v>
      </c>
      <c r="AB136" s="153" t="n">
        <v>0</v>
      </c>
    </row>
    <row r="137">
      <c r="A137" s="164" t="inlineStr">
        <is>
          <t>Todas</t>
        </is>
      </c>
      <c r="B137" s="150" t="n">
        <v>103</v>
      </c>
      <c r="C137" s="150">
        <f>SUM($O137:$AB137)</f>
        <v/>
      </c>
      <c r="D137" s="164">
        <f>SUBSTITUTE(TRIM(IF(O137=1,O$6&amp;" ","")&amp;IF(P137=1,P$6&amp;" ","")&amp;IF(Q137=1,Q$6&amp;" ","")&amp;IF(R137=1,R$6&amp;" ","")&amp;IF(S137=1,S$6&amp;" ","")&amp;IF(T137=1,T$6&amp;" ","")&amp;IF(U137=1,U$6&amp;" ","")&amp;IF(V137=1,V$6&amp;" ","")&amp;IF(W137=1,W$6&amp;" ","")&amp;IF(X137=1,X$6&amp;" ","")&amp;IF(Y137=1,Y$6&amp;" ","")&amp;IF(Z137=1,Z$6&amp;" ","")&amp;IF(AA137=1,AA$6&amp;" ","")&amp;IF(AB137=1,AB$6&amp;" ",""))," ",", ")</f>
        <v/>
      </c>
      <c r="E137" s="164">
        <f>IF(SUMPRODUCT($O137:$AB137*($O$6:$AB$6&lt;=6))=$C137,"Solo casas",IF(SUMPRODUCT($O137:$AB137*($O$6:$AB$6&gt;6))=$C137,"Solo apartamentos","Mixta ("&amp;SUMPRODUCT($O137:$AB137*($O$6:$AB$6&lt;=6))&amp;" casas + "&amp;SUMPRODUCT($O137:$AB137*($O$6:$AB$6&gt;6))&amp;" aptos)"))</f>
        <v/>
      </c>
      <c r="F137" s="151">
        <f>_xlfn.MINIFS($O$7:$AB$7,$O137:$AB137,1)</f>
        <v/>
      </c>
      <c r="G137" s="151">
        <f>_xlfn.MAXIFS($O$7:$AB$7,$O137:$AB137,1)</f>
        <v/>
      </c>
      <c r="H137" s="151">
        <f>SUMPRODUCT($O137:$AB137,$O$7:$AB$7)/C137</f>
        <v/>
      </c>
      <c r="I137" s="151">
        <f>_xlfn.AGGREGATE(16,6,$O$7:$AB$7/($O137:$AB137=1),0.5)</f>
        <v/>
      </c>
      <c r="J137" s="151">
        <f>SQRT((SUMPRODUCT($O137:$AB137,$O$7:$AB$7^2)-C137*H137^2)/(C137-1))</f>
        <v/>
      </c>
      <c r="K137" s="152">
        <f>J137/H137</f>
        <v/>
      </c>
      <c r="L137" s="151">
        <f>H137-J137</f>
        <v/>
      </c>
      <c r="M137" s="151">
        <f>H137+J137</f>
        <v/>
      </c>
      <c r="N137" s="150">
        <f>IF(K137&lt;=$D$4,"SÍ","NO")</f>
        <v/>
      </c>
      <c r="O137" s="153" t="n">
        <v>0</v>
      </c>
      <c r="P137" s="153" t="n">
        <v>0</v>
      </c>
      <c r="Q137" s="153" t="n">
        <v>0</v>
      </c>
      <c r="R137" s="153" t="n">
        <v>0</v>
      </c>
      <c r="S137" s="153" t="n">
        <v>0</v>
      </c>
      <c r="T137" s="153" t="n">
        <v>1</v>
      </c>
      <c r="U137" s="153" t="n">
        <v>0</v>
      </c>
      <c r="V137" s="153" t="n">
        <v>1</v>
      </c>
      <c r="W137" s="153" t="n">
        <v>0</v>
      </c>
      <c r="X137" s="153" t="n">
        <v>0</v>
      </c>
      <c r="Y137" s="153" t="n">
        <v>1</v>
      </c>
      <c r="Z137" s="153" t="n">
        <v>0</v>
      </c>
      <c r="AA137" s="153" t="n">
        <v>0</v>
      </c>
      <c r="AB137" s="153" t="n">
        <v>0</v>
      </c>
    </row>
    <row r="138">
      <c r="A138" s="164" t="inlineStr">
        <is>
          <t>Todas</t>
        </is>
      </c>
      <c r="B138" s="150" t="n">
        <v>104</v>
      </c>
      <c r="C138" s="150">
        <f>SUM($O138:$AB138)</f>
        <v/>
      </c>
      <c r="D138" s="164">
        <f>SUBSTITUTE(TRIM(IF(O138=1,O$6&amp;" ","")&amp;IF(P138=1,P$6&amp;" ","")&amp;IF(Q138=1,Q$6&amp;" ","")&amp;IF(R138=1,R$6&amp;" ","")&amp;IF(S138=1,S$6&amp;" ","")&amp;IF(T138=1,T$6&amp;" ","")&amp;IF(U138=1,U$6&amp;" ","")&amp;IF(V138=1,V$6&amp;" ","")&amp;IF(W138=1,W$6&amp;" ","")&amp;IF(X138=1,X$6&amp;" ","")&amp;IF(Y138=1,Y$6&amp;" ","")&amp;IF(Z138=1,Z$6&amp;" ","")&amp;IF(AA138=1,AA$6&amp;" ","")&amp;IF(AB138=1,AB$6&amp;" ",""))," ",", ")</f>
        <v/>
      </c>
      <c r="E138" s="164">
        <f>IF(SUMPRODUCT($O138:$AB138*($O$6:$AB$6&lt;=6))=$C138,"Solo casas",IF(SUMPRODUCT($O138:$AB138*($O$6:$AB$6&gt;6))=$C138,"Solo apartamentos","Mixta ("&amp;SUMPRODUCT($O138:$AB138*($O$6:$AB$6&lt;=6))&amp;" casas + "&amp;SUMPRODUCT($O138:$AB138*($O$6:$AB$6&gt;6))&amp;" aptos)"))</f>
        <v/>
      </c>
      <c r="F138" s="151">
        <f>_xlfn.MINIFS($O$7:$AB$7,$O138:$AB138,1)</f>
        <v/>
      </c>
      <c r="G138" s="151">
        <f>_xlfn.MAXIFS($O$7:$AB$7,$O138:$AB138,1)</f>
        <v/>
      </c>
      <c r="H138" s="151">
        <f>SUMPRODUCT($O138:$AB138,$O$7:$AB$7)/C138</f>
        <v/>
      </c>
      <c r="I138" s="151">
        <f>_xlfn.AGGREGATE(16,6,$O$7:$AB$7/($O138:$AB138=1),0.5)</f>
        <v/>
      </c>
      <c r="J138" s="151">
        <f>SQRT((SUMPRODUCT($O138:$AB138,$O$7:$AB$7^2)-C138*H138^2)/(C138-1))</f>
        <v/>
      </c>
      <c r="K138" s="152">
        <f>J138/H138</f>
        <v/>
      </c>
      <c r="L138" s="151">
        <f>H138-J138</f>
        <v/>
      </c>
      <c r="M138" s="151">
        <f>H138+J138</f>
        <v/>
      </c>
      <c r="N138" s="150">
        <f>IF(K138&lt;=$D$4,"SÍ","NO")</f>
        <v/>
      </c>
      <c r="O138" s="153" t="n">
        <v>0</v>
      </c>
      <c r="P138" s="153" t="n">
        <v>0</v>
      </c>
      <c r="Q138" s="153" t="n">
        <v>0</v>
      </c>
      <c r="R138" s="153" t="n">
        <v>0</v>
      </c>
      <c r="S138" s="153" t="n">
        <v>0</v>
      </c>
      <c r="T138" s="153" t="n">
        <v>0</v>
      </c>
      <c r="U138" s="153" t="n">
        <v>0</v>
      </c>
      <c r="V138" s="153" t="n">
        <v>1</v>
      </c>
      <c r="W138" s="153" t="n">
        <v>0</v>
      </c>
      <c r="X138" s="153" t="n">
        <v>0</v>
      </c>
      <c r="Y138" s="153" t="n">
        <v>1</v>
      </c>
      <c r="Z138" s="153" t="n">
        <v>1</v>
      </c>
      <c r="AA138" s="153" t="n">
        <v>0</v>
      </c>
      <c r="AB138" s="153" t="n">
        <v>0</v>
      </c>
    </row>
    <row r="139">
      <c r="A139" s="164" t="inlineStr">
        <is>
          <t>Todas</t>
        </is>
      </c>
      <c r="B139" s="150" t="n">
        <v>105</v>
      </c>
      <c r="C139" s="150">
        <f>SUM($O139:$AB139)</f>
        <v/>
      </c>
      <c r="D139" s="164">
        <f>SUBSTITUTE(TRIM(IF(O139=1,O$6&amp;" ","")&amp;IF(P139=1,P$6&amp;" ","")&amp;IF(Q139=1,Q$6&amp;" ","")&amp;IF(R139=1,R$6&amp;" ","")&amp;IF(S139=1,S$6&amp;" ","")&amp;IF(T139=1,T$6&amp;" ","")&amp;IF(U139=1,U$6&amp;" ","")&amp;IF(V139=1,V$6&amp;" ","")&amp;IF(W139=1,W$6&amp;" ","")&amp;IF(X139=1,X$6&amp;" ","")&amp;IF(Y139=1,Y$6&amp;" ","")&amp;IF(Z139=1,Z$6&amp;" ","")&amp;IF(AA139=1,AA$6&amp;" ","")&amp;IF(AB139=1,AB$6&amp;" ",""))," ",", ")</f>
        <v/>
      </c>
      <c r="E139" s="164">
        <f>IF(SUMPRODUCT($O139:$AB139*($O$6:$AB$6&lt;=6))=$C139,"Solo casas",IF(SUMPRODUCT($O139:$AB139*($O$6:$AB$6&gt;6))=$C139,"Solo apartamentos","Mixta ("&amp;SUMPRODUCT($O139:$AB139*($O$6:$AB$6&lt;=6))&amp;" casas + "&amp;SUMPRODUCT($O139:$AB139*($O$6:$AB$6&gt;6))&amp;" aptos)"))</f>
        <v/>
      </c>
      <c r="F139" s="151">
        <f>_xlfn.MINIFS($O$7:$AB$7,$O139:$AB139,1)</f>
        <v/>
      </c>
      <c r="G139" s="151">
        <f>_xlfn.MAXIFS($O$7:$AB$7,$O139:$AB139,1)</f>
        <v/>
      </c>
      <c r="H139" s="151">
        <f>SUMPRODUCT($O139:$AB139,$O$7:$AB$7)/C139</f>
        <v/>
      </c>
      <c r="I139" s="151">
        <f>_xlfn.AGGREGATE(16,6,$O$7:$AB$7/($O139:$AB139=1),0.5)</f>
        <v/>
      </c>
      <c r="J139" s="151">
        <f>SQRT((SUMPRODUCT($O139:$AB139,$O$7:$AB$7^2)-C139*H139^2)/(C139-1))</f>
        <v/>
      </c>
      <c r="K139" s="152">
        <f>J139/H139</f>
        <v/>
      </c>
      <c r="L139" s="151">
        <f>H139-J139</f>
        <v/>
      </c>
      <c r="M139" s="151">
        <f>H139+J139</f>
        <v/>
      </c>
      <c r="N139" s="150">
        <f>IF(K139&lt;=$D$4,"SÍ","NO")</f>
        <v/>
      </c>
      <c r="O139" s="153" t="n">
        <v>0</v>
      </c>
      <c r="P139" s="153" t="n">
        <v>0</v>
      </c>
      <c r="Q139" s="153" t="n">
        <v>0</v>
      </c>
      <c r="R139" s="153" t="n">
        <v>0</v>
      </c>
      <c r="S139" s="153" t="n">
        <v>0</v>
      </c>
      <c r="T139" s="153" t="n">
        <v>1</v>
      </c>
      <c r="U139" s="153" t="n">
        <v>1</v>
      </c>
      <c r="V139" s="153" t="n">
        <v>1</v>
      </c>
      <c r="W139" s="153" t="n">
        <v>0</v>
      </c>
      <c r="X139" s="153" t="n">
        <v>0</v>
      </c>
      <c r="Y139" s="153" t="n">
        <v>0</v>
      </c>
      <c r="Z139" s="153" t="n">
        <v>0</v>
      </c>
      <c r="AA139" s="153" t="n">
        <v>0</v>
      </c>
      <c r="AB139" s="153" t="n">
        <v>0</v>
      </c>
    </row>
    <row r="140">
      <c r="A140" s="164" t="inlineStr">
        <is>
          <t>Todas</t>
        </is>
      </c>
      <c r="B140" s="150" t="n">
        <v>106</v>
      </c>
      <c r="C140" s="150">
        <f>SUM($O140:$AB140)</f>
        <v/>
      </c>
      <c r="D140" s="164">
        <f>SUBSTITUTE(TRIM(IF(O140=1,O$6&amp;" ","")&amp;IF(P140=1,P$6&amp;" ","")&amp;IF(Q140=1,Q$6&amp;" ","")&amp;IF(R140=1,R$6&amp;" ","")&amp;IF(S140=1,S$6&amp;" ","")&amp;IF(T140=1,T$6&amp;" ","")&amp;IF(U140=1,U$6&amp;" ","")&amp;IF(V140=1,V$6&amp;" ","")&amp;IF(W140=1,W$6&amp;" ","")&amp;IF(X140=1,X$6&amp;" ","")&amp;IF(Y140=1,Y$6&amp;" ","")&amp;IF(Z140=1,Z$6&amp;" ","")&amp;IF(AA140=1,AA$6&amp;" ","")&amp;IF(AB140=1,AB$6&amp;" ",""))," ",", ")</f>
        <v/>
      </c>
      <c r="E140" s="164">
        <f>IF(SUMPRODUCT($O140:$AB140*($O$6:$AB$6&lt;=6))=$C140,"Solo casas",IF(SUMPRODUCT($O140:$AB140*($O$6:$AB$6&gt;6))=$C140,"Solo apartamentos","Mixta ("&amp;SUMPRODUCT($O140:$AB140*($O$6:$AB$6&lt;=6))&amp;" casas + "&amp;SUMPRODUCT($O140:$AB140*($O$6:$AB$6&gt;6))&amp;" aptos)"))</f>
        <v/>
      </c>
      <c r="F140" s="151">
        <f>_xlfn.MINIFS($O$7:$AB$7,$O140:$AB140,1)</f>
        <v/>
      </c>
      <c r="G140" s="151">
        <f>_xlfn.MAXIFS($O$7:$AB$7,$O140:$AB140,1)</f>
        <v/>
      </c>
      <c r="H140" s="151">
        <f>SUMPRODUCT($O140:$AB140,$O$7:$AB$7)/C140</f>
        <v/>
      </c>
      <c r="I140" s="151">
        <f>_xlfn.AGGREGATE(16,6,$O$7:$AB$7/($O140:$AB140=1),0.5)</f>
        <v/>
      </c>
      <c r="J140" s="151">
        <f>SQRT((SUMPRODUCT($O140:$AB140,$O$7:$AB$7^2)-C140*H140^2)/(C140-1))</f>
        <v/>
      </c>
      <c r="K140" s="152">
        <f>J140/H140</f>
        <v/>
      </c>
      <c r="L140" s="151">
        <f>H140-J140</f>
        <v/>
      </c>
      <c r="M140" s="151">
        <f>H140+J140</f>
        <v/>
      </c>
      <c r="N140" s="150">
        <f>IF(K140&lt;=$D$4,"SÍ","NO")</f>
        <v/>
      </c>
      <c r="O140" s="153" t="n">
        <v>0</v>
      </c>
      <c r="P140" s="153" t="n">
        <v>0</v>
      </c>
      <c r="Q140" s="153" t="n">
        <v>0</v>
      </c>
      <c r="R140" s="153" t="n">
        <v>0</v>
      </c>
      <c r="S140" s="153" t="n">
        <v>0</v>
      </c>
      <c r="T140" s="153" t="n">
        <v>0</v>
      </c>
      <c r="U140" s="153" t="n">
        <v>1</v>
      </c>
      <c r="V140" s="153" t="n">
        <v>1</v>
      </c>
      <c r="W140" s="153" t="n">
        <v>0</v>
      </c>
      <c r="X140" s="153" t="n">
        <v>0</v>
      </c>
      <c r="Y140" s="153" t="n">
        <v>0</v>
      </c>
      <c r="Z140" s="153" t="n">
        <v>1</v>
      </c>
      <c r="AA140" s="153" t="n">
        <v>0</v>
      </c>
      <c r="AB140" s="153" t="n">
        <v>0</v>
      </c>
    </row>
    <row r="141">
      <c r="A141" s="164" t="inlineStr">
        <is>
          <t>Todas</t>
        </is>
      </c>
      <c r="B141" s="150" t="n">
        <v>107</v>
      </c>
      <c r="C141" s="150">
        <f>SUM($O141:$AB141)</f>
        <v/>
      </c>
      <c r="D141" s="164">
        <f>SUBSTITUTE(TRIM(IF(O141=1,O$6&amp;" ","")&amp;IF(P141=1,P$6&amp;" ","")&amp;IF(Q141=1,Q$6&amp;" ","")&amp;IF(R141=1,R$6&amp;" ","")&amp;IF(S141=1,S$6&amp;" ","")&amp;IF(T141=1,T$6&amp;" ","")&amp;IF(U141=1,U$6&amp;" ","")&amp;IF(V141=1,V$6&amp;" ","")&amp;IF(W141=1,W$6&amp;" ","")&amp;IF(X141=1,X$6&amp;" ","")&amp;IF(Y141=1,Y$6&amp;" ","")&amp;IF(Z141=1,Z$6&amp;" ","")&amp;IF(AA141=1,AA$6&amp;" ","")&amp;IF(AB141=1,AB$6&amp;" ",""))," ",", ")</f>
        <v/>
      </c>
      <c r="E141" s="164">
        <f>IF(SUMPRODUCT($O141:$AB141*($O$6:$AB$6&lt;=6))=$C141,"Solo casas",IF(SUMPRODUCT($O141:$AB141*($O$6:$AB$6&gt;6))=$C141,"Solo apartamentos","Mixta ("&amp;SUMPRODUCT($O141:$AB141*($O$6:$AB$6&lt;=6))&amp;" casas + "&amp;SUMPRODUCT($O141:$AB141*($O$6:$AB$6&gt;6))&amp;" aptos)"))</f>
        <v/>
      </c>
      <c r="F141" s="151">
        <f>_xlfn.MINIFS($O$7:$AB$7,$O141:$AB141,1)</f>
        <v/>
      </c>
      <c r="G141" s="151">
        <f>_xlfn.MAXIFS($O$7:$AB$7,$O141:$AB141,1)</f>
        <v/>
      </c>
      <c r="H141" s="151">
        <f>SUMPRODUCT($O141:$AB141,$O$7:$AB$7)/C141</f>
        <v/>
      </c>
      <c r="I141" s="151">
        <f>_xlfn.AGGREGATE(16,6,$O$7:$AB$7/($O141:$AB141=1),0.5)</f>
        <v/>
      </c>
      <c r="J141" s="151">
        <f>SQRT((SUMPRODUCT($O141:$AB141,$O$7:$AB$7^2)-C141*H141^2)/(C141-1))</f>
        <v/>
      </c>
      <c r="K141" s="152">
        <f>J141/H141</f>
        <v/>
      </c>
      <c r="L141" s="151">
        <f>H141-J141</f>
        <v/>
      </c>
      <c r="M141" s="151">
        <f>H141+J141</f>
        <v/>
      </c>
      <c r="N141" s="150">
        <f>IF(K141&lt;=$D$4,"SÍ","NO")</f>
        <v/>
      </c>
      <c r="O141" s="153" t="n">
        <v>0</v>
      </c>
      <c r="P141" s="153" t="n">
        <v>0</v>
      </c>
      <c r="Q141" s="153" t="n">
        <v>0</v>
      </c>
      <c r="R141" s="153" t="n">
        <v>0</v>
      </c>
      <c r="S141" s="153" t="n">
        <v>1</v>
      </c>
      <c r="T141" s="153" t="n">
        <v>1</v>
      </c>
      <c r="U141" s="153" t="n">
        <v>0</v>
      </c>
      <c r="V141" s="153" t="n">
        <v>0</v>
      </c>
      <c r="W141" s="153" t="n">
        <v>0</v>
      </c>
      <c r="X141" s="153" t="n">
        <v>0</v>
      </c>
      <c r="Y141" s="153" t="n">
        <v>1</v>
      </c>
      <c r="Z141" s="153" t="n">
        <v>0</v>
      </c>
      <c r="AA141" s="153" t="n">
        <v>0</v>
      </c>
      <c r="AB141" s="153" t="n">
        <v>0</v>
      </c>
    </row>
    <row r="142">
      <c r="A142" s="164" t="inlineStr">
        <is>
          <t>Todas</t>
        </is>
      </c>
      <c r="B142" s="150" t="n">
        <v>108</v>
      </c>
      <c r="C142" s="150">
        <f>SUM($O142:$AB142)</f>
        <v/>
      </c>
      <c r="D142" s="164">
        <f>SUBSTITUTE(TRIM(IF(O142=1,O$6&amp;" ","")&amp;IF(P142=1,P$6&amp;" ","")&amp;IF(Q142=1,Q$6&amp;" ","")&amp;IF(R142=1,R$6&amp;" ","")&amp;IF(S142=1,S$6&amp;" ","")&amp;IF(T142=1,T$6&amp;" ","")&amp;IF(U142=1,U$6&amp;" ","")&amp;IF(V142=1,V$6&amp;" ","")&amp;IF(W142=1,W$6&amp;" ","")&amp;IF(X142=1,X$6&amp;" ","")&amp;IF(Y142=1,Y$6&amp;" ","")&amp;IF(Z142=1,Z$6&amp;" ","")&amp;IF(AA142=1,AA$6&amp;" ","")&amp;IF(AB142=1,AB$6&amp;" ",""))," ",", ")</f>
        <v/>
      </c>
      <c r="E142" s="164">
        <f>IF(SUMPRODUCT($O142:$AB142*($O$6:$AB$6&lt;=6))=$C142,"Solo casas",IF(SUMPRODUCT($O142:$AB142*($O$6:$AB$6&gt;6))=$C142,"Solo apartamentos","Mixta ("&amp;SUMPRODUCT($O142:$AB142*($O$6:$AB$6&lt;=6))&amp;" casas + "&amp;SUMPRODUCT($O142:$AB142*($O$6:$AB$6&gt;6))&amp;" aptos)"))</f>
        <v/>
      </c>
      <c r="F142" s="151">
        <f>_xlfn.MINIFS($O$7:$AB$7,$O142:$AB142,1)</f>
        <v/>
      </c>
      <c r="G142" s="151">
        <f>_xlfn.MAXIFS($O$7:$AB$7,$O142:$AB142,1)</f>
        <v/>
      </c>
      <c r="H142" s="151">
        <f>SUMPRODUCT($O142:$AB142,$O$7:$AB$7)/C142</f>
        <v/>
      </c>
      <c r="I142" s="151">
        <f>_xlfn.AGGREGATE(16,6,$O$7:$AB$7/($O142:$AB142=1),0.5)</f>
        <v/>
      </c>
      <c r="J142" s="151">
        <f>SQRT((SUMPRODUCT($O142:$AB142,$O$7:$AB$7^2)-C142*H142^2)/(C142-1))</f>
        <v/>
      </c>
      <c r="K142" s="152">
        <f>J142/H142</f>
        <v/>
      </c>
      <c r="L142" s="151">
        <f>H142-J142</f>
        <v/>
      </c>
      <c r="M142" s="151">
        <f>H142+J142</f>
        <v/>
      </c>
      <c r="N142" s="150">
        <f>IF(K142&lt;=$D$4,"SÍ","NO")</f>
        <v/>
      </c>
      <c r="O142" s="153" t="n">
        <v>0</v>
      </c>
      <c r="P142" s="153" t="n">
        <v>0</v>
      </c>
      <c r="Q142" s="153" t="n">
        <v>0</v>
      </c>
      <c r="R142" s="153" t="n">
        <v>0</v>
      </c>
      <c r="S142" s="153" t="n">
        <v>1</v>
      </c>
      <c r="T142" s="153" t="n">
        <v>0</v>
      </c>
      <c r="U142" s="153" t="n">
        <v>0</v>
      </c>
      <c r="V142" s="153" t="n">
        <v>0</v>
      </c>
      <c r="W142" s="153" t="n">
        <v>0</v>
      </c>
      <c r="X142" s="153" t="n">
        <v>0</v>
      </c>
      <c r="Y142" s="153" t="n">
        <v>1</v>
      </c>
      <c r="Z142" s="153" t="n">
        <v>1</v>
      </c>
      <c r="AA142" s="153" t="n">
        <v>0</v>
      </c>
      <c r="AB142" s="153" t="n">
        <v>0</v>
      </c>
    </row>
    <row r="143">
      <c r="A143" s="164" t="inlineStr">
        <is>
          <t>Todas</t>
        </is>
      </c>
      <c r="B143" s="150" t="n">
        <v>109</v>
      </c>
      <c r="C143" s="150">
        <f>SUM($O143:$AB143)</f>
        <v/>
      </c>
      <c r="D143" s="164">
        <f>SUBSTITUTE(TRIM(IF(O143=1,O$6&amp;" ","")&amp;IF(P143=1,P$6&amp;" ","")&amp;IF(Q143=1,Q$6&amp;" ","")&amp;IF(R143=1,R$6&amp;" ","")&amp;IF(S143=1,S$6&amp;" ","")&amp;IF(T143=1,T$6&amp;" ","")&amp;IF(U143=1,U$6&amp;" ","")&amp;IF(V143=1,V$6&amp;" ","")&amp;IF(W143=1,W$6&amp;" ","")&amp;IF(X143=1,X$6&amp;" ","")&amp;IF(Y143=1,Y$6&amp;" ","")&amp;IF(Z143=1,Z$6&amp;" ","")&amp;IF(AA143=1,AA$6&amp;" ","")&amp;IF(AB143=1,AB$6&amp;" ",""))," ",", ")</f>
        <v/>
      </c>
      <c r="E143" s="164">
        <f>IF(SUMPRODUCT($O143:$AB143*($O$6:$AB$6&lt;=6))=$C143,"Solo casas",IF(SUMPRODUCT($O143:$AB143*($O$6:$AB$6&gt;6))=$C143,"Solo apartamentos","Mixta ("&amp;SUMPRODUCT($O143:$AB143*($O$6:$AB$6&lt;=6))&amp;" casas + "&amp;SUMPRODUCT($O143:$AB143*($O$6:$AB$6&gt;6))&amp;" aptos)"))</f>
        <v/>
      </c>
      <c r="F143" s="151">
        <f>_xlfn.MINIFS($O$7:$AB$7,$O143:$AB143,1)</f>
        <v/>
      </c>
      <c r="G143" s="151">
        <f>_xlfn.MAXIFS($O$7:$AB$7,$O143:$AB143,1)</f>
        <v/>
      </c>
      <c r="H143" s="151">
        <f>SUMPRODUCT($O143:$AB143,$O$7:$AB$7)/C143</f>
        <v/>
      </c>
      <c r="I143" s="151">
        <f>_xlfn.AGGREGATE(16,6,$O$7:$AB$7/($O143:$AB143=1),0.5)</f>
        <v/>
      </c>
      <c r="J143" s="151">
        <f>SQRT((SUMPRODUCT($O143:$AB143,$O$7:$AB$7^2)-C143*H143^2)/(C143-1))</f>
        <v/>
      </c>
      <c r="K143" s="152">
        <f>J143/H143</f>
        <v/>
      </c>
      <c r="L143" s="151">
        <f>H143-J143</f>
        <v/>
      </c>
      <c r="M143" s="151">
        <f>H143+J143</f>
        <v/>
      </c>
      <c r="N143" s="150">
        <f>IF(K143&lt;=$D$4,"SÍ","NO")</f>
        <v/>
      </c>
      <c r="O143" s="153" t="n">
        <v>0</v>
      </c>
      <c r="P143" s="153" t="n">
        <v>0</v>
      </c>
      <c r="Q143" s="153" t="n">
        <v>0</v>
      </c>
      <c r="R143" s="153" t="n">
        <v>0</v>
      </c>
      <c r="S143" s="153" t="n">
        <v>1</v>
      </c>
      <c r="T143" s="153" t="n">
        <v>1</v>
      </c>
      <c r="U143" s="153" t="n">
        <v>1</v>
      </c>
      <c r="V143" s="153" t="n">
        <v>0</v>
      </c>
      <c r="W143" s="153" t="n">
        <v>0</v>
      </c>
      <c r="X143" s="153" t="n">
        <v>0</v>
      </c>
      <c r="Y143" s="153" t="n">
        <v>0</v>
      </c>
      <c r="Z143" s="153" t="n">
        <v>0</v>
      </c>
      <c r="AA143" s="153" t="n">
        <v>0</v>
      </c>
      <c r="AB143" s="153" t="n">
        <v>0</v>
      </c>
    </row>
    <row r="144">
      <c r="A144" s="164" t="inlineStr">
        <is>
          <t>Todas</t>
        </is>
      </c>
      <c r="B144" s="150" t="n">
        <v>110</v>
      </c>
      <c r="C144" s="150">
        <f>SUM($O144:$AB144)</f>
        <v/>
      </c>
      <c r="D144" s="164">
        <f>SUBSTITUTE(TRIM(IF(O144=1,O$6&amp;" ","")&amp;IF(P144=1,P$6&amp;" ","")&amp;IF(Q144=1,Q$6&amp;" ","")&amp;IF(R144=1,R$6&amp;" ","")&amp;IF(S144=1,S$6&amp;" ","")&amp;IF(T144=1,T$6&amp;" ","")&amp;IF(U144=1,U$6&amp;" ","")&amp;IF(V144=1,V$6&amp;" ","")&amp;IF(W144=1,W$6&amp;" ","")&amp;IF(X144=1,X$6&amp;" ","")&amp;IF(Y144=1,Y$6&amp;" ","")&amp;IF(Z144=1,Z$6&amp;" ","")&amp;IF(AA144=1,AA$6&amp;" ","")&amp;IF(AB144=1,AB$6&amp;" ",""))," ",", ")</f>
        <v/>
      </c>
      <c r="E144" s="164">
        <f>IF(SUMPRODUCT($O144:$AB144*($O$6:$AB$6&lt;=6))=$C144,"Solo casas",IF(SUMPRODUCT($O144:$AB144*($O$6:$AB$6&gt;6))=$C144,"Solo apartamentos","Mixta ("&amp;SUMPRODUCT($O144:$AB144*($O$6:$AB$6&lt;=6))&amp;" casas + "&amp;SUMPRODUCT($O144:$AB144*($O$6:$AB$6&gt;6))&amp;" aptos)"))</f>
        <v/>
      </c>
      <c r="F144" s="151">
        <f>_xlfn.MINIFS($O$7:$AB$7,$O144:$AB144,1)</f>
        <v/>
      </c>
      <c r="G144" s="151">
        <f>_xlfn.MAXIFS($O$7:$AB$7,$O144:$AB144,1)</f>
        <v/>
      </c>
      <c r="H144" s="151">
        <f>SUMPRODUCT($O144:$AB144,$O$7:$AB$7)/C144</f>
        <v/>
      </c>
      <c r="I144" s="151">
        <f>_xlfn.AGGREGATE(16,6,$O$7:$AB$7/($O144:$AB144=1),0.5)</f>
        <v/>
      </c>
      <c r="J144" s="151">
        <f>SQRT((SUMPRODUCT($O144:$AB144,$O$7:$AB$7^2)-C144*H144^2)/(C144-1))</f>
        <v/>
      </c>
      <c r="K144" s="152">
        <f>J144/H144</f>
        <v/>
      </c>
      <c r="L144" s="151">
        <f>H144-J144</f>
        <v/>
      </c>
      <c r="M144" s="151">
        <f>H144+J144</f>
        <v/>
      </c>
      <c r="N144" s="150">
        <f>IF(K144&lt;=$D$4,"SÍ","NO")</f>
        <v/>
      </c>
      <c r="O144" s="153" t="n">
        <v>0</v>
      </c>
      <c r="P144" s="153" t="n">
        <v>0</v>
      </c>
      <c r="Q144" s="153" t="n">
        <v>0</v>
      </c>
      <c r="R144" s="153" t="n">
        <v>0</v>
      </c>
      <c r="S144" s="153" t="n">
        <v>1</v>
      </c>
      <c r="T144" s="153" t="n">
        <v>0</v>
      </c>
      <c r="U144" s="153" t="n">
        <v>1</v>
      </c>
      <c r="V144" s="153" t="n">
        <v>0</v>
      </c>
      <c r="W144" s="153" t="n">
        <v>0</v>
      </c>
      <c r="X144" s="153" t="n">
        <v>0</v>
      </c>
      <c r="Y144" s="153" t="n">
        <v>0</v>
      </c>
      <c r="Z144" s="153" t="n">
        <v>1</v>
      </c>
      <c r="AA144" s="153" t="n">
        <v>0</v>
      </c>
      <c r="AB144" s="153" t="n">
        <v>0</v>
      </c>
    </row>
    <row r="145">
      <c r="A145" s="164" t="inlineStr">
        <is>
          <t>Todas</t>
        </is>
      </c>
      <c r="B145" s="150" t="n">
        <v>111</v>
      </c>
      <c r="C145" s="150">
        <f>SUM($O145:$AB145)</f>
        <v/>
      </c>
      <c r="D145" s="164">
        <f>SUBSTITUTE(TRIM(IF(O145=1,O$6&amp;" ","")&amp;IF(P145=1,P$6&amp;" ","")&amp;IF(Q145=1,Q$6&amp;" ","")&amp;IF(R145=1,R$6&amp;" ","")&amp;IF(S145=1,S$6&amp;" ","")&amp;IF(T145=1,T$6&amp;" ","")&amp;IF(U145=1,U$6&amp;" ","")&amp;IF(V145=1,V$6&amp;" ","")&amp;IF(W145=1,W$6&amp;" ","")&amp;IF(X145=1,X$6&amp;" ","")&amp;IF(Y145=1,Y$6&amp;" ","")&amp;IF(Z145=1,Z$6&amp;" ","")&amp;IF(AA145=1,AA$6&amp;" ","")&amp;IF(AB145=1,AB$6&amp;" ",""))," ",", ")</f>
        <v/>
      </c>
      <c r="E145" s="164">
        <f>IF(SUMPRODUCT($O145:$AB145*($O$6:$AB$6&lt;=6))=$C145,"Solo casas",IF(SUMPRODUCT($O145:$AB145*($O$6:$AB$6&gt;6))=$C145,"Solo apartamentos","Mixta ("&amp;SUMPRODUCT($O145:$AB145*($O$6:$AB$6&lt;=6))&amp;" casas + "&amp;SUMPRODUCT($O145:$AB145*($O$6:$AB$6&gt;6))&amp;" aptos)"))</f>
        <v/>
      </c>
      <c r="F145" s="151">
        <f>_xlfn.MINIFS($O$7:$AB$7,$O145:$AB145,1)</f>
        <v/>
      </c>
      <c r="G145" s="151">
        <f>_xlfn.MAXIFS($O$7:$AB$7,$O145:$AB145,1)</f>
        <v/>
      </c>
      <c r="H145" s="151">
        <f>SUMPRODUCT($O145:$AB145,$O$7:$AB$7)/C145</f>
        <v/>
      </c>
      <c r="I145" s="151">
        <f>_xlfn.AGGREGATE(16,6,$O$7:$AB$7/($O145:$AB145=1),0.5)</f>
        <v/>
      </c>
      <c r="J145" s="151">
        <f>SQRT((SUMPRODUCT($O145:$AB145,$O$7:$AB$7^2)-C145*H145^2)/(C145-1))</f>
        <v/>
      </c>
      <c r="K145" s="152">
        <f>J145/H145</f>
        <v/>
      </c>
      <c r="L145" s="151">
        <f>H145-J145</f>
        <v/>
      </c>
      <c r="M145" s="151">
        <f>H145+J145</f>
        <v/>
      </c>
      <c r="N145" s="150">
        <f>IF(K145&lt;=$D$4,"SÍ","NO")</f>
        <v/>
      </c>
      <c r="O145" s="153" t="n">
        <v>0</v>
      </c>
      <c r="P145" s="153" t="n">
        <v>0</v>
      </c>
      <c r="Q145" s="153" t="n">
        <v>0</v>
      </c>
      <c r="R145" s="153" t="n">
        <v>0</v>
      </c>
      <c r="S145" s="153" t="n">
        <v>0</v>
      </c>
      <c r="T145" s="153" t="n">
        <v>0</v>
      </c>
      <c r="U145" s="153" t="n">
        <v>0</v>
      </c>
      <c r="V145" s="153" t="n">
        <v>0</v>
      </c>
      <c r="W145" s="153" t="n">
        <v>0</v>
      </c>
      <c r="X145" s="153" t="n">
        <v>1</v>
      </c>
      <c r="Y145" s="153" t="n">
        <v>0</v>
      </c>
      <c r="Z145" s="153" t="n">
        <v>0</v>
      </c>
      <c r="AA145" s="153" t="n">
        <v>1</v>
      </c>
      <c r="AB145" s="153" t="n">
        <v>1</v>
      </c>
    </row>
    <row r="146">
      <c r="A146" s="164" t="inlineStr">
        <is>
          <t>Todas</t>
        </is>
      </c>
      <c r="B146" s="150" t="n">
        <v>112</v>
      </c>
      <c r="C146" s="150">
        <f>SUM($O146:$AB146)</f>
        <v/>
      </c>
      <c r="D146" s="164">
        <f>SUBSTITUTE(TRIM(IF(O146=1,O$6&amp;" ","")&amp;IF(P146=1,P$6&amp;" ","")&amp;IF(Q146=1,Q$6&amp;" ","")&amp;IF(R146=1,R$6&amp;" ","")&amp;IF(S146=1,S$6&amp;" ","")&amp;IF(T146=1,T$6&amp;" ","")&amp;IF(U146=1,U$6&amp;" ","")&amp;IF(V146=1,V$6&amp;" ","")&amp;IF(W146=1,W$6&amp;" ","")&amp;IF(X146=1,X$6&amp;" ","")&amp;IF(Y146=1,Y$6&amp;" ","")&amp;IF(Z146=1,Z$6&amp;" ","")&amp;IF(AA146=1,AA$6&amp;" ","")&amp;IF(AB146=1,AB$6&amp;" ",""))," ",", ")</f>
        <v/>
      </c>
      <c r="E146" s="164">
        <f>IF(SUMPRODUCT($O146:$AB146*($O$6:$AB$6&lt;=6))=$C146,"Solo casas",IF(SUMPRODUCT($O146:$AB146*($O$6:$AB$6&gt;6))=$C146,"Solo apartamentos","Mixta ("&amp;SUMPRODUCT($O146:$AB146*($O$6:$AB$6&lt;=6))&amp;" casas + "&amp;SUMPRODUCT($O146:$AB146*($O$6:$AB$6&gt;6))&amp;" aptos)"))</f>
        <v/>
      </c>
      <c r="F146" s="151">
        <f>_xlfn.MINIFS($O$7:$AB$7,$O146:$AB146,1)</f>
        <v/>
      </c>
      <c r="G146" s="151">
        <f>_xlfn.MAXIFS($O$7:$AB$7,$O146:$AB146,1)</f>
        <v/>
      </c>
      <c r="H146" s="151">
        <f>SUMPRODUCT($O146:$AB146,$O$7:$AB$7)/C146</f>
        <v/>
      </c>
      <c r="I146" s="151">
        <f>_xlfn.AGGREGATE(16,6,$O$7:$AB$7/($O146:$AB146=1),0.5)</f>
        <v/>
      </c>
      <c r="J146" s="151">
        <f>SQRT((SUMPRODUCT($O146:$AB146,$O$7:$AB$7^2)-C146*H146^2)/(C146-1))</f>
        <v/>
      </c>
      <c r="K146" s="152">
        <f>J146/H146</f>
        <v/>
      </c>
      <c r="L146" s="151">
        <f>H146-J146</f>
        <v/>
      </c>
      <c r="M146" s="151">
        <f>H146+J146</f>
        <v/>
      </c>
      <c r="N146" s="150">
        <f>IF(K146&lt;=$D$4,"SÍ","NO")</f>
        <v/>
      </c>
      <c r="O146" s="153" t="n">
        <v>0</v>
      </c>
      <c r="P146" s="153" t="n">
        <v>0</v>
      </c>
      <c r="Q146" s="153" t="n">
        <v>0</v>
      </c>
      <c r="R146" s="153" t="n">
        <v>0</v>
      </c>
      <c r="S146" s="153" t="n">
        <v>1</v>
      </c>
      <c r="T146" s="153" t="n">
        <v>0</v>
      </c>
      <c r="U146" s="153" t="n">
        <v>0</v>
      </c>
      <c r="V146" s="153" t="n">
        <v>0</v>
      </c>
      <c r="W146" s="153" t="n">
        <v>1</v>
      </c>
      <c r="X146" s="153" t="n">
        <v>0</v>
      </c>
      <c r="Y146" s="153" t="n">
        <v>0</v>
      </c>
      <c r="Z146" s="153" t="n">
        <v>0</v>
      </c>
      <c r="AA146" s="153" t="n">
        <v>0</v>
      </c>
      <c r="AB146" s="153" t="n">
        <v>1</v>
      </c>
    </row>
    <row r="147">
      <c r="A147" s="164" t="inlineStr">
        <is>
          <t>Todas</t>
        </is>
      </c>
      <c r="B147" s="150" t="n">
        <v>113</v>
      </c>
      <c r="C147" s="150">
        <f>SUM($O147:$AB147)</f>
        <v/>
      </c>
      <c r="D147" s="164">
        <f>SUBSTITUTE(TRIM(IF(O147=1,O$6&amp;" ","")&amp;IF(P147=1,P$6&amp;" ","")&amp;IF(Q147=1,Q$6&amp;" ","")&amp;IF(R147=1,R$6&amp;" ","")&amp;IF(S147=1,S$6&amp;" ","")&amp;IF(T147=1,T$6&amp;" ","")&amp;IF(U147=1,U$6&amp;" ","")&amp;IF(V147=1,V$6&amp;" ","")&amp;IF(W147=1,W$6&amp;" ","")&amp;IF(X147=1,X$6&amp;" ","")&amp;IF(Y147=1,Y$6&amp;" ","")&amp;IF(Z147=1,Z$6&amp;" ","")&amp;IF(AA147=1,AA$6&amp;" ","")&amp;IF(AB147=1,AB$6&amp;" ",""))," ",", ")</f>
        <v/>
      </c>
      <c r="E147" s="164">
        <f>IF(SUMPRODUCT($O147:$AB147*($O$6:$AB$6&lt;=6))=$C147,"Solo casas",IF(SUMPRODUCT($O147:$AB147*($O$6:$AB$6&gt;6))=$C147,"Solo apartamentos","Mixta ("&amp;SUMPRODUCT($O147:$AB147*($O$6:$AB$6&lt;=6))&amp;" casas + "&amp;SUMPRODUCT($O147:$AB147*($O$6:$AB$6&gt;6))&amp;" aptos)"))</f>
        <v/>
      </c>
      <c r="F147" s="151">
        <f>_xlfn.MINIFS($O$7:$AB$7,$O147:$AB147,1)</f>
        <v/>
      </c>
      <c r="G147" s="151">
        <f>_xlfn.MAXIFS($O$7:$AB$7,$O147:$AB147,1)</f>
        <v/>
      </c>
      <c r="H147" s="151">
        <f>SUMPRODUCT($O147:$AB147,$O$7:$AB$7)/C147</f>
        <v/>
      </c>
      <c r="I147" s="151">
        <f>_xlfn.AGGREGATE(16,6,$O$7:$AB$7/($O147:$AB147=1),0.5)</f>
        <v/>
      </c>
      <c r="J147" s="151">
        <f>SQRT((SUMPRODUCT($O147:$AB147,$O$7:$AB$7^2)-C147*H147^2)/(C147-1))</f>
        <v/>
      </c>
      <c r="K147" s="152">
        <f>J147/H147</f>
        <v/>
      </c>
      <c r="L147" s="151">
        <f>H147-J147</f>
        <v/>
      </c>
      <c r="M147" s="151">
        <f>H147+J147</f>
        <v/>
      </c>
      <c r="N147" s="150">
        <f>IF(K147&lt;=$D$4,"SÍ","NO")</f>
        <v/>
      </c>
      <c r="O147" s="153" t="n">
        <v>0</v>
      </c>
      <c r="P147" s="153" t="n">
        <v>0</v>
      </c>
      <c r="Q147" s="153" t="n">
        <v>0</v>
      </c>
      <c r="R147" s="153" t="n">
        <v>0</v>
      </c>
      <c r="S147" s="153" t="n">
        <v>1</v>
      </c>
      <c r="T147" s="153" t="n">
        <v>0</v>
      </c>
      <c r="U147" s="153" t="n">
        <v>0</v>
      </c>
      <c r="V147" s="153" t="n">
        <v>0</v>
      </c>
      <c r="W147" s="153" t="n">
        <v>1</v>
      </c>
      <c r="X147" s="153" t="n">
        <v>0</v>
      </c>
      <c r="Y147" s="153" t="n">
        <v>1</v>
      </c>
      <c r="Z147" s="153" t="n">
        <v>0</v>
      </c>
      <c r="AA147" s="153" t="n">
        <v>0</v>
      </c>
      <c r="AB147" s="153" t="n">
        <v>0</v>
      </c>
    </row>
    <row r="148">
      <c r="A148" s="164" t="inlineStr">
        <is>
          <t>Todas</t>
        </is>
      </c>
      <c r="B148" s="150" t="n">
        <v>114</v>
      </c>
      <c r="C148" s="150">
        <f>SUM($O148:$AB148)</f>
        <v/>
      </c>
      <c r="D148" s="164">
        <f>SUBSTITUTE(TRIM(IF(O148=1,O$6&amp;" ","")&amp;IF(P148=1,P$6&amp;" ","")&amp;IF(Q148=1,Q$6&amp;" ","")&amp;IF(R148=1,R$6&amp;" ","")&amp;IF(S148=1,S$6&amp;" ","")&amp;IF(T148=1,T$6&amp;" ","")&amp;IF(U148=1,U$6&amp;" ","")&amp;IF(V148=1,V$6&amp;" ","")&amp;IF(W148=1,W$6&amp;" ","")&amp;IF(X148=1,X$6&amp;" ","")&amp;IF(Y148=1,Y$6&amp;" ","")&amp;IF(Z148=1,Z$6&amp;" ","")&amp;IF(AA148=1,AA$6&amp;" ","")&amp;IF(AB148=1,AB$6&amp;" ",""))," ",", ")</f>
        <v/>
      </c>
      <c r="E148" s="164">
        <f>IF(SUMPRODUCT($O148:$AB148*($O$6:$AB$6&lt;=6))=$C148,"Solo casas",IF(SUMPRODUCT($O148:$AB148*($O$6:$AB$6&gt;6))=$C148,"Solo apartamentos","Mixta ("&amp;SUMPRODUCT($O148:$AB148*($O$6:$AB$6&lt;=6))&amp;" casas + "&amp;SUMPRODUCT($O148:$AB148*($O$6:$AB$6&gt;6))&amp;" aptos)"))</f>
        <v/>
      </c>
      <c r="F148" s="151">
        <f>_xlfn.MINIFS($O$7:$AB$7,$O148:$AB148,1)</f>
        <v/>
      </c>
      <c r="G148" s="151">
        <f>_xlfn.MAXIFS($O$7:$AB$7,$O148:$AB148,1)</f>
        <v/>
      </c>
      <c r="H148" s="151">
        <f>SUMPRODUCT($O148:$AB148,$O$7:$AB$7)/C148</f>
        <v/>
      </c>
      <c r="I148" s="151">
        <f>_xlfn.AGGREGATE(16,6,$O$7:$AB$7/($O148:$AB148=1),0.5)</f>
        <v/>
      </c>
      <c r="J148" s="151">
        <f>SQRT((SUMPRODUCT($O148:$AB148,$O$7:$AB$7^2)-C148*H148^2)/(C148-1))</f>
        <v/>
      </c>
      <c r="K148" s="152">
        <f>J148/H148</f>
        <v/>
      </c>
      <c r="L148" s="151">
        <f>H148-J148</f>
        <v/>
      </c>
      <c r="M148" s="151">
        <f>H148+J148</f>
        <v/>
      </c>
      <c r="N148" s="150">
        <f>IF(K148&lt;=$D$4,"SÍ","NO")</f>
        <v/>
      </c>
      <c r="O148" s="153" t="n">
        <v>0</v>
      </c>
      <c r="P148" s="153" t="n">
        <v>0</v>
      </c>
      <c r="Q148" s="153" t="n">
        <v>0</v>
      </c>
      <c r="R148" s="153" t="n">
        <v>0</v>
      </c>
      <c r="S148" s="153" t="n">
        <v>0</v>
      </c>
      <c r="T148" s="153" t="n">
        <v>0</v>
      </c>
      <c r="U148" s="153" t="n">
        <v>0</v>
      </c>
      <c r="V148" s="153" t="n">
        <v>1</v>
      </c>
      <c r="W148" s="153" t="n">
        <v>1</v>
      </c>
      <c r="X148" s="153" t="n">
        <v>0</v>
      </c>
      <c r="Y148" s="153" t="n">
        <v>0</v>
      </c>
      <c r="Z148" s="153" t="n">
        <v>0</v>
      </c>
      <c r="AA148" s="153" t="n">
        <v>0</v>
      </c>
      <c r="AB148" s="153" t="n">
        <v>1</v>
      </c>
    </row>
    <row r="149">
      <c r="A149" s="164" t="inlineStr">
        <is>
          <t>Todas</t>
        </is>
      </c>
      <c r="B149" s="150" t="n">
        <v>115</v>
      </c>
      <c r="C149" s="150">
        <f>SUM($O149:$AB149)</f>
        <v/>
      </c>
      <c r="D149" s="164">
        <f>SUBSTITUTE(TRIM(IF(O149=1,O$6&amp;" ","")&amp;IF(P149=1,P$6&amp;" ","")&amp;IF(Q149=1,Q$6&amp;" ","")&amp;IF(R149=1,R$6&amp;" ","")&amp;IF(S149=1,S$6&amp;" ","")&amp;IF(T149=1,T$6&amp;" ","")&amp;IF(U149=1,U$6&amp;" ","")&amp;IF(V149=1,V$6&amp;" ","")&amp;IF(W149=1,W$6&amp;" ","")&amp;IF(X149=1,X$6&amp;" ","")&amp;IF(Y149=1,Y$6&amp;" ","")&amp;IF(Z149=1,Z$6&amp;" ","")&amp;IF(AA149=1,AA$6&amp;" ","")&amp;IF(AB149=1,AB$6&amp;" ",""))," ",", ")</f>
        <v/>
      </c>
      <c r="E149" s="164">
        <f>IF(SUMPRODUCT($O149:$AB149*($O$6:$AB$6&lt;=6))=$C149,"Solo casas",IF(SUMPRODUCT($O149:$AB149*($O$6:$AB$6&gt;6))=$C149,"Solo apartamentos","Mixta ("&amp;SUMPRODUCT($O149:$AB149*($O$6:$AB$6&lt;=6))&amp;" casas + "&amp;SUMPRODUCT($O149:$AB149*($O$6:$AB$6&gt;6))&amp;" aptos)"))</f>
        <v/>
      </c>
      <c r="F149" s="151">
        <f>_xlfn.MINIFS($O$7:$AB$7,$O149:$AB149,1)</f>
        <v/>
      </c>
      <c r="G149" s="151">
        <f>_xlfn.MAXIFS($O$7:$AB$7,$O149:$AB149,1)</f>
        <v/>
      </c>
      <c r="H149" s="151">
        <f>SUMPRODUCT($O149:$AB149,$O$7:$AB$7)/C149</f>
        <v/>
      </c>
      <c r="I149" s="151">
        <f>_xlfn.AGGREGATE(16,6,$O$7:$AB$7/($O149:$AB149=1),0.5)</f>
        <v/>
      </c>
      <c r="J149" s="151">
        <f>SQRT((SUMPRODUCT($O149:$AB149,$O$7:$AB$7^2)-C149*H149^2)/(C149-1))</f>
        <v/>
      </c>
      <c r="K149" s="152">
        <f>J149/H149</f>
        <v/>
      </c>
      <c r="L149" s="151">
        <f>H149-J149</f>
        <v/>
      </c>
      <c r="M149" s="151">
        <f>H149+J149</f>
        <v/>
      </c>
      <c r="N149" s="150">
        <f>IF(K149&lt;=$D$4,"SÍ","NO")</f>
        <v/>
      </c>
      <c r="O149" s="153" t="n">
        <v>0</v>
      </c>
      <c r="P149" s="153" t="n">
        <v>0</v>
      </c>
      <c r="Q149" s="153" t="n">
        <v>0</v>
      </c>
      <c r="R149" s="153" t="n">
        <v>0</v>
      </c>
      <c r="S149" s="153" t="n">
        <v>0</v>
      </c>
      <c r="T149" s="153" t="n">
        <v>0</v>
      </c>
      <c r="U149" s="153" t="n">
        <v>0</v>
      </c>
      <c r="V149" s="153" t="n">
        <v>1</v>
      </c>
      <c r="W149" s="153" t="n">
        <v>1</v>
      </c>
      <c r="X149" s="153" t="n">
        <v>0</v>
      </c>
      <c r="Y149" s="153" t="n">
        <v>1</v>
      </c>
      <c r="Z149" s="153" t="n">
        <v>0</v>
      </c>
      <c r="AA149" s="153" t="n">
        <v>0</v>
      </c>
      <c r="AB149" s="153" t="n">
        <v>0</v>
      </c>
    </row>
    <row r="150">
      <c r="A150" s="164" t="inlineStr">
        <is>
          <t>Todas</t>
        </is>
      </c>
      <c r="B150" s="150" t="n">
        <v>116</v>
      </c>
      <c r="C150" s="150">
        <f>SUM($O150:$AB150)</f>
        <v/>
      </c>
      <c r="D150" s="164">
        <f>SUBSTITUTE(TRIM(IF(O150=1,O$6&amp;" ","")&amp;IF(P150=1,P$6&amp;" ","")&amp;IF(Q150=1,Q$6&amp;" ","")&amp;IF(R150=1,R$6&amp;" ","")&amp;IF(S150=1,S$6&amp;" ","")&amp;IF(T150=1,T$6&amp;" ","")&amp;IF(U150=1,U$6&amp;" ","")&amp;IF(V150=1,V$6&amp;" ","")&amp;IF(W150=1,W$6&amp;" ","")&amp;IF(X150=1,X$6&amp;" ","")&amp;IF(Y150=1,Y$6&amp;" ","")&amp;IF(Z150=1,Z$6&amp;" ","")&amp;IF(AA150=1,AA$6&amp;" ","")&amp;IF(AB150=1,AB$6&amp;" ",""))," ",", ")</f>
        <v/>
      </c>
      <c r="E150" s="164">
        <f>IF(SUMPRODUCT($O150:$AB150*($O$6:$AB$6&lt;=6))=$C150,"Solo casas",IF(SUMPRODUCT($O150:$AB150*($O$6:$AB$6&gt;6))=$C150,"Solo apartamentos","Mixta ("&amp;SUMPRODUCT($O150:$AB150*($O$6:$AB$6&lt;=6))&amp;" casas + "&amp;SUMPRODUCT($O150:$AB150*($O$6:$AB$6&gt;6))&amp;" aptos)"))</f>
        <v/>
      </c>
      <c r="F150" s="151">
        <f>_xlfn.MINIFS($O$7:$AB$7,$O150:$AB150,1)</f>
        <v/>
      </c>
      <c r="G150" s="151">
        <f>_xlfn.MAXIFS($O$7:$AB$7,$O150:$AB150,1)</f>
        <v/>
      </c>
      <c r="H150" s="151">
        <f>SUMPRODUCT($O150:$AB150,$O$7:$AB$7)/C150</f>
        <v/>
      </c>
      <c r="I150" s="151">
        <f>_xlfn.AGGREGATE(16,6,$O$7:$AB$7/($O150:$AB150=1),0.5)</f>
        <v/>
      </c>
      <c r="J150" s="151">
        <f>SQRT((SUMPRODUCT($O150:$AB150,$O$7:$AB$7^2)-C150*H150^2)/(C150-1))</f>
        <v/>
      </c>
      <c r="K150" s="152">
        <f>J150/H150</f>
        <v/>
      </c>
      <c r="L150" s="151">
        <f>H150-J150</f>
        <v/>
      </c>
      <c r="M150" s="151">
        <f>H150+J150</f>
        <v/>
      </c>
      <c r="N150" s="150">
        <f>IF(K150&lt;=$D$4,"SÍ","NO")</f>
        <v/>
      </c>
      <c r="O150" s="153" t="n">
        <v>0</v>
      </c>
      <c r="P150" s="153" t="n">
        <v>0</v>
      </c>
      <c r="Q150" s="153" t="n">
        <v>0</v>
      </c>
      <c r="R150" s="153" t="n">
        <v>0</v>
      </c>
      <c r="S150" s="153" t="n">
        <v>1</v>
      </c>
      <c r="T150" s="153" t="n">
        <v>1</v>
      </c>
      <c r="U150" s="153" t="n">
        <v>0</v>
      </c>
      <c r="V150" s="153" t="n">
        <v>1</v>
      </c>
      <c r="W150" s="153" t="n">
        <v>0</v>
      </c>
      <c r="X150" s="153" t="n">
        <v>0</v>
      </c>
      <c r="Y150" s="153" t="n">
        <v>0</v>
      </c>
      <c r="Z150" s="153" t="n">
        <v>0</v>
      </c>
      <c r="AA150" s="153" t="n">
        <v>0</v>
      </c>
      <c r="AB150" s="153" t="n">
        <v>0</v>
      </c>
    </row>
    <row r="151">
      <c r="A151" s="164" t="inlineStr">
        <is>
          <t>Todas</t>
        </is>
      </c>
      <c r="B151" s="150" t="n">
        <v>117</v>
      </c>
      <c r="C151" s="150">
        <f>SUM($O151:$AB151)</f>
        <v/>
      </c>
      <c r="D151" s="164">
        <f>SUBSTITUTE(TRIM(IF(O151=1,O$6&amp;" ","")&amp;IF(P151=1,P$6&amp;" ","")&amp;IF(Q151=1,Q$6&amp;" ","")&amp;IF(R151=1,R$6&amp;" ","")&amp;IF(S151=1,S$6&amp;" ","")&amp;IF(T151=1,T$6&amp;" ","")&amp;IF(U151=1,U$6&amp;" ","")&amp;IF(V151=1,V$6&amp;" ","")&amp;IF(W151=1,W$6&amp;" ","")&amp;IF(X151=1,X$6&amp;" ","")&amp;IF(Y151=1,Y$6&amp;" ","")&amp;IF(Z151=1,Z$6&amp;" ","")&amp;IF(AA151=1,AA$6&amp;" ","")&amp;IF(AB151=1,AB$6&amp;" ",""))," ",", ")</f>
        <v/>
      </c>
      <c r="E151" s="164">
        <f>IF(SUMPRODUCT($O151:$AB151*($O$6:$AB$6&lt;=6))=$C151,"Solo casas",IF(SUMPRODUCT($O151:$AB151*($O$6:$AB$6&gt;6))=$C151,"Solo apartamentos","Mixta ("&amp;SUMPRODUCT($O151:$AB151*($O$6:$AB$6&lt;=6))&amp;" casas + "&amp;SUMPRODUCT($O151:$AB151*($O$6:$AB$6&gt;6))&amp;" aptos)"))</f>
        <v/>
      </c>
      <c r="F151" s="151">
        <f>_xlfn.MINIFS($O$7:$AB$7,$O151:$AB151,1)</f>
        <v/>
      </c>
      <c r="G151" s="151">
        <f>_xlfn.MAXIFS($O$7:$AB$7,$O151:$AB151,1)</f>
        <v/>
      </c>
      <c r="H151" s="151">
        <f>SUMPRODUCT($O151:$AB151,$O$7:$AB$7)/C151</f>
        <v/>
      </c>
      <c r="I151" s="151">
        <f>_xlfn.AGGREGATE(16,6,$O$7:$AB$7/($O151:$AB151=1),0.5)</f>
        <v/>
      </c>
      <c r="J151" s="151">
        <f>SQRT((SUMPRODUCT($O151:$AB151,$O$7:$AB$7^2)-C151*H151^2)/(C151-1))</f>
        <v/>
      </c>
      <c r="K151" s="152">
        <f>J151/H151</f>
        <v/>
      </c>
      <c r="L151" s="151">
        <f>H151-J151</f>
        <v/>
      </c>
      <c r="M151" s="151">
        <f>H151+J151</f>
        <v/>
      </c>
      <c r="N151" s="150">
        <f>IF(K151&lt;=$D$4,"SÍ","NO")</f>
        <v/>
      </c>
      <c r="O151" s="153" t="n">
        <v>0</v>
      </c>
      <c r="P151" s="153" t="n">
        <v>0</v>
      </c>
      <c r="Q151" s="153" t="n">
        <v>0</v>
      </c>
      <c r="R151" s="153" t="n">
        <v>0</v>
      </c>
      <c r="S151" s="153" t="n">
        <v>1</v>
      </c>
      <c r="T151" s="153" t="n">
        <v>0</v>
      </c>
      <c r="U151" s="153" t="n">
        <v>0</v>
      </c>
      <c r="V151" s="153" t="n">
        <v>1</v>
      </c>
      <c r="W151" s="153" t="n">
        <v>0</v>
      </c>
      <c r="X151" s="153" t="n">
        <v>0</v>
      </c>
      <c r="Y151" s="153" t="n">
        <v>0</v>
      </c>
      <c r="Z151" s="153" t="n">
        <v>1</v>
      </c>
      <c r="AA151" s="153" t="n">
        <v>0</v>
      </c>
      <c r="AB151" s="153" t="n">
        <v>0</v>
      </c>
    </row>
    <row r="152">
      <c r="A152" s="164" t="inlineStr">
        <is>
          <t>Todas</t>
        </is>
      </c>
      <c r="B152" s="150" t="n">
        <v>118</v>
      </c>
      <c r="C152" s="150">
        <f>SUM($O152:$AB152)</f>
        <v/>
      </c>
      <c r="D152" s="164">
        <f>SUBSTITUTE(TRIM(IF(O152=1,O$6&amp;" ","")&amp;IF(P152=1,P$6&amp;" ","")&amp;IF(Q152=1,Q$6&amp;" ","")&amp;IF(R152=1,R$6&amp;" ","")&amp;IF(S152=1,S$6&amp;" ","")&amp;IF(T152=1,T$6&amp;" ","")&amp;IF(U152=1,U$6&amp;" ","")&amp;IF(V152=1,V$6&amp;" ","")&amp;IF(W152=1,W$6&amp;" ","")&amp;IF(X152=1,X$6&amp;" ","")&amp;IF(Y152=1,Y$6&amp;" ","")&amp;IF(Z152=1,Z$6&amp;" ","")&amp;IF(AA152=1,AA$6&amp;" ","")&amp;IF(AB152=1,AB$6&amp;" ",""))," ",", ")</f>
        <v/>
      </c>
      <c r="E152" s="164">
        <f>IF(SUMPRODUCT($O152:$AB152*($O$6:$AB$6&lt;=6))=$C152,"Solo casas",IF(SUMPRODUCT($O152:$AB152*($O$6:$AB$6&gt;6))=$C152,"Solo apartamentos","Mixta ("&amp;SUMPRODUCT($O152:$AB152*($O$6:$AB$6&lt;=6))&amp;" casas + "&amp;SUMPRODUCT($O152:$AB152*($O$6:$AB$6&gt;6))&amp;" aptos)"))</f>
        <v/>
      </c>
      <c r="F152" s="151">
        <f>_xlfn.MINIFS($O$7:$AB$7,$O152:$AB152,1)</f>
        <v/>
      </c>
      <c r="G152" s="151">
        <f>_xlfn.MAXIFS($O$7:$AB$7,$O152:$AB152,1)</f>
        <v/>
      </c>
      <c r="H152" s="151">
        <f>SUMPRODUCT($O152:$AB152,$O$7:$AB$7)/C152</f>
        <v/>
      </c>
      <c r="I152" s="151">
        <f>_xlfn.AGGREGATE(16,6,$O$7:$AB$7/($O152:$AB152=1),0.5)</f>
        <v/>
      </c>
      <c r="J152" s="151">
        <f>SQRT((SUMPRODUCT($O152:$AB152,$O$7:$AB$7^2)-C152*H152^2)/(C152-1))</f>
        <v/>
      </c>
      <c r="K152" s="152">
        <f>J152/H152</f>
        <v/>
      </c>
      <c r="L152" s="151">
        <f>H152-J152</f>
        <v/>
      </c>
      <c r="M152" s="151">
        <f>H152+J152</f>
        <v/>
      </c>
      <c r="N152" s="150">
        <f>IF(K152&lt;=$D$4,"SÍ","NO")</f>
        <v/>
      </c>
      <c r="O152" s="153" t="n">
        <v>0</v>
      </c>
      <c r="P152" s="153" t="n">
        <v>0</v>
      </c>
      <c r="Q152" s="153" t="n">
        <v>0</v>
      </c>
      <c r="R152" s="153" t="n">
        <v>0</v>
      </c>
      <c r="S152" s="153" t="n">
        <v>0</v>
      </c>
      <c r="T152" s="153" t="n">
        <v>1</v>
      </c>
      <c r="U152" s="153" t="n">
        <v>0</v>
      </c>
      <c r="V152" s="153" t="n">
        <v>1</v>
      </c>
      <c r="W152" s="153" t="n">
        <v>0</v>
      </c>
      <c r="X152" s="153" t="n">
        <v>0</v>
      </c>
      <c r="Y152" s="153" t="n">
        <v>0</v>
      </c>
      <c r="Z152" s="153" t="n">
        <v>1</v>
      </c>
      <c r="AA152" s="153" t="n">
        <v>0</v>
      </c>
      <c r="AB152" s="153" t="n">
        <v>0</v>
      </c>
    </row>
    <row r="153">
      <c r="A153" s="164" t="inlineStr">
        <is>
          <t>Todas</t>
        </is>
      </c>
      <c r="B153" s="150" t="n">
        <v>119</v>
      </c>
      <c r="C153" s="150">
        <f>SUM($O153:$AB153)</f>
        <v/>
      </c>
      <c r="D153" s="164">
        <f>SUBSTITUTE(TRIM(IF(O153=1,O$6&amp;" ","")&amp;IF(P153=1,P$6&amp;" ","")&amp;IF(Q153=1,Q$6&amp;" ","")&amp;IF(R153=1,R$6&amp;" ","")&amp;IF(S153=1,S$6&amp;" ","")&amp;IF(T153=1,T$6&amp;" ","")&amp;IF(U153=1,U$6&amp;" ","")&amp;IF(V153=1,V$6&amp;" ","")&amp;IF(W153=1,W$6&amp;" ","")&amp;IF(X153=1,X$6&amp;" ","")&amp;IF(Y153=1,Y$6&amp;" ","")&amp;IF(Z153=1,Z$6&amp;" ","")&amp;IF(AA153=1,AA$6&amp;" ","")&amp;IF(AB153=1,AB$6&amp;" ",""))," ",", ")</f>
        <v/>
      </c>
      <c r="E153" s="164">
        <f>IF(SUMPRODUCT($O153:$AB153*($O$6:$AB$6&lt;=6))=$C153,"Solo casas",IF(SUMPRODUCT($O153:$AB153*($O$6:$AB$6&gt;6))=$C153,"Solo apartamentos","Mixta ("&amp;SUMPRODUCT($O153:$AB153*($O$6:$AB$6&lt;=6))&amp;" casas + "&amp;SUMPRODUCT($O153:$AB153*($O$6:$AB$6&gt;6))&amp;" aptos)"))</f>
        <v/>
      </c>
      <c r="F153" s="151">
        <f>_xlfn.MINIFS($O$7:$AB$7,$O153:$AB153,1)</f>
        <v/>
      </c>
      <c r="G153" s="151">
        <f>_xlfn.MAXIFS($O$7:$AB$7,$O153:$AB153,1)</f>
        <v/>
      </c>
      <c r="H153" s="151">
        <f>SUMPRODUCT($O153:$AB153,$O$7:$AB$7)/C153</f>
        <v/>
      </c>
      <c r="I153" s="151">
        <f>_xlfn.AGGREGATE(16,6,$O$7:$AB$7/($O153:$AB153=1),0.5)</f>
        <v/>
      </c>
      <c r="J153" s="151">
        <f>SQRT((SUMPRODUCT($O153:$AB153,$O$7:$AB$7^2)-C153*H153^2)/(C153-1))</f>
        <v/>
      </c>
      <c r="K153" s="152">
        <f>J153/H153</f>
        <v/>
      </c>
      <c r="L153" s="151">
        <f>H153-J153</f>
        <v/>
      </c>
      <c r="M153" s="151">
        <f>H153+J153</f>
        <v/>
      </c>
      <c r="N153" s="150">
        <f>IF(K153&lt;=$D$4,"SÍ","NO")</f>
        <v/>
      </c>
      <c r="O153" s="153" t="n">
        <v>0</v>
      </c>
      <c r="P153" s="153" t="n">
        <v>0</v>
      </c>
      <c r="Q153" s="153" t="n">
        <v>0</v>
      </c>
      <c r="R153" s="153" t="n">
        <v>0</v>
      </c>
      <c r="S153" s="153" t="n">
        <v>1</v>
      </c>
      <c r="T153" s="153" t="n">
        <v>1</v>
      </c>
      <c r="U153" s="153" t="n">
        <v>0</v>
      </c>
      <c r="V153" s="153" t="n">
        <v>0</v>
      </c>
      <c r="W153" s="153" t="n">
        <v>0</v>
      </c>
      <c r="X153" s="153" t="n">
        <v>0</v>
      </c>
      <c r="Y153" s="153" t="n">
        <v>0</v>
      </c>
      <c r="Z153" s="153" t="n">
        <v>1</v>
      </c>
      <c r="AA153" s="153" t="n">
        <v>0</v>
      </c>
      <c r="AB153" s="153" t="n">
        <v>0</v>
      </c>
    </row>
    <row r="154">
      <c r="A154" s="164" t="inlineStr">
        <is>
          <t>Todas</t>
        </is>
      </c>
      <c r="B154" s="150" t="n">
        <v>120</v>
      </c>
      <c r="C154" s="150">
        <f>SUM($O154:$AB154)</f>
        <v/>
      </c>
      <c r="D154" s="164">
        <f>SUBSTITUTE(TRIM(IF(O154=1,O$6&amp;" ","")&amp;IF(P154=1,P$6&amp;" ","")&amp;IF(Q154=1,Q$6&amp;" ","")&amp;IF(R154=1,R$6&amp;" ","")&amp;IF(S154=1,S$6&amp;" ","")&amp;IF(T154=1,T$6&amp;" ","")&amp;IF(U154=1,U$6&amp;" ","")&amp;IF(V154=1,V$6&amp;" ","")&amp;IF(W154=1,W$6&amp;" ","")&amp;IF(X154=1,X$6&amp;" ","")&amp;IF(Y154=1,Y$6&amp;" ","")&amp;IF(Z154=1,Z$6&amp;" ","")&amp;IF(AA154=1,AA$6&amp;" ","")&amp;IF(AB154=1,AB$6&amp;" ",""))," ",", ")</f>
        <v/>
      </c>
      <c r="E154" s="164">
        <f>IF(SUMPRODUCT($O154:$AB154*($O$6:$AB$6&lt;=6))=$C154,"Solo casas",IF(SUMPRODUCT($O154:$AB154*($O$6:$AB$6&gt;6))=$C154,"Solo apartamentos","Mixta ("&amp;SUMPRODUCT($O154:$AB154*($O$6:$AB$6&lt;=6))&amp;" casas + "&amp;SUMPRODUCT($O154:$AB154*($O$6:$AB$6&gt;6))&amp;" aptos)"))</f>
        <v/>
      </c>
      <c r="F154" s="151">
        <f>_xlfn.MINIFS($O$7:$AB$7,$O154:$AB154,1)</f>
        <v/>
      </c>
      <c r="G154" s="151">
        <f>_xlfn.MAXIFS($O$7:$AB$7,$O154:$AB154,1)</f>
        <v/>
      </c>
      <c r="H154" s="151">
        <f>SUMPRODUCT($O154:$AB154,$O$7:$AB$7)/C154</f>
        <v/>
      </c>
      <c r="I154" s="151">
        <f>_xlfn.AGGREGATE(16,6,$O$7:$AB$7/($O154:$AB154=1),0.5)</f>
        <v/>
      </c>
      <c r="J154" s="151">
        <f>SQRT((SUMPRODUCT($O154:$AB154,$O$7:$AB$7^2)-C154*H154^2)/(C154-1))</f>
        <v/>
      </c>
      <c r="K154" s="152">
        <f>J154/H154</f>
        <v/>
      </c>
      <c r="L154" s="151">
        <f>H154-J154</f>
        <v/>
      </c>
      <c r="M154" s="151">
        <f>H154+J154</f>
        <v/>
      </c>
      <c r="N154" s="150">
        <f>IF(K154&lt;=$D$4,"SÍ","NO")</f>
        <v/>
      </c>
      <c r="O154" s="153" t="n">
        <v>0</v>
      </c>
      <c r="P154" s="153" t="n">
        <v>0</v>
      </c>
      <c r="Q154" s="153" t="n">
        <v>0</v>
      </c>
      <c r="R154" s="153" t="n">
        <v>1</v>
      </c>
      <c r="S154" s="153" t="n">
        <v>0</v>
      </c>
      <c r="T154" s="153" t="n">
        <v>0</v>
      </c>
      <c r="U154" s="153" t="n">
        <v>0</v>
      </c>
      <c r="V154" s="153" t="n">
        <v>0</v>
      </c>
      <c r="W154" s="153" t="n">
        <v>0</v>
      </c>
      <c r="X154" s="153" t="n">
        <v>1</v>
      </c>
      <c r="Y154" s="153" t="n">
        <v>0</v>
      </c>
      <c r="Z154" s="153" t="n">
        <v>0</v>
      </c>
      <c r="AA154" s="153" t="n">
        <v>0</v>
      </c>
      <c r="AB154" s="153" t="n">
        <v>1</v>
      </c>
    </row>
    <row r="155">
      <c r="A155" s="164" t="inlineStr">
        <is>
          <t>Todas</t>
        </is>
      </c>
      <c r="B155" s="150" t="n">
        <v>121</v>
      </c>
      <c r="C155" s="150">
        <f>SUM($O155:$AB155)</f>
        <v/>
      </c>
      <c r="D155" s="164">
        <f>SUBSTITUTE(TRIM(IF(O155=1,O$6&amp;" ","")&amp;IF(P155=1,P$6&amp;" ","")&amp;IF(Q155=1,Q$6&amp;" ","")&amp;IF(R155=1,R$6&amp;" ","")&amp;IF(S155=1,S$6&amp;" ","")&amp;IF(T155=1,T$6&amp;" ","")&amp;IF(U155=1,U$6&amp;" ","")&amp;IF(V155=1,V$6&amp;" ","")&amp;IF(W155=1,W$6&amp;" ","")&amp;IF(X155=1,X$6&amp;" ","")&amp;IF(Y155=1,Y$6&amp;" ","")&amp;IF(Z155=1,Z$6&amp;" ","")&amp;IF(AA155=1,AA$6&amp;" ","")&amp;IF(AB155=1,AB$6&amp;" ",""))," ",", ")</f>
        <v/>
      </c>
      <c r="E155" s="164">
        <f>IF(SUMPRODUCT($O155:$AB155*($O$6:$AB$6&lt;=6))=$C155,"Solo casas",IF(SUMPRODUCT($O155:$AB155*($O$6:$AB$6&gt;6))=$C155,"Solo apartamentos","Mixta ("&amp;SUMPRODUCT($O155:$AB155*($O$6:$AB$6&lt;=6))&amp;" casas + "&amp;SUMPRODUCT($O155:$AB155*($O$6:$AB$6&gt;6))&amp;" aptos)"))</f>
        <v/>
      </c>
      <c r="F155" s="151">
        <f>_xlfn.MINIFS($O$7:$AB$7,$O155:$AB155,1)</f>
        <v/>
      </c>
      <c r="G155" s="151">
        <f>_xlfn.MAXIFS($O$7:$AB$7,$O155:$AB155,1)</f>
        <v/>
      </c>
      <c r="H155" s="151">
        <f>SUMPRODUCT($O155:$AB155,$O$7:$AB$7)/C155</f>
        <v/>
      </c>
      <c r="I155" s="151">
        <f>_xlfn.AGGREGATE(16,6,$O$7:$AB$7/($O155:$AB155=1),0.5)</f>
        <v/>
      </c>
      <c r="J155" s="151">
        <f>SQRT((SUMPRODUCT($O155:$AB155,$O$7:$AB$7^2)-C155*H155^2)/(C155-1))</f>
        <v/>
      </c>
      <c r="K155" s="152">
        <f>J155/H155</f>
        <v/>
      </c>
      <c r="L155" s="151">
        <f>H155-J155</f>
        <v/>
      </c>
      <c r="M155" s="151">
        <f>H155+J155</f>
        <v/>
      </c>
      <c r="N155" s="150">
        <f>IF(K155&lt;=$D$4,"SÍ","NO")</f>
        <v/>
      </c>
      <c r="O155" s="153" t="n">
        <v>0</v>
      </c>
      <c r="P155" s="153" t="n">
        <v>0</v>
      </c>
      <c r="Q155" s="153" t="n">
        <v>0</v>
      </c>
      <c r="R155" s="153" t="n">
        <v>1</v>
      </c>
      <c r="S155" s="153" t="n">
        <v>0</v>
      </c>
      <c r="T155" s="153" t="n">
        <v>0</v>
      </c>
      <c r="U155" s="153" t="n">
        <v>0</v>
      </c>
      <c r="V155" s="153" t="n">
        <v>0</v>
      </c>
      <c r="W155" s="153" t="n">
        <v>0</v>
      </c>
      <c r="X155" s="153" t="n">
        <v>0</v>
      </c>
      <c r="Y155" s="153" t="n">
        <v>0</v>
      </c>
      <c r="Z155" s="153" t="n">
        <v>0</v>
      </c>
      <c r="AA155" s="153" t="n">
        <v>1</v>
      </c>
      <c r="AB155" s="153" t="n">
        <v>1</v>
      </c>
    </row>
    <row r="156">
      <c r="A156" s="164" t="inlineStr">
        <is>
          <t>Todas</t>
        </is>
      </c>
      <c r="B156" s="150" t="n">
        <v>122</v>
      </c>
      <c r="C156" s="150">
        <f>SUM($O156:$AB156)</f>
        <v/>
      </c>
      <c r="D156" s="164">
        <f>SUBSTITUTE(TRIM(IF(O156=1,O$6&amp;" ","")&amp;IF(P156=1,P$6&amp;" ","")&amp;IF(Q156=1,Q$6&amp;" ","")&amp;IF(R156=1,R$6&amp;" ","")&amp;IF(S156=1,S$6&amp;" ","")&amp;IF(T156=1,T$6&amp;" ","")&amp;IF(U156=1,U$6&amp;" ","")&amp;IF(V156=1,V$6&amp;" ","")&amp;IF(W156=1,W$6&amp;" ","")&amp;IF(X156=1,X$6&amp;" ","")&amp;IF(Y156=1,Y$6&amp;" ","")&amp;IF(Z156=1,Z$6&amp;" ","")&amp;IF(AA156=1,AA$6&amp;" ","")&amp;IF(AB156=1,AB$6&amp;" ",""))," ",", ")</f>
        <v/>
      </c>
      <c r="E156" s="164">
        <f>IF(SUMPRODUCT($O156:$AB156*($O$6:$AB$6&lt;=6))=$C156,"Solo casas",IF(SUMPRODUCT($O156:$AB156*($O$6:$AB$6&gt;6))=$C156,"Solo apartamentos","Mixta ("&amp;SUMPRODUCT($O156:$AB156*($O$6:$AB$6&lt;=6))&amp;" casas + "&amp;SUMPRODUCT($O156:$AB156*($O$6:$AB$6&gt;6))&amp;" aptos)"))</f>
        <v/>
      </c>
      <c r="F156" s="151">
        <f>_xlfn.MINIFS($O$7:$AB$7,$O156:$AB156,1)</f>
        <v/>
      </c>
      <c r="G156" s="151">
        <f>_xlfn.MAXIFS($O$7:$AB$7,$O156:$AB156,1)</f>
        <v/>
      </c>
      <c r="H156" s="151">
        <f>SUMPRODUCT($O156:$AB156,$O$7:$AB$7)/C156</f>
        <v/>
      </c>
      <c r="I156" s="151">
        <f>_xlfn.AGGREGATE(16,6,$O$7:$AB$7/($O156:$AB156=1),0.5)</f>
        <v/>
      </c>
      <c r="J156" s="151">
        <f>SQRT((SUMPRODUCT($O156:$AB156,$O$7:$AB$7^2)-C156*H156^2)/(C156-1))</f>
        <v/>
      </c>
      <c r="K156" s="152">
        <f>J156/H156</f>
        <v/>
      </c>
      <c r="L156" s="151">
        <f>H156-J156</f>
        <v/>
      </c>
      <c r="M156" s="151">
        <f>H156+J156</f>
        <v/>
      </c>
      <c r="N156" s="150">
        <f>IF(K156&lt;=$D$4,"SÍ","NO")</f>
        <v/>
      </c>
      <c r="O156" s="153" t="n">
        <v>0</v>
      </c>
      <c r="P156" s="153" t="n">
        <v>0</v>
      </c>
      <c r="Q156" s="153" t="n">
        <v>0</v>
      </c>
      <c r="R156" s="153" t="n">
        <v>0</v>
      </c>
      <c r="S156" s="153" t="n">
        <v>1</v>
      </c>
      <c r="T156" s="153" t="n">
        <v>0</v>
      </c>
      <c r="U156" s="153" t="n">
        <v>0</v>
      </c>
      <c r="V156" s="153" t="n">
        <v>1</v>
      </c>
      <c r="W156" s="153" t="n">
        <v>0</v>
      </c>
      <c r="X156" s="153" t="n">
        <v>0</v>
      </c>
      <c r="Y156" s="153" t="n">
        <v>0</v>
      </c>
      <c r="Z156" s="153" t="n">
        <v>0</v>
      </c>
      <c r="AA156" s="153" t="n">
        <v>0</v>
      </c>
      <c r="AB156" s="153" t="n">
        <v>1</v>
      </c>
    </row>
    <row r="157">
      <c r="A157" s="164" t="inlineStr">
        <is>
          <t>Todas</t>
        </is>
      </c>
      <c r="B157" s="150" t="n">
        <v>123</v>
      </c>
      <c r="C157" s="150">
        <f>SUM($O157:$AB157)</f>
        <v/>
      </c>
      <c r="D157" s="164">
        <f>SUBSTITUTE(TRIM(IF(O157=1,O$6&amp;" ","")&amp;IF(P157=1,P$6&amp;" ","")&amp;IF(Q157=1,Q$6&amp;" ","")&amp;IF(R157=1,R$6&amp;" ","")&amp;IF(S157=1,S$6&amp;" ","")&amp;IF(T157=1,T$6&amp;" ","")&amp;IF(U157=1,U$6&amp;" ","")&amp;IF(V157=1,V$6&amp;" ","")&amp;IF(W157=1,W$6&amp;" ","")&amp;IF(X157=1,X$6&amp;" ","")&amp;IF(Y157=1,Y$6&amp;" ","")&amp;IF(Z157=1,Z$6&amp;" ","")&amp;IF(AA157=1,AA$6&amp;" ","")&amp;IF(AB157=1,AB$6&amp;" ",""))," ",", ")</f>
        <v/>
      </c>
      <c r="E157" s="164">
        <f>IF(SUMPRODUCT($O157:$AB157*($O$6:$AB$6&lt;=6))=$C157,"Solo casas",IF(SUMPRODUCT($O157:$AB157*($O$6:$AB$6&gt;6))=$C157,"Solo apartamentos","Mixta ("&amp;SUMPRODUCT($O157:$AB157*($O$6:$AB$6&lt;=6))&amp;" casas + "&amp;SUMPRODUCT($O157:$AB157*($O$6:$AB$6&gt;6))&amp;" aptos)"))</f>
        <v/>
      </c>
      <c r="F157" s="151">
        <f>_xlfn.MINIFS($O$7:$AB$7,$O157:$AB157,1)</f>
        <v/>
      </c>
      <c r="G157" s="151">
        <f>_xlfn.MAXIFS($O$7:$AB$7,$O157:$AB157,1)</f>
        <v/>
      </c>
      <c r="H157" s="151">
        <f>SUMPRODUCT($O157:$AB157,$O$7:$AB$7)/C157</f>
        <v/>
      </c>
      <c r="I157" s="151">
        <f>_xlfn.AGGREGATE(16,6,$O$7:$AB$7/($O157:$AB157=1),0.5)</f>
        <v/>
      </c>
      <c r="J157" s="151">
        <f>SQRT((SUMPRODUCT($O157:$AB157,$O$7:$AB$7^2)-C157*H157^2)/(C157-1))</f>
        <v/>
      </c>
      <c r="K157" s="152">
        <f>J157/H157</f>
        <v/>
      </c>
      <c r="L157" s="151">
        <f>H157-J157</f>
        <v/>
      </c>
      <c r="M157" s="151">
        <f>H157+J157</f>
        <v/>
      </c>
      <c r="N157" s="150">
        <f>IF(K157&lt;=$D$4,"SÍ","NO")</f>
        <v/>
      </c>
      <c r="O157" s="153" t="n">
        <v>0</v>
      </c>
      <c r="P157" s="153" t="n">
        <v>0</v>
      </c>
      <c r="Q157" s="153" t="n">
        <v>0</v>
      </c>
      <c r="R157" s="153" t="n">
        <v>0</v>
      </c>
      <c r="S157" s="153" t="n">
        <v>0</v>
      </c>
      <c r="T157" s="153" t="n">
        <v>0</v>
      </c>
      <c r="U157" s="153" t="n">
        <v>0</v>
      </c>
      <c r="V157" s="153" t="n">
        <v>0</v>
      </c>
      <c r="W157" s="153" t="n">
        <v>1</v>
      </c>
      <c r="X157" s="153" t="n">
        <v>1</v>
      </c>
      <c r="Y157" s="153" t="n">
        <v>0</v>
      </c>
      <c r="Z157" s="153" t="n">
        <v>0</v>
      </c>
      <c r="AA157" s="153" t="n">
        <v>0</v>
      </c>
      <c r="AB157" s="153" t="n">
        <v>1</v>
      </c>
    </row>
    <row r="158">
      <c r="A158" s="164" t="inlineStr">
        <is>
          <t>Todas</t>
        </is>
      </c>
      <c r="B158" s="150" t="n">
        <v>124</v>
      </c>
      <c r="C158" s="150">
        <f>SUM($O158:$AB158)</f>
        <v/>
      </c>
      <c r="D158" s="164">
        <f>SUBSTITUTE(TRIM(IF(O158=1,O$6&amp;" ","")&amp;IF(P158=1,P$6&amp;" ","")&amp;IF(Q158=1,Q$6&amp;" ","")&amp;IF(R158=1,R$6&amp;" ","")&amp;IF(S158=1,S$6&amp;" ","")&amp;IF(T158=1,T$6&amp;" ","")&amp;IF(U158=1,U$6&amp;" ","")&amp;IF(V158=1,V$6&amp;" ","")&amp;IF(W158=1,W$6&amp;" ","")&amp;IF(X158=1,X$6&amp;" ","")&amp;IF(Y158=1,Y$6&amp;" ","")&amp;IF(Z158=1,Z$6&amp;" ","")&amp;IF(AA158=1,AA$6&amp;" ","")&amp;IF(AB158=1,AB$6&amp;" ",""))," ",", ")</f>
        <v/>
      </c>
      <c r="E158" s="164">
        <f>IF(SUMPRODUCT($O158:$AB158*($O$6:$AB$6&lt;=6))=$C158,"Solo casas",IF(SUMPRODUCT($O158:$AB158*($O$6:$AB$6&gt;6))=$C158,"Solo apartamentos","Mixta ("&amp;SUMPRODUCT($O158:$AB158*($O$6:$AB$6&lt;=6))&amp;" casas + "&amp;SUMPRODUCT($O158:$AB158*($O$6:$AB$6&gt;6))&amp;" aptos)"))</f>
        <v/>
      </c>
      <c r="F158" s="151">
        <f>_xlfn.MINIFS($O$7:$AB$7,$O158:$AB158,1)</f>
        <v/>
      </c>
      <c r="G158" s="151">
        <f>_xlfn.MAXIFS($O$7:$AB$7,$O158:$AB158,1)</f>
        <v/>
      </c>
      <c r="H158" s="151">
        <f>SUMPRODUCT($O158:$AB158,$O$7:$AB$7)/C158</f>
        <v/>
      </c>
      <c r="I158" s="151">
        <f>_xlfn.AGGREGATE(16,6,$O$7:$AB$7/($O158:$AB158=1),0.5)</f>
        <v/>
      </c>
      <c r="J158" s="151">
        <f>SQRT((SUMPRODUCT($O158:$AB158,$O$7:$AB$7^2)-C158*H158^2)/(C158-1))</f>
        <v/>
      </c>
      <c r="K158" s="152">
        <f>J158/H158</f>
        <v/>
      </c>
      <c r="L158" s="151">
        <f>H158-J158</f>
        <v/>
      </c>
      <c r="M158" s="151">
        <f>H158+J158</f>
        <v/>
      </c>
      <c r="N158" s="150">
        <f>IF(K158&lt;=$D$4,"SÍ","NO")</f>
        <v/>
      </c>
      <c r="O158" s="153" t="n">
        <v>0</v>
      </c>
      <c r="P158" s="153" t="n">
        <v>0</v>
      </c>
      <c r="Q158" s="153" t="n">
        <v>0</v>
      </c>
      <c r="R158" s="153" t="n">
        <v>0</v>
      </c>
      <c r="S158" s="153" t="n">
        <v>1</v>
      </c>
      <c r="T158" s="153" t="n">
        <v>0</v>
      </c>
      <c r="U158" s="153" t="n">
        <v>1</v>
      </c>
      <c r="V158" s="153" t="n">
        <v>0</v>
      </c>
      <c r="W158" s="153" t="n">
        <v>1</v>
      </c>
      <c r="X158" s="153" t="n">
        <v>0</v>
      </c>
      <c r="Y158" s="153" t="n">
        <v>0</v>
      </c>
      <c r="Z158" s="153" t="n">
        <v>0</v>
      </c>
      <c r="AA158" s="153" t="n">
        <v>0</v>
      </c>
      <c r="AB158" s="153" t="n">
        <v>0</v>
      </c>
    </row>
    <row r="159">
      <c r="A159" s="164" t="inlineStr">
        <is>
          <t>Todas</t>
        </is>
      </c>
      <c r="B159" s="150" t="n">
        <v>125</v>
      </c>
      <c r="C159" s="150">
        <f>SUM($O159:$AB159)</f>
        <v/>
      </c>
      <c r="D159" s="164">
        <f>SUBSTITUTE(TRIM(IF(O159=1,O$6&amp;" ","")&amp;IF(P159=1,P$6&amp;" ","")&amp;IF(Q159=1,Q$6&amp;" ","")&amp;IF(R159=1,R$6&amp;" ","")&amp;IF(S159=1,S$6&amp;" ","")&amp;IF(T159=1,T$6&amp;" ","")&amp;IF(U159=1,U$6&amp;" ","")&amp;IF(V159=1,V$6&amp;" ","")&amp;IF(W159=1,W$6&amp;" ","")&amp;IF(X159=1,X$6&amp;" ","")&amp;IF(Y159=1,Y$6&amp;" ","")&amp;IF(Z159=1,Z$6&amp;" ","")&amp;IF(AA159=1,AA$6&amp;" ","")&amp;IF(AB159=1,AB$6&amp;" ",""))," ",", ")</f>
        <v/>
      </c>
      <c r="E159" s="164">
        <f>IF(SUMPRODUCT($O159:$AB159*($O$6:$AB$6&lt;=6))=$C159,"Solo casas",IF(SUMPRODUCT($O159:$AB159*($O$6:$AB$6&gt;6))=$C159,"Solo apartamentos","Mixta ("&amp;SUMPRODUCT($O159:$AB159*($O$6:$AB$6&lt;=6))&amp;" casas + "&amp;SUMPRODUCT($O159:$AB159*($O$6:$AB$6&gt;6))&amp;" aptos)"))</f>
        <v/>
      </c>
      <c r="F159" s="151">
        <f>_xlfn.MINIFS($O$7:$AB$7,$O159:$AB159,1)</f>
        <v/>
      </c>
      <c r="G159" s="151">
        <f>_xlfn.MAXIFS($O$7:$AB$7,$O159:$AB159,1)</f>
        <v/>
      </c>
      <c r="H159" s="151">
        <f>SUMPRODUCT($O159:$AB159,$O$7:$AB$7)/C159</f>
        <v/>
      </c>
      <c r="I159" s="151">
        <f>_xlfn.AGGREGATE(16,6,$O$7:$AB$7/($O159:$AB159=1),0.5)</f>
        <v/>
      </c>
      <c r="J159" s="151">
        <f>SQRT((SUMPRODUCT($O159:$AB159,$O$7:$AB$7^2)-C159*H159^2)/(C159-1))</f>
        <v/>
      </c>
      <c r="K159" s="152">
        <f>J159/H159</f>
        <v/>
      </c>
      <c r="L159" s="151">
        <f>H159-J159</f>
        <v/>
      </c>
      <c r="M159" s="151">
        <f>H159+J159</f>
        <v/>
      </c>
      <c r="N159" s="150">
        <f>IF(K159&lt;=$D$4,"SÍ","NO")</f>
        <v/>
      </c>
      <c r="O159" s="153" t="n">
        <v>0</v>
      </c>
      <c r="P159" s="153" t="n">
        <v>0</v>
      </c>
      <c r="Q159" s="153" t="n">
        <v>0</v>
      </c>
      <c r="R159" s="153" t="n">
        <v>0</v>
      </c>
      <c r="S159" s="153" t="n">
        <v>0</v>
      </c>
      <c r="T159" s="153" t="n">
        <v>0</v>
      </c>
      <c r="U159" s="153" t="n">
        <v>1</v>
      </c>
      <c r="V159" s="153" t="n">
        <v>1</v>
      </c>
      <c r="W159" s="153" t="n">
        <v>1</v>
      </c>
      <c r="X159" s="153" t="n">
        <v>0</v>
      </c>
      <c r="Y159" s="153" t="n">
        <v>0</v>
      </c>
      <c r="Z159" s="153" t="n">
        <v>0</v>
      </c>
      <c r="AA159" s="153" t="n">
        <v>0</v>
      </c>
      <c r="AB159" s="153" t="n">
        <v>0</v>
      </c>
    </row>
    <row r="160">
      <c r="A160" s="164" t="inlineStr">
        <is>
          <t>Todas</t>
        </is>
      </c>
      <c r="B160" s="150" t="n">
        <v>126</v>
      </c>
      <c r="C160" s="150">
        <f>SUM($O160:$AB160)</f>
        <v/>
      </c>
      <c r="D160" s="164">
        <f>SUBSTITUTE(TRIM(IF(O160=1,O$6&amp;" ","")&amp;IF(P160=1,P$6&amp;" ","")&amp;IF(Q160=1,Q$6&amp;" ","")&amp;IF(R160=1,R$6&amp;" ","")&amp;IF(S160=1,S$6&amp;" ","")&amp;IF(T160=1,T$6&amp;" ","")&amp;IF(U160=1,U$6&amp;" ","")&amp;IF(V160=1,V$6&amp;" ","")&amp;IF(W160=1,W$6&amp;" ","")&amp;IF(X160=1,X$6&amp;" ","")&amp;IF(Y160=1,Y$6&amp;" ","")&amp;IF(Z160=1,Z$6&amp;" ","")&amp;IF(AA160=1,AA$6&amp;" ","")&amp;IF(AB160=1,AB$6&amp;" ",""))," ",", ")</f>
        <v/>
      </c>
      <c r="E160" s="164">
        <f>IF(SUMPRODUCT($O160:$AB160*($O$6:$AB$6&lt;=6))=$C160,"Solo casas",IF(SUMPRODUCT($O160:$AB160*($O$6:$AB$6&gt;6))=$C160,"Solo apartamentos","Mixta ("&amp;SUMPRODUCT($O160:$AB160*($O$6:$AB$6&lt;=6))&amp;" casas + "&amp;SUMPRODUCT($O160:$AB160*($O$6:$AB$6&gt;6))&amp;" aptos)"))</f>
        <v/>
      </c>
      <c r="F160" s="151">
        <f>_xlfn.MINIFS($O$7:$AB$7,$O160:$AB160,1)</f>
        <v/>
      </c>
      <c r="G160" s="151">
        <f>_xlfn.MAXIFS($O$7:$AB$7,$O160:$AB160,1)</f>
        <v/>
      </c>
      <c r="H160" s="151">
        <f>SUMPRODUCT($O160:$AB160,$O$7:$AB$7)/C160</f>
        <v/>
      </c>
      <c r="I160" s="151">
        <f>_xlfn.AGGREGATE(16,6,$O$7:$AB$7/($O160:$AB160=1),0.5)</f>
        <v/>
      </c>
      <c r="J160" s="151">
        <f>SQRT((SUMPRODUCT($O160:$AB160,$O$7:$AB$7^2)-C160*H160^2)/(C160-1))</f>
        <v/>
      </c>
      <c r="K160" s="152">
        <f>J160/H160</f>
        <v/>
      </c>
      <c r="L160" s="151">
        <f>H160-J160</f>
        <v/>
      </c>
      <c r="M160" s="151">
        <f>H160+J160</f>
        <v/>
      </c>
      <c r="N160" s="150">
        <f>IF(K160&lt;=$D$4,"SÍ","NO")</f>
        <v/>
      </c>
      <c r="O160" s="153" t="n">
        <v>0</v>
      </c>
      <c r="P160" s="153" t="n">
        <v>0</v>
      </c>
      <c r="Q160" s="153" t="n">
        <v>0</v>
      </c>
      <c r="R160" s="153" t="n">
        <v>0</v>
      </c>
      <c r="S160" s="153" t="n">
        <v>0</v>
      </c>
      <c r="T160" s="153" t="n">
        <v>0</v>
      </c>
      <c r="U160" s="153" t="n">
        <v>0</v>
      </c>
      <c r="V160" s="153" t="n">
        <v>0</v>
      </c>
      <c r="W160" s="153" t="n">
        <v>1</v>
      </c>
      <c r="X160" s="153" t="n">
        <v>0</v>
      </c>
      <c r="Y160" s="153" t="n">
        <v>0</v>
      </c>
      <c r="Z160" s="153" t="n">
        <v>0</v>
      </c>
      <c r="AA160" s="153" t="n">
        <v>1</v>
      </c>
      <c r="AB160" s="153" t="n">
        <v>1</v>
      </c>
    </row>
    <row r="161">
      <c r="A161" s="164" t="inlineStr">
        <is>
          <t>Todas</t>
        </is>
      </c>
      <c r="B161" s="150" t="n">
        <v>127</v>
      </c>
      <c r="C161" s="150">
        <f>SUM($O161:$AB161)</f>
        <v/>
      </c>
      <c r="D161" s="164">
        <f>SUBSTITUTE(TRIM(IF(O161=1,O$6&amp;" ","")&amp;IF(P161=1,P$6&amp;" ","")&amp;IF(Q161=1,Q$6&amp;" ","")&amp;IF(R161=1,R$6&amp;" ","")&amp;IF(S161=1,S$6&amp;" ","")&amp;IF(T161=1,T$6&amp;" ","")&amp;IF(U161=1,U$6&amp;" ","")&amp;IF(V161=1,V$6&amp;" ","")&amp;IF(W161=1,W$6&amp;" ","")&amp;IF(X161=1,X$6&amp;" ","")&amp;IF(Y161=1,Y$6&amp;" ","")&amp;IF(Z161=1,Z$6&amp;" ","")&amp;IF(AA161=1,AA$6&amp;" ","")&amp;IF(AB161=1,AB$6&amp;" ",""))," ",", ")</f>
        <v/>
      </c>
      <c r="E161" s="164">
        <f>IF(SUMPRODUCT($O161:$AB161*($O$6:$AB$6&lt;=6))=$C161,"Solo casas",IF(SUMPRODUCT($O161:$AB161*($O$6:$AB$6&gt;6))=$C161,"Solo apartamentos","Mixta ("&amp;SUMPRODUCT($O161:$AB161*($O$6:$AB$6&lt;=6))&amp;" casas + "&amp;SUMPRODUCT($O161:$AB161*($O$6:$AB$6&gt;6))&amp;" aptos)"))</f>
        <v/>
      </c>
      <c r="F161" s="151">
        <f>_xlfn.MINIFS($O$7:$AB$7,$O161:$AB161,1)</f>
        <v/>
      </c>
      <c r="G161" s="151">
        <f>_xlfn.MAXIFS($O$7:$AB$7,$O161:$AB161,1)</f>
        <v/>
      </c>
      <c r="H161" s="151">
        <f>SUMPRODUCT($O161:$AB161,$O$7:$AB$7)/C161</f>
        <v/>
      </c>
      <c r="I161" s="151">
        <f>_xlfn.AGGREGATE(16,6,$O$7:$AB$7/($O161:$AB161=1),0.5)</f>
        <v/>
      </c>
      <c r="J161" s="151">
        <f>SQRT((SUMPRODUCT($O161:$AB161,$O$7:$AB$7^2)-C161*H161^2)/(C161-1))</f>
        <v/>
      </c>
      <c r="K161" s="152">
        <f>J161/H161</f>
        <v/>
      </c>
      <c r="L161" s="151">
        <f>H161-J161</f>
        <v/>
      </c>
      <c r="M161" s="151">
        <f>H161+J161</f>
        <v/>
      </c>
      <c r="N161" s="150">
        <f>IF(K161&lt;=$D$4,"SÍ","NO")</f>
        <v/>
      </c>
      <c r="O161" s="153" t="n">
        <v>0</v>
      </c>
      <c r="P161" s="153" t="n">
        <v>0</v>
      </c>
      <c r="Q161" s="153" t="n">
        <v>0</v>
      </c>
      <c r="R161" s="153" t="n">
        <v>0</v>
      </c>
      <c r="S161" s="153" t="n">
        <v>0</v>
      </c>
      <c r="T161" s="153" t="n">
        <v>0</v>
      </c>
      <c r="U161" s="153" t="n">
        <v>0</v>
      </c>
      <c r="V161" s="153" t="n">
        <v>0</v>
      </c>
      <c r="W161" s="153" t="n">
        <v>1</v>
      </c>
      <c r="X161" s="153" t="n">
        <v>1</v>
      </c>
      <c r="Y161" s="153" t="n">
        <v>0</v>
      </c>
      <c r="Z161" s="153" t="n">
        <v>0</v>
      </c>
      <c r="AA161" s="153" t="n">
        <v>1</v>
      </c>
      <c r="AB161" s="153" t="n">
        <v>0</v>
      </c>
    </row>
    <row r="162">
      <c r="A162" s="164" t="inlineStr">
        <is>
          <t>Todas</t>
        </is>
      </c>
      <c r="B162" s="150" t="n">
        <v>128</v>
      </c>
      <c r="C162" s="150">
        <f>SUM($O162:$AB162)</f>
        <v/>
      </c>
      <c r="D162" s="164">
        <f>SUBSTITUTE(TRIM(IF(O162=1,O$6&amp;" ","")&amp;IF(P162=1,P$6&amp;" ","")&amp;IF(Q162=1,Q$6&amp;" ","")&amp;IF(R162=1,R$6&amp;" ","")&amp;IF(S162=1,S$6&amp;" ","")&amp;IF(T162=1,T$6&amp;" ","")&amp;IF(U162=1,U$6&amp;" ","")&amp;IF(V162=1,V$6&amp;" ","")&amp;IF(W162=1,W$6&amp;" ","")&amp;IF(X162=1,X$6&amp;" ","")&amp;IF(Y162=1,Y$6&amp;" ","")&amp;IF(Z162=1,Z$6&amp;" ","")&amp;IF(AA162=1,AA$6&amp;" ","")&amp;IF(AB162=1,AB$6&amp;" ",""))," ",", ")</f>
        <v/>
      </c>
      <c r="E162" s="164">
        <f>IF(SUMPRODUCT($O162:$AB162*($O$6:$AB$6&lt;=6))=$C162,"Solo casas",IF(SUMPRODUCT($O162:$AB162*($O$6:$AB$6&gt;6))=$C162,"Solo apartamentos","Mixta ("&amp;SUMPRODUCT($O162:$AB162*($O$6:$AB$6&lt;=6))&amp;" casas + "&amp;SUMPRODUCT($O162:$AB162*($O$6:$AB$6&gt;6))&amp;" aptos)"))</f>
        <v/>
      </c>
      <c r="F162" s="151">
        <f>_xlfn.MINIFS($O$7:$AB$7,$O162:$AB162,1)</f>
        <v/>
      </c>
      <c r="G162" s="151">
        <f>_xlfn.MAXIFS($O$7:$AB$7,$O162:$AB162,1)</f>
        <v/>
      </c>
      <c r="H162" s="151">
        <f>SUMPRODUCT($O162:$AB162,$O$7:$AB$7)/C162</f>
        <v/>
      </c>
      <c r="I162" s="151">
        <f>_xlfn.AGGREGATE(16,6,$O$7:$AB$7/($O162:$AB162=1),0.5)</f>
        <v/>
      </c>
      <c r="J162" s="151">
        <f>SQRT((SUMPRODUCT($O162:$AB162,$O$7:$AB$7^2)-C162*H162^2)/(C162-1))</f>
        <v/>
      </c>
      <c r="K162" s="152">
        <f>J162/H162</f>
        <v/>
      </c>
      <c r="L162" s="151">
        <f>H162-J162</f>
        <v/>
      </c>
      <c r="M162" s="151">
        <f>H162+J162</f>
        <v/>
      </c>
      <c r="N162" s="150">
        <f>IF(K162&lt;=$D$4,"SÍ","NO")</f>
        <v/>
      </c>
      <c r="O162" s="153" t="n">
        <v>0</v>
      </c>
      <c r="P162" s="153" t="n">
        <v>0</v>
      </c>
      <c r="Q162" s="153" t="n">
        <v>0</v>
      </c>
      <c r="R162" s="153" t="n">
        <v>0</v>
      </c>
      <c r="S162" s="153" t="n">
        <v>0</v>
      </c>
      <c r="T162" s="153" t="n">
        <v>0</v>
      </c>
      <c r="U162" s="153" t="n">
        <v>0</v>
      </c>
      <c r="V162" s="153" t="n">
        <v>0</v>
      </c>
      <c r="W162" s="153" t="n">
        <v>1</v>
      </c>
      <c r="X162" s="153" t="n">
        <v>0</v>
      </c>
      <c r="Y162" s="153" t="n">
        <v>1</v>
      </c>
      <c r="Z162" s="153" t="n">
        <v>0</v>
      </c>
      <c r="AA162" s="153" t="n">
        <v>0</v>
      </c>
      <c r="AB162" s="153" t="n">
        <v>1</v>
      </c>
    </row>
    <row r="163">
      <c r="A163" s="164" t="inlineStr">
        <is>
          <t>Todas</t>
        </is>
      </c>
      <c r="B163" s="150" t="n">
        <v>129</v>
      </c>
      <c r="C163" s="150">
        <f>SUM($O163:$AB163)</f>
        <v/>
      </c>
      <c r="D163" s="164">
        <f>SUBSTITUTE(TRIM(IF(O163=1,O$6&amp;" ","")&amp;IF(P163=1,P$6&amp;" ","")&amp;IF(Q163=1,Q$6&amp;" ","")&amp;IF(R163=1,R$6&amp;" ","")&amp;IF(S163=1,S$6&amp;" ","")&amp;IF(T163=1,T$6&amp;" ","")&amp;IF(U163=1,U$6&amp;" ","")&amp;IF(V163=1,V$6&amp;" ","")&amp;IF(W163=1,W$6&amp;" ","")&amp;IF(X163=1,X$6&amp;" ","")&amp;IF(Y163=1,Y$6&amp;" ","")&amp;IF(Z163=1,Z$6&amp;" ","")&amp;IF(AA163=1,AA$6&amp;" ","")&amp;IF(AB163=1,AB$6&amp;" ",""))," ",", ")</f>
        <v/>
      </c>
      <c r="E163" s="164">
        <f>IF(SUMPRODUCT($O163:$AB163*($O$6:$AB$6&lt;=6))=$C163,"Solo casas",IF(SUMPRODUCT($O163:$AB163*($O$6:$AB$6&gt;6))=$C163,"Solo apartamentos","Mixta ("&amp;SUMPRODUCT($O163:$AB163*($O$6:$AB$6&lt;=6))&amp;" casas + "&amp;SUMPRODUCT($O163:$AB163*($O$6:$AB$6&gt;6))&amp;" aptos)"))</f>
        <v/>
      </c>
      <c r="F163" s="151">
        <f>_xlfn.MINIFS($O$7:$AB$7,$O163:$AB163,1)</f>
        <v/>
      </c>
      <c r="G163" s="151">
        <f>_xlfn.MAXIFS($O$7:$AB$7,$O163:$AB163,1)</f>
        <v/>
      </c>
      <c r="H163" s="151">
        <f>SUMPRODUCT($O163:$AB163,$O$7:$AB$7)/C163</f>
        <v/>
      </c>
      <c r="I163" s="151">
        <f>_xlfn.AGGREGATE(16,6,$O$7:$AB$7/($O163:$AB163=1),0.5)</f>
        <v/>
      </c>
      <c r="J163" s="151">
        <f>SQRT((SUMPRODUCT($O163:$AB163,$O$7:$AB$7^2)-C163*H163^2)/(C163-1))</f>
        <v/>
      </c>
      <c r="K163" s="152">
        <f>J163/H163</f>
        <v/>
      </c>
      <c r="L163" s="151">
        <f>H163-J163</f>
        <v/>
      </c>
      <c r="M163" s="151">
        <f>H163+J163</f>
        <v/>
      </c>
      <c r="N163" s="150">
        <f>IF(K163&lt;=$D$4,"SÍ","NO")</f>
        <v/>
      </c>
      <c r="O163" s="153" t="n">
        <v>0</v>
      </c>
      <c r="P163" s="153" t="n">
        <v>0</v>
      </c>
      <c r="Q163" s="153" t="n">
        <v>0</v>
      </c>
      <c r="R163" s="153" t="n">
        <v>0</v>
      </c>
      <c r="S163" s="153" t="n">
        <v>0</v>
      </c>
      <c r="T163" s="153" t="n">
        <v>0</v>
      </c>
      <c r="U163" s="153" t="n">
        <v>1</v>
      </c>
      <c r="V163" s="153" t="n">
        <v>0</v>
      </c>
      <c r="W163" s="153" t="n">
        <v>1</v>
      </c>
      <c r="X163" s="153" t="n">
        <v>0</v>
      </c>
      <c r="Y163" s="153" t="n">
        <v>1</v>
      </c>
      <c r="Z163" s="153" t="n">
        <v>0</v>
      </c>
      <c r="AA163" s="153" t="n">
        <v>0</v>
      </c>
      <c r="AB163" s="153" t="n">
        <v>0</v>
      </c>
    </row>
    <row r="164">
      <c r="A164" s="164" t="inlineStr">
        <is>
          <t>Todas</t>
        </is>
      </c>
      <c r="B164" s="150" t="n">
        <v>130</v>
      </c>
      <c r="C164" s="150">
        <f>SUM($O164:$AB164)</f>
        <v/>
      </c>
      <c r="D164" s="164">
        <f>SUBSTITUTE(TRIM(IF(O164=1,O$6&amp;" ","")&amp;IF(P164=1,P$6&amp;" ","")&amp;IF(Q164=1,Q$6&amp;" ","")&amp;IF(R164=1,R$6&amp;" ","")&amp;IF(S164=1,S$6&amp;" ","")&amp;IF(T164=1,T$6&amp;" ","")&amp;IF(U164=1,U$6&amp;" ","")&amp;IF(V164=1,V$6&amp;" ","")&amp;IF(W164=1,W$6&amp;" ","")&amp;IF(X164=1,X$6&amp;" ","")&amp;IF(Y164=1,Y$6&amp;" ","")&amp;IF(Z164=1,Z$6&amp;" ","")&amp;IF(AA164=1,AA$6&amp;" ","")&amp;IF(AB164=1,AB$6&amp;" ",""))," ",", ")</f>
        <v/>
      </c>
      <c r="E164" s="164">
        <f>IF(SUMPRODUCT($O164:$AB164*($O$6:$AB$6&lt;=6))=$C164,"Solo casas",IF(SUMPRODUCT($O164:$AB164*($O$6:$AB$6&gt;6))=$C164,"Solo apartamentos","Mixta ("&amp;SUMPRODUCT($O164:$AB164*($O$6:$AB$6&lt;=6))&amp;" casas + "&amp;SUMPRODUCT($O164:$AB164*($O$6:$AB$6&gt;6))&amp;" aptos)"))</f>
        <v/>
      </c>
      <c r="F164" s="151">
        <f>_xlfn.MINIFS($O$7:$AB$7,$O164:$AB164,1)</f>
        <v/>
      </c>
      <c r="G164" s="151">
        <f>_xlfn.MAXIFS($O$7:$AB$7,$O164:$AB164,1)</f>
        <v/>
      </c>
      <c r="H164" s="151">
        <f>SUMPRODUCT($O164:$AB164,$O$7:$AB$7)/C164</f>
        <v/>
      </c>
      <c r="I164" s="151">
        <f>_xlfn.AGGREGATE(16,6,$O$7:$AB$7/($O164:$AB164=1),0.5)</f>
        <v/>
      </c>
      <c r="J164" s="151">
        <f>SQRT((SUMPRODUCT($O164:$AB164,$O$7:$AB$7^2)-C164*H164^2)/(C164-1))</f>
        <v/>
      </c>
      <c r="K164" s="152">
        <f>J164/H164</f>
        <v/>
      </c>
      <c r="L164" s="151">
        <f>H164-J164</f>
        <v/>
      </c>
      <c r="M164" s="151">
        <f>H164+J164</f>
        <v/>
      </c>
      <c r="N164" s="150">
        <f>IF(K164&lt;=$D$4,"SÍ","NO")</f>
        <v/>
      </c>
      <c r="O164" s="153" t="n">
        <v>0</v>
      </c>
      <c r="P164" s="153" t="n">
        <v>0</v>
      </c>
      <c r="Q164" s="153" t="n">
        <v>0</v>
      </c>
      <c r="R164" s="153" t="n">
        <v>0</v>
      </c>
      <c r="S164" s="153" t="n">
        <v>1</v>
      </c>
      <c r="T164" s="153" t="n">
        <v>0</v>
      </c>
      <c r="U164" s="153" t="n">
        <v>0</v>
      </c>
      <c r="V164" s="153" t="n">
        <v>0</v>
      </c>
      <c r="W164" s="153" t="n">
        <v>0</v>
      </c>
      <c r="X164" s="153" t="n">
        <v>0</v>
      </c>
      <c r="Y164" s="153" t="n">
        <v>1</v>
      </c>
      <c r="Z164" s="153" t="n">
        <v>0</v>
      </c>
      <c r="AA164" s="153" t="n">
        <v>0</v>
      </c>
      <c r="AB164" s="153" t="n">
        <v>1</v>
      </c>
    </row>
    <row r="165">
      <c r="A165" s="164" t="inlineStr">
        <is>
          <t>Todas</t>
        </is>
      </c>
      <c r="B165" s="150" t="n">
        <v>131</v>
      </c>
      <c r="C165" s="150">
        <f>SUM($O165:$AB165)</f>
        <v/>
      </c>
      <c r="D165" s="164">
        <f>SUBSTITUTE(TRIM(IF(O165=1,O$6&amp;" ","")&amp;IF(P165=1,P$6&amp;" ","")&amp;IF(Q165=1,Q$6&amp;" ","")&amp;IF(R165=1,R$6&amp;" ","")&amp;IF(S165=1,S$6&amp;" ","")&amp;IF(T165=1,T$6&amp;" ","")&amp;IF(U165=1,U$6&amp;" ","")&amp;IF(V165=1,V$6&amp;" ","")&amp;IF(W165=1,W$6&amp;" ","")&amp;IF(X165=1,X$6&amp;" ","")&amp;IF(Y165=1,Y$6&amp;" ","")&amp;IF(Z165=1,Z$6&amp;" ","")&amp;IF(AA165=1,AA$6&amp;" ","")&amp;IF(AB165=1,AB$6&amp;" ",""))," ",", ")</f>
        <v/>
      </c>
      <c r="E165" s="164">
        <f>IF(SUMPRODUCT($O165:$AB165*($O$6:$AB$6&lt;=6))=$C165,"Solo casas",IF(SUMPRODUCT($O165:$AB165*($O$6:$AB$6&gt;6))=$C165,"Solo apartamentos","Mixta ("&amp;SUMPRODUCT($O165:$AB165*($O$6:$AB$6&lt;=6))&amp;" casas + "&amp;SUMPRODUCT($O165:$AB165*($O$6:$AB$6&gt;6))&amp;" aptos)"))</f>
        <v/>
      </c>
      <c r="F165" s="151">
        <f>_xlfn.MINIFS($O$7:$AB$7,$O165:$AB165,1)</f>
        <v/>
      </c>
      <c r="G165" s="151">
        <f>_xlfn.MAXIFS($O$7:$AB$7,$O165:$AB165,1)</f>
        <v/>
      </c>
      <c r="H165" s="151">
        <f>SUMPRODUCT($O165:$AB165,$O$7:$AB$7)/C165</f>
        <v/>
      </c>
      <c r="I165" s="151">
        <f>_xlfn.AGGREGATE(16,6,$O$7:$AB$7/($O165:$AB165=1),0.5)</f>
        <v/>
      </c>
      <c r="J165" s="151">
        <f>SQRT((SUMPRODUCT($O165:$AB165,$O$7:$AB$7^2)-C165*H165^2)/(C165-1))</f>
        <v/>
      </c>
      <c r="K165" s="152">
        <f>J165/H165</f>
        <v/>
      </c>
      <c r="L165" s="151">
        <f>H165-J165</f>
        <v/>
      </c>
      <c r="M165" s="151">
        <f>H165+J165</f>
        <v/>
      </c>
      <c r="N165" s="150">
        <f>IF(K165&lt;=$D$4,"SÍ","NO")</f>
        <v/>
      </c>
      <c r="O165" s="153" t="n">
        <v>0</v>
      </c>
      <c r="P165" s="153" t="n">
        <v>0</v>
      </c>
      <c r="Q165" s="153" t="n">
        <v>0</v>
      </c>
      <c r="R165" s="153" t="n">
        <v>0</v>
      </c>
      <c r="S165" s="153" t="n">
        <v>0</v>
      </c>
      <c r="T165" s="153" t="n">
        <v>0</v>
      </c>
      <c r="U165" s="153" t="n">
        <v>0</v>
      </c>
      <c r="V165" s="153" t="n">
        <v>1</v>
      </c>
      <c r="W165" s="153" t="n">
        <v>0</v>
      </c>
      <c r="X165" s="153" t="n">
        <v>0</v>
      </c>
      <c r="Y165" s="153" t="n">
        <v>1</v>
      </c>
      <c r="Z165" s="153" t="n">
        <v>0</v>
      </c>
      <c r="AA165" s="153" t="n">
        <v>0</v>
      </c>
      <c r="AB165" s="153" t="n">
        <v>1</v>
      </c>
    </row>
  </sheetData>
  <autoFilter ref="A8:N165"/>
  <mergeCells count="1">
    <mergeCell ref="A2:N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Y48"/>
  <sheetViews>
    <sheetView tabSelected="1" topLeftCell="D1" workbookViewId="0">
      <pane ySplit="4" topLeftCell="A5" activePane="bottomLeft" state="frozen"/>
      <selection activeCell="B1" sqref="B1"/>
      <selection pane="bottomLeft" activeCell="J31" sqref="J31"/>
    </sheetView>
  </sheetViews>
  <sheetFormatPr baseColWidth="10" defaultRowHeight="14.4"/>
  <cols>
    <col width="8.33203125" customWidth="1" style="54" min="1" max="1"/>
    <col width="12.88671875" customWidth="1" style="54" min="2" max="2"/>
    <col width="14.77734375" customWidth="1" style="54" min="3" max="3"/>
    <col width="22.21875" customWidth="1" style="54" min="4" max="4"/>
    <col width="10.109375" customWidth="1" style="54" min="5" max="5"/>
    <col width="22.21875" customWidth="1" style="54" min="6" max="6"/>
    <col width="37" customWidth="1" style="54" min="7" max="7"/>
    <col width="17.5546875" customWidth="1" style="54" min="8" max="10"/>
    <col width="15.6640625" customWidth="1" style="54" min="11" max="11"/>
    <col width="13.88671875" customWidth="1" style="54" min="12" max="12"/>
    <col width="18.44140625" customWidth="1" style="54" min="13" max="13"/>
    <col width="10.109375" customWidth="1" style="54" min="14" max="14"/>
    <col width="53.5546875" customWidth="1" style="54" min="15" max="15"/>
    <col width="27.6640625" customWidth="1" style="54" min="16" max="16"/>
    <col width="40.6640625" customWidth="1" style="54" min="17" max="18"/>
    <col width="27.6640625" customWidth="1" style="54" min="19" max="19"/>
    <col outlineLevel="1" width="15.6640625" customWidth="1" style="54" min="20" max="25"/>
  </cols>
  <sheetData>
    <row r="1" ht="15.6" customHeight="1" s="54">
      <c r="A1" s="105" t="inlineStr">
        <is>
          <t>OFERTAS DE CASA Y APARTAMENTO EN BELLO (NIQUÍA) – ÁREA MÁXIMA 100 m²</t>
        </is>
      </c>
      <c r="B1" s="104" t="n"/>
      <c r="C1" s="104" t="n"/>
      <c r="D1" s="104" t="n"/>
      <c r="E1" s="104" t="n"/>
      <c r="F1" s="104" t="n"/>
      <c r="G1" s="104" t="n"/>
      <c r="H1" s="104" t="n"/>
      <c r="I1" s="104" t="n"/>
      <c r="J1" s="104" t="n"/>
      <c r="K1" s="104" t="n"/>
      <c r="L1" s="104" t="n"/>
      <c r="M1" s="104" t="n"/>
      <c r="N1" s="104" t="n"/>
      <c r="O1" s="104" t="n"/>
      <c r="P1" s="104" t="n"/>
      <c r="Q1" s="104" t="n"/>
      <c r="R1" s="104" t="n"/>
      <c r="S1" s="104" t="n"/>
    </row>
    <row r="2">
      <c r="A2" s="106" t="inlineStr">
        <is>
          <t>Listado de las ofertas consultadas en portales inmobiliarios (captura 02/10/2026). Los datos son los del anuncio; no se verificaron en campo. El % de negociación viene de DATOS.</t>
        </is>
      </c>
      <c r="B2" s="104" t="n"/>
      <c r="C2" s="104" t="n"/>
      <c r="D2" s="104" t="n"/>
      <c r="E2" s="104" t="n"/>
      <c r="F2" s="104" t="n"/>
      <c r="G2" s="104" t="n"/>
      <c r="H2" s="104" t="n"/>
      <c r="I2" s="104" t="n"/>
      <c r="J2" s="104" t="n"/>
      <c r="K2" s="104" t="n"/>
      <c r="L2" s="104" t="n"/>
      <c r="M2" s="104" t="n"/>
      <c r="N2" s="104" t="n"/>
      <c r="O2" s="104" t="n"/>
      <c r="P2" s="104" t="n"/>
      <c r="Q2" s="104" t="n"/>
      <c r="R2" s="104" t="n"/>
      <c r="S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c r="T3" s="134" t="inlineStr">
        <is>
          <t>CÁLCULO AUXILIAR (no editar)</t>
        </is>
      </c>
      <c r="U3" s="114" t="n"/>
      <c r="V3" s="114" t="n"/>
      <c r="W3" s="114" t="n"/>
      <c r="X3" s="114" t="n"/>
      <c r="Y3" s="114" t="n"/>
    </row>
    <row r="4" ht="42" customHeight="1" s="54">
      <c r="A4" s="107" t="inlineStr">
        <is>
          <t>No.</t>
        </is>
      </c>
      <c r="B4" s="107" t="inlineStr">
        <is>
          <t>FECHA DE CAPTURA</t>
        </is>
      </c>
      <c r="C4" s="107" t="inlineStr">
        <is>
          <t>TIPO DE INMUEBLE</t>
        </is>
      </c>
      <c r="D4" s="107" t="inlineStr">
        <is>
          <t>RÉGIMEN (SEGÚN ANUNCIO)</t>
        </is>
      </c>
      <c r="E4" s="107" t="inlineStr">
        <is>
          <t>MUNICIPIO</t>
        </is>
      </c>
      <c r="F4" s="107" t="inlineStr">
        <is>
          <t>BARRIO / SECTOR</t>
        </is>
      </c>
      <c r="G4" s="107" t="inlineStr">
        <is>
          <t>DIRECCIÓN O REFERENCIA</t>
        </is>
      </c>
      <c r="H4" s="107" t="inlineStr">
        <is>
          <t>VALOR PEDIDO</t>
        </is>
      </c>
      <c r="I4" s="107" t="inlineStr">
        <is>
          <t>% NEG.</t>
        </is>
      </c>
      <c r="J4" s="107" t="inlineStr">
        <is>
          <t>VALOR NEGOCIADO</t>
        </is>
      </c>
      <c r="K4" s="107" t="inlineStr">
        <is>
          <t>ÁREA CONSTRUIDA / PRIVADA (m²)</t>
        </is>
      </c>
      <c r="L4" s="107" t="inlineStr">
        <is>
          <t>ÁREA TERRENO (m²)</t>
        </is>
      </c>
      <c r="M4" s="107" t="inlineStr">
        <is>
          <t>VALOR INTEGRAL $/m² CONSTRUIDO</t>
        </is>
      </c>
      <c r="N4" s="107" t="inlineStr">
        <is>
          <t>ESTRATO</t>
        </is>
      </c>
      <c r="O4" s="107" t="inlineStr">
        <is>
          <t>OBSERVACIONES / DESCRIPCIÓN</t>
        </is>
      </c>
      <c r="P4" s="107" t="inlineStr">
        <is>
          <t>FUENTE (nombre)</t>
        </is>
      </c>
      <c r="Q4" s="107" t="inlineStr">
        <is>
          <t>ENLACE (URL)</t>
        </is>
      </c>
      <c r="R4" s="107" t="inlineStr">
        <is>
          <t>COMPARABILIDAD</t>
        </is>
      </c>
      <c r="S4" s="107" t="inlineStr">
        <is>
          <t>USO EN EL ESTUDIO</t>
        </is>
      </c>
      <c r="T4" s="133" t="inlineStr">
        <is>
          <t>CASAS $/m²</t>
        </is>
      </c>
      <c r="U4" s="133" t="inlineStr">
        <is>
          <t>APTOS $/m²</t>
        </is>
      </c>
      <c r="V4" s="133" t="inlineStr">
        <is>
          <t>TODAS $/m²</t>
        </is>
      </c>
      <c r="W4" s="133" t="inlineStr">
        <is>
          <t>CASAS DEPURADAS</t>
        </is>
      </c>
      <c r="X4" s="133" t="inlineStr">
        <is>
          <t>APTOS DEPURADOS</t>
        </is>
      </c>
      <c r="Y4" s="133" t="inlineStr">
        <is>
          <t>TODAS DEPURADAS</t>
        </is>
      </c>
    </row>
    <row r="5" ht="22.8" customHeight="1" s="54">
      <c r="A5" s="108" t="n">
        <v>2</v>
      </c>
      <c r="B5" s="109" t="n">
        <v>46297</v>
      </c>
      <c r="C5" s="108" t="inlineStr">
        <is>
          <t>Casa</t>
        </is>
      </c>
      <c r="D5" s="108" t="inlineStr">
        <is>
          <t>NPH (primer piso)</t>
        </is>
      </c>
      <c r="E5" s="108" t="inlineStr">
        <is>
          <t>Bello</t>
        </is>
      </c>
      <c r="F5" s="108" t="inlineStr">
        <is>
          <t>Niquía Camacol</t>
        </is>
      </c>
      <c r="G5" s="108" t="inlineStr">
        <is>
          <t>Bello, Niquía Camacol (a 2 cuadras de la Casa de Justicia)</t>
        </is>
      </c>
      <c r="H5" s="110" t="n">
        <v>280000000</v>
      </c>
      <c r="I5" s="209">
        <f>DATOS!$C$17</f>
        <v/>
      </c>
      <c r="J5" s="110">
        <f>IF(H5="","",H5*(1-I5))</f>
        <v/>
      </c>
      <c r="K5" s="112" t="n">
        <v>68</v>
      </c>
      <c r="L5" s="112" t="n"/>
      <c r="M5" s="110">
        <f>IF(OR(J5="",N(K5)&lt;=0),"",J5/K5)</f>
        <v/>
      </c>
      <c r="N5" s="108" t="n"/>
      <c r="O5" s="108" t="inlineStr">
        <is>
          <t>Casa de primer piso, 3 alcobas y 1 baño, antejardín y zona de parqueo. No informa área de lote ni edad.</t>
        </is>
      </c>
      <c r="P5" s="108" t="inlineStr">
        <is>
          <t>Fincaraíz (anunciante no identificado)</t>
        </is>
      </c>
      <c r="Q5" s="113" t="inlineStr">
        <is>
          <t>https://www.fincaraiz.com.co/casa-en-venta-en-bello/192592199</t>
        </is>
      </c>
      <c r="R5" s="108" t="inlineStr">
        <is>
          <t>Derecho sobre un piso de edificación; sin lote ni edad.</t>
        </is>
      </c>
      <c r="S5" s="108" t="inlineStr">
        <is>
          <t>MERCADO NPH – Nº 12</t>
        </is>
      </c>
      <c r="T5" s="135">
        <f>IF(AND($C5="Casa",ISNUMBER($M5)),$M5,"")</f>
        <v/>
      </c>
      <c r="U5" s="135">
        <f>IF(AND($C5="Apartamento",ISNUMBER($M5)),$M5,"")</f>
        <v/>
      </c>
      <c r="V5" s="135">
        <f>IF(ISNUMBER($M5),$M5,"")</f>
        <v/>
      </c>
      <c r="W5" s="135">
        <f>IF(AND(ISNUMBER(T5),ISNUMBER($H$29),T5&gt;=$H$29,T5&lt;=$H$30),T5,"")</f>
        <v/>
      </c>
      <c r="X5" s="135">
        <f>IF(AND(ISNUMBER(U5),ISNUMBER($I$29),U5&gt;=$I$29,U5&lt;=$I$30),U5,"")</f>
        <v/>
      </c>
      <c r="Y5" s="135">
        <f>IF(AND(ISNUMBER(V5),ISNUMBER($J$29),V5&gt;=$J$29,V5&lt;=$J$30),V5,"")</f>
        <v/>
      </c>
    </row>
    <row r="6" ht="22.8" customHeight="1" s="54">
      <c r="A6" s="108" t="n"/>
      <c r="B6" s="109" t="n"/>
      <c r="C6" s="108" t="n"/>
      <c r="D6" s="108" t="n"/>
      <c r="E6" s="108" t="n"/>
      <c r="F6" s="108" t="n"/>
      <c r="G6" s="108" t="n"/>
      <c r="H6" s="110" t="n"/>
      <c r="I6" s="209">
        <f>DATOS!$C$17</f>
        <v/>
      </c>
      <c r="J6" s="110">
        <f>IF(H6="","",H6*(1-I6))</f>
        <v/>
      </c>
      <c r="K6" s="112" t="n"/>
      <c r="L6" s="112" t="n"/>
      <c r="M6" s="110">
        <f>IF(OR(J6="",N(K6)&lt;=0),"",J6/K6)</f>
        <v/>
      </c>
      <c r="N6" s="108" t="n"/>
      <c r="O6" s="108" t="n"/>
      <c r="P6" s="108" t="n"/>
      <c r="Q6" s="113" t="n"/>
      <c r="R6" s="108" t="n"/>
      <c r="S6" s="108" t="n"/>
      <c r="T6" s="135">
        <f>IF(AND($C6="Casa",ISNUMBER($M6)),$M6,"")</f>
        <v/>
      </c>
      <c r="U6" s="135">
        <f>IF(AND($C6="Apartamento",ISNUMBER($M6)),$M6,"")</f>
        <v/>
      </c>
      <c r="V6" s="135">
        <f>IF(ISNUMBER($M6),$M6,"")</f>
        <v/>
      </c>
      <c r="W6" s="135">
        <f>IF(AND(ISNUMBER(T6),ISNUMBER($H$29),T6&gt;=$H$29,T6&lt;=$H$30),T6,"")</f>
        <v/>
      </c>
      <c r="X6" s="135">
        <f>IF(AND(ISNUMBER(U6),ISNUMBER($I$29),U6&gt;=$I$29,U6&lt;=$I$30),U6,"")</f>
        <v/>
      </c>
      <c r="Y6" s="135">
        <f>IF(AND(ISNUMBER(V6),ISNUMBER($J$29),V6&gt;=$J$29,V6&lt;=$J$30),V6,"")</f>
        <v/>
      </c>
    </row>
    <row r="7" ht="22.8" customHeight="1" s="54">
      <c r="A7" s="108" t="n"/>
      <c r="B7" s="109" t="n"/>
      <c r="C7" s="108" t="n"/>
      <c r="D7" s="108" t="n"/>
      <c r="E7" s="108" t="n"/>
      <c r="F7" s="108" t="n"/>
      <c r="G7" s="108" t="n"/>
      <c r="H7" s="110" t="n"/>
      <c r="I7" s="209">
        <f>DATOS!$C$17</f>
        <v/>
      </c>
      <c r="J7" s="110">
        <f>IF(H7="","",H7*(1-I7))</f>
        <v/>
      </c>
      <c r="K7" s="112" t="n"/>
      <c r="L7" s="112" t="n"/>
      <c r="M7" s="110">
        <f>IF(OR(J7="",N(K7)&lt;=0),"",J7/K7)</f>
        <v/>
      </c>
      <c r="N7" s="108" t="n"/>
      <c r="O7" s="108" t="n"/>
      <c r="P7" s="108" t="n"/>
      <c r="Q7" s="113" t="n"/>
      <c r="R7" s="108" t="n"/>
      <c r="S7" s="108" t="n"/>
      <c r="T7" s="135">
        <f>IF(AND($C7="Casa",ISNUMBER($M7)),$M7,"")</f>
        <v/>
      </c>
      <c r="U7" s="135">
        <f>IF(AND($C7="Apartamento",ISNUMBER($M7)),$M7,"")</f>
        <v/>
      </c>
      <c r="V7" s="135">
        <f>IF(ISNUMBER($M7),$M7,"")</f>
        <v/>
      </c>
      <c r="W7" s="135">
        <f>IF(AND(ISNUMBER(T7),ISNUMBER($H$29),T7&gt;=$H$29,T7&lt;=$H$30),T7,"")</f>
        <v/>
      </c>
      <c r="X7" s="135">
        <f>IF(AND(ISNUMBER(U7),ISNUMBER($I$29),U7&gt;=$I$29,U7&lt;=$I$30),U7,"")</f>
        <v/>
      </c>
      <c r="Y7" s="135">
        <f>IF(AND(ISNUMBER(V7),ISNUMBER($J$29),V7&gt;=$J$29,V7&lt;=$J$30),V7,"")</f>
        <v/>
      </c>
    </row>
    <row r="8" ht="22.8" customHeight="1" s="54">
      <c r="A8" s="108" t="n"/>
      <c r="B8" s="109" t="n"/>
      <c r="C8" s="108" t="n"/>
      <c r="D8" s="108" t="n"/>
      <c r="E8" s="108" t="n"/>
      <c r="F8" s="108" t="n"/>
      <c r="G8" s="108" t="n"/>
      <c r="H8" s="110" t="n"/>
      <c r="I8" s="209">
        <f>DATOS!$C$17</f>
        <v/>
      </c>
      <c r="J8" s="110">
        <f>IF(H8="","",H8*(1-I8))</f>
        <v/>
      </c>
      <c r="K8" s="112" t="n"/>
      <c r="L8" s="112" t="n"/>
      <c r="M8" s="110">
        <f>IF(OR(J8="",N(K8)&lt;=0),"",J8/K8)</f>
        <v/>
      </c>
      <c r="N8" s="108" t="n"/>
      <c r="O8" s="108" t="n"/>
      <c r="P8" s="108" t="n"/>
      <c r="Q8" s="113" t="n"/>
      <c r="R8" s="108" t="n"/>
      <c r="S8" s="108" t="n"/>
      <c r="T8" s="135">
        <f>IF(AND($C8="Casa",ISNUMBER($M8)),$M8,"")</f>
        <v/>
      </c>
      <c r="U8" s="135">
        <f>IF(AND($C8="Apartamento",ISNUMBER($M8)),$M8,"")</f>
        <v/>
      </c>
      <c r="V8" s="135">
        <f>IF(ISNUMBER($M8),$M8,"")</f>
        <v/>
      </c>
      <c r="W8" s="135">
        <f>IF(AND(ISNUMBER(T8),ISNUMBER($H$29),T8&gt;=$H$29,T8&lt;=$H$30),T8,"")</f>
        <v/>
      </c>
      <c r="X8" s="135">
        <f>IF(AND(ISNUMBER(U8),ISNUMBER($I$29),U8&gt;=$I$29,U8&lt;=$I$30),U8,"")</f>
        <v/>
      </c>
      <c r="Y8" s="135">
        <f>IF(AND(ISNUMBER(V8),ISNUMBER($J$29),V8&gt;=$J$29,V8&lt;=$J$30),V8,"")</f>
        <v/>
      </c>
    </row>
    <row r="9" ht="22.8" customHeight="1" s="54">
      <c r="A9" s="108" t="n"/>
      <c r="B9" s="109" t="n"/>
      <c r="C9" s="108" t="n"/>
      <c r="D9" s="108" t="n"/>
      <c r="E9" s="108" t="n"/>
      <c r="F9" s="108" t="n"/>
      <c r="G9" s="108" t="n"/>
      <c r="H9" s="110" t="n"/>
      <c r="I9" s="209">
        <f>DATOS!$C$17</f>
        <v/>
      </c>
      <c r="J9" s="110">
        <f>IF(H9="","",H9*(1-I9))</f>
        <v/>
      </c>
      <c r="K9" s="112" t="n"/>
      <c r="L9" s="112" t="n"/>
      <c r="M9" s="110">
        <f>IF(OR(J9="",N(K9)&lt;=0),"",J9/K9)</f>
        <v/>
      </c>
      <c r="N9" s="108" t="n"/>
      <c r="O9" s="108" t="n"/>
      <c r="P9" s="108" t="n"/>
      <c r="Q9" s="113" t="n"/>
      <c r="R9" s="108" t="n"/>
      <c r="S9" s="108" t="n"/>
      <c r="T9" s="135">
        <f>IF(AND($C9="Casa",ISNUMBER($M9)),$M9,"")</f>
        <v/>
      </c>
      <c r="U9" s="135">
        <f>IF(AND($C9="Apartamento",ISNUMBER($M9)),$M9,"")</f>
        <v/>
      </c>
      <c r="V9" s="135">
        <f>IF(ISNUMBER($M9),$M9,"")</f>
        <v/>
      </c>
      <c r="W9" s="135">
        <f>IF(AND(ISNUMBER(T9),ISNUMBER($H$29),T9&gt;=$H$29,T9&lt;=$H$30),T9,"")</f>
        <v/>
      </c>
      <c r="X9" s="135">
        <f>IF(AND(ISNUMBER(U9),ISNUMBER($I$29),U9&gt;=$I$29,U9&lt;=$I$30),U9,"")</f>
        <v/>
      </c>
      <c r="Y9" s="135">
        <f>IF(AND(ISNUMBER(V9),ISNUMBER($J$29),V9&gt;=$J$29,V9&lt;=$J$30),V9,"")</f>
        <v/>
      </c>
    </row>
    <row r="10" ht="22.8" customHeight="1" s="54">
      <c r="A10" s="108" t="n"/>
      <c r="B10" s="109" t="n"/>
      <c r="C10" s="108" t="n"/>
      <c r="D10" s="108" t="n"/>
      <c r="E10" s="108" t="n"/>
      <c r="F10" s="108" t="n"/>
      <c r="G10" s="108" t="n"/>
      <c r="H10" s="110" t="n"/>
      <c r="I10" s="209">
        <f>DATOS!$C$17</f>
        <v/>
      </c>
      <c r="J10" s="110">
        <f>IF(H10="","",H10*(1-I10))</f>
        <v/>
      </c>
      <c r="K10" s="112" t="n"/>
      <c r="L10" s="112" t="n"/>
      <c r="M10" s="110">
        <f>IF(OR(J10="",N(K10)&lt;=0),"",J10/K10)</f>
        <v/>
      </c>
      <c r="N10" s="108" t="n"/>
      <c r="O10" s="108" t="n"/>
      <c r="P10" s="108" t="n"/>
      <c r="Q10" s="113" t="n"/>
      <c r="R10" s="108" t="n"/>
      <c r="S10" s="108" t="n"/>
      <c r="T10" s="135">
        <f>IF(AND($C10="Casa",ISNUMBER($M10)),$M10,"")</f>
        <v/>
      </c>
      <c r="U10" s="135">
        <f>IF(AND($C10="Apartamento",ISNUMBER($M10)),$M10,"")</f>
        <v/>
      </c>
      <c r="V10" s="135">
        <f>IF(ISNUMBER($M10),$M10,"")</f>
        <v/>
      </c>
      <c r="W10" s="135">
        <f>IF(AND(ISNUMBER(T10),ISNUMBER($H$29),T10&gt;=$H$29,T10&lt;=$H$30),T10,"")</f>
        <v/>
      </c>
      <c r="X10" s="135">
        <f>IF(AND(ISNUMBER(U10),ISNUMBER($I$29),U10&gt;=$I$29,U10&lt;=$I$30),U10,"")</f>
        <v/>
      </c>
      <c r="Y10" s="135">
        <f>IF(AND(ISNUMBER(V10),ISNUMBER($J$29),V10&gt;=$J$29,V10&lt;=$J$30),V10,"")</f>
        <v/>
      </c>
    </row>
    <row r="11" ht="22.8" customHeight="1" s="54">
      <c r="A11" s="108" t="n"/>
      <c r="B11" s="109" t="n"/>
      <c r="C11" s="108" t="n"/>
      <c r="D11" s="108" t="n"/>
      <c r="E11" s="108" t="n"/>
      <c r="F11" s="108" t="n"/>
      <c r="G11" s="108" t="n"/>
      <c r="H11" s="110" t="n"/>
      <c r="I11" s="209">
        <f>DATOS!$C$17</f>
        <v/>
      </c>
      <c r="J11" s="110">
        <f>IF(H11="","",H11*(1-I11))</f>
        <v/>
      </c>
      <c r="K11" s="112" t="n"/>
      <c r="L11" s="112" t="n"/>
      <c r="M11" s="110">
        <f>IF(OR(J11="",N(K11)&lt;=0),"",J11/K11)</f>
        <v/>
      </c>
      <c r="N11" s="108" t="n"/>
      <c r="O11" s="108" t="n"/>
      <c r="P11" s="108" t="n"/>
      <c r="Q11" s="113" t="n"/>
      <c r="R11" s="108" t="n"/>
      <c r="S11" s="108" t="n"/>
      <c r="T11" s="135">
        <f>IF(AND($C11="Casa",ISNUMBER($M11)),$M11,"")</f>
        <v/>
      </c>
      <c r="U11" s="135">
        <f>IF(AND($C11="Apartamento",ISNUMBER($M11)),$M11,"")</f>
        <v/>
      </c>
      <c r="V11" s="135">
        <f>IF(ISNUMBER($M11),$M11,"")</f>
        <v/>
      </c>
      <c r="W11" s="135">
        <f>IF(AND(ISNUMBER(T11),ISNUMBER($H$29),T11&gt;=$H$29,T11&lt;=$H$30),T11,"")</f>
        <v/>
      </c>
      <c r="X11" s="135">
        <f>IF(AND(ISNUMBER(U11),ISNUMBER($I$29),U11&gt;=$I$29,U11&lt;=$I$30),U11,"")</f>
        <v/>
      </c>
      <c r="Y11" s="135">
        <f>IF(AND(ISNUMBER(V11),ISNUMBER($J$29),V11&gt;=$J$29,V11&lt;=$J$30),V11,"")</f>
        <v/>
      </c>
    </row>
    <row r="12" ht="22.8" customHeight="1" s="54">
      <c r="A12" s="108" t="n"/>
      <c r="B12" s="109" t="n"/>
      <c r="C12" s="108" t="n"/>
      <c r="D12" s="108" t="n"/>
      <c r="E12" s="108" t="n"/>
      <c r="F12" s="108" t="n"/>
      <c r="G12" s="108" t="n"/>
      <c r="H12" s="110" t="n"/>
      <c r="I12" s="209">
        <f>DATOS!$C$17</f>
        <v/>
      </c>
      <c r="J12" s="110">
        <f>IF(H12="","",H12*(1-I12))</f>
        <v/>
      </c>
      <c r="K12" s="112" t="n"/>
      <c r="L12" s="112" t="n"/>
      <c r="M12" s="110">
        <f>IF(OR(J12="",N(K12)&lt;=0),"",J12/K12)</f>
        <v/>
      </c>
      <c r="N12" s="108" t="n"/>
      <c r="O12" s="108" t="n"/>
      <c r="P12" s="108" t="n"/>
      <c r="Q12" s="113" t="n"/>
      <c r="R12" s="108" t="n"/>
      <c r="S12" s="108" t="n"/>
      <c r="T12" s="135">
        <f>IF(AND($C12="Casa",ISNUMBER($M12)),$M12,"")</f>
        <v/>
      </c>
      <c r="U12" s="135">
        <f>IF(AND($C12="Apartamento",ISNUMBER($M12)),$M12,"")</f>
        <v/>
      </c>
      <c r="V12" s="135">
        <f>IF(ISNUMBER($M12),$M12,"")</f>
        <v/>
      </c>
      <c r="W12" s="135">
        <f>IF(AND(ISNUMBER(T12),ISNUMBER($H$29),T12&gt;=$H$29,T12&lt;=$H$30),T12,"")</f>
        <v/>
      </c>
      <c r="X12" s="135">
        <f>IF(AND(ISNUMBER(U12),ISNUMBER($I$29),U12&gt;=$I$29,U12&lt;=$I$30),U12,"")</f>
        <v/>
      </c>
      <c r="Y12" s="135">
        <f>IF(AND(ISNUMBER(V12),ISNUMBER($J$29),V12&gt;=$J$29,V12&lt;=$J$30),V12,"")</f>
        <v/>
      </c>
    </row>
    <row r="13" ht="22.8" customHeight="1" s="54">
      <c r="A13" s="108" t="n"/>
      <c r="B13" s="109" t="n"/>
      <c r="C13" s="108" t="n"/>
      <c r="D13" s="108" t="n"/>
      <c r="E13" s="108" t="n"/>
      <c r="F13" s="108" t="n"/>
      <c r="G13" s="108" t="n"/>
      <c r="H13" s="110" t="n"/>
      <c r="I13" s="209">
        <f>DATOS!$C$17</f>
        <v/>
      </c>
      <c r="J13" s="110">
        <f>IF(H13="","",H13*(1-I13))</f>
        <v/>
      </c>
      <c r="K13" s="112" t="n"/>
      <c r="L13" s="112" t="n"/>
      <c r="M13" s="110">
        <f>IF(OR(J13="",N(K13)&lt;=0),"",J13/K13)</f>
        <v/>
      </c>
      <c r="N13" s="108" t="n"/>
      <c r="O13" s="108" t="n"/>
      <c r="P13" s="108" t="n"/>
      <c r="Q13" s="113" t="n"/>
      <c r="R13" s="108" t="n"/>
      <c r="S13" s="108" t="n"/>
      <c r="T13" s="135">
        <f>IF(AND($C13="Casa",ISNUMBER($M13)),$M13,"")</f>
        <v/>
      </c>
      <c r="U13" s="135">
        <f>IF(AND($C13="Apartamento",ISNUMBER($M13)),$M13,"")</f>
        <v/>
      </c>
      <c r="V13" s="135">
        <f>IF(ISNUMBER($M13),$M13,"")</f>
        <v/>
      </c>
      <c r="W13" s="135">
        <f>IF(AND(ISNUMBER(T13),ISNUMBER($H$29),T13&gt;=$H$29,T13&lt;=$H$30),T13,"")</f>
        <v/>
      </c>
      <c r="X13" s="135">
        <f>IF(AND(ISNUMBER(U13),ISNUMBER($I$29),U13&gt;=$I$29,U13&lt;=$I$30),U13,"")</f>
        <v/>
      </c>
      <c r="Y13" s="135">
        <f>IF(AND(ISNUMBER(V13),ISNUMBER($J$29),V13&gt;=$J$29,V13&lt;=$J$30),V13,"")</f>
        <v/>
      </c>
    </row>
    <row r="14" ht="22.8" customHeight="1" s="54">
      <c r="A14" s="108" t="n"/>
      <c r="B14" s="109" t="n"/>
      <c r="C14" s="108" t="n"/>
      <c r="D14" s="108" t="n"/>
      <c r="E14" s="108" t="n"/>
      <c r="F14" s="108" t="n"/>
      <c r="G14" s="108" t="n"/>
      <c r="H14" s="110" t="n"/>
      <c r="I14" s="209">
        <f>DATOS!$C$17</f>
        <v/>
      </c>
      <c r="J14" s="110">
        <f>IF(H14="","",H14*(1-I14))</f>
        <v/>
      </c>
      <c r="K14" s="112" t="n"/>
      <c r="L14" s="112" t="n"/>
      <c r="M14" s="110">
        <f>IF(OR(J14="",N(K14)&lt;=0),"",J14/K14)</f>
        <v/>
      </c>
      <c r="N14" s="108" t="n"/>
      <c r="O14" s="108" t="n"/>
      <c r="P14" s="108" t="n"/>
      <c r="Q14" s="113" t="n"/>
      <c r="R14" s="108" t="n"/>
      <c r="S14" s="108" t="n"/>
      <c r="T14" s="135">
        <f>IF(AND($C14="Casa",ISNUMBER($M14)),$M14,"")</f>
        <v/>
      </c>
      <c r="U14" s="135">
        <f>IF(AND($C14="Apartamento",ISNUMBER($M14)),$M14,"")</f>
        <v/>
      </c>
      <c r="V14" s="135">
        <f>IF(ISNUMBER($M14),$M14,"")</f>
        <v/>
      </c>
      <c r="W14" s="135">
        <f>IF(AND(ISNUMBER(T14),ISNUMBER($H$29),T14&gt;=$H$29,T14&lt;=$H$30),T14,"")</f>
        <v/>
      </c>
      <c r="X14" s="135">
        <f>IF(AND(ISNUMBER(U14),ISNUMBER($I$29),U14&gt;=$I$29,U14&lt;=$I$30),U14,"")</f>
        <v/>
      </c>
      <c r="Y14" s="135">
        <f>IF(AND(ISNUMBER(V14),ISNUMBER($J$29),V14&gt;=$J$29,V14&lt;=$J$30),V14,"")</f>
        <v/>
      </c>
    </row>
    <row r="15" ht="22.8" customHeight="1" s="54">
      <c r="A15" s="108" t="n"/>
      <c r="B15" s="109" t="n"/>
      <c r="C15" s="108" t="n"/>
      <c r="D15" s="108" t="n"/>
      <c r="E15" s="108" t="n"/>
      <c r="F15" s="108" t="n"/>
      <c r="G15" s="108" t="n"/>
      <c r="H15" s="110" t="n"/>
      <c r="I15" s="209">
        <f>DATOS!$C$17</f>
        <v/>
      </c>
      <c r="J15" s="110">
        <f>IF(H15="","",H15*(1-I15))</f>
        <v/>
      </c>
      <c r="K15" s="112" t="n"/>
      <c r="L15" s="112" t="n"/>
      <c r="M15" s="110">
        <f>IF(OR(J15="",N(K15)&lt;=0),"",J15/K15)</f>
        <v/>
      </c>
      <c r="N15" s="108" t="n"/>
      <c r="O15" s="108" t="n"/>
      <c r="P15" s="108" t="n"/>
      <c r="Q15" s="113" t="n"/>
      <c r="R15" s="108" t="n"/>
      <c r="S15" s="108" t="n"/>
      <c r="T15" s="135">
        <f>IF(AND($C15="Casa",ISNUMBER($M15)),$M15,"")</f>
        <v/>
      </c>
      <c r="U15" s="135">
        <f>IF(AND($C15="Apartamento",ISNUMBER($M15)),$M15,"")</f>
        <v/>
      </c>
      <c r="V15" s="135">
        <f>IF(ISNUMBER($M15),$M15,"")</f>
        <v/>
      </c>
      <c r="W15" s="135">
        <f>IF(AND(ISNUMBER(T15),ISNUMBER($H$29),T15&gt;=$H$29,T15&lt;=$H$30),T15,"")</f>
        <v/>
      </c>
      <c r="X15" s="135">
        <f>IF(AND(ISNUMBER(U15),ISNUMBER($I$29),U15&gt;=$I$29,U15&lt;=$I$30),U15,"")</f>
        <v/>
      </c>
      <c r="Y15" s="135">
        <f>IF(AND(ISNUMBER(V15),ISNUMBER($J$29),V15&gt;=$J$29,V15&lt;=$J$30),V15,"")</f>
        <v/>
      </c>
    </row>
    <row r="16" ht="22.8" customHeight="1" s="54">
      <c r="A16" s="108" t="n"/>
      <c r="B16" s="109" t="n"/>
      <c r="C16" s="108" t="n"/>
      <c r="D16" s="108" t="n"/>
      <c r="E16" s="108" t="n"/>
      <c r="F16" s="108" t="n"/>
      <c r="G16" s="108" t="n"/>
      <c r="H16" s="110" t="n"/>
      <c r="I16" s="209">
        <f>DATOS!$C$17</f>
        <v/>
      </c>
      <c r="J16" s="110">
        <f>IF(H16="","",H16*(1-I16))</f>
        <v/>
      </c>
      <c r="K16" s="112" t="n"/>
      <c r="L16" s="112" t="n"/>
      <c r="M16" s="110">
        <f>IF(OR(J16="",N(K16)&lt;=0),"",J16/K16)</f>
        <v/>
      </c>
      <c r="N16" s="108" t="n"/>
      <c r="O16" s="108" t="n"/>
      <c r="P16" s="108" t="n"/>
      <c r="Q16" s="113" t="n"/>
      <c r="R16" s="108" t="n"/>
      <c r="S16" s="108" t="n"/>
      <c r="T16" s="135">
        <f>IF(AND($C16="Casa",ISNUMBER($M16)),$M16,"")</f>
        <v/>
      </c>
      <c r="U16" s="135">
        <f>IF(AND($C16="Apartamento",ISNUMBER($M16)),$M16,"")</f>
        <v/>
      </c>
      <c r="V16" s="135">
        <f>IF(ISNUMBER($M16),$M16,"")</f>
        <v/>
      </c>
      <c r="W16" s="135">
        <f>IF(AND(ISNUMBER(T16),ISNUMBER($H$29),T16&gt;=$H$29,T16&lt;=$H$30),T16,"")</f>
        <v/>
      </c>
      <c r="X16" s="135">
        <f>IF(AND(ISNUMBER(U16),ISNUMBER($I$29),U16&gt;=$I$29,U16&lt;=$I$30),U16,"")</f>
        <v/>
      </c>
      <c r="Y16" s="135">
        <f>IF(AND(ISNUMBER(V16),ISNUMBER($J$29),V16&gt;=$J$29,V16&lt;=$J$30),V16,"")</f>
        <v/>
      </c>
    </row>
    <row r="17" ht="22.8" customHeight="1" s="54">
      <c r="A17" s="108" t="n"/>
      <c r="B17" s="109" t="n"/>
      <c r="C17" s="108" t="n"/>
      <c r="D17" s="108" t="n"/>
      <c r="E17" s="108" t="n"/>
      <c r="F17" s="108" t="n"/>
      <c r="G17" s="108" t="n"/>
      <c r="H17" s="110" t="n"/>
      <c r="I17" s="209">
        <f>DATOS!$C$17</f>
        <v/>
      </c>
      <c r="J17" s="110">
        <f>IF(H17="","",H17*(1-I17))</f>
        <v/>
      </c>
      <c r="K17" s="112" t="n"/>
      <c r="L17" s="112" t="n"/>
      <c r="M17" s="110">
        <f>IF(OR(J17="",N(K17)&lt;=0),"",J17/K17)</f>
        <v/>
      </c>
      <c r="N17" s="108" t="n"/>
      <c r="O17" s="108" t="n"/>
      <c r="P17" s="108" t="n"/>
      <c r="Q17" s="113" t="n"/>
      <c r="R17" s="108" t="n"/>
      <c r="S17" s="108" t="n"/>
      <c r="T17" s="135">
        <f>IF(AND($C17="Casa",ISNUMBER($M17)),$M17,"")</f>
        <v/>
      </c>
      <c r="U17" s="135">
        <f>IF(AND($C17="Apartamento",ISNUMBER($M17)),$M17,"")</f>
        <v/>
      </c>
      <c r="V17" s="135">
        <f>IF(ISNUMBER($M17),$M17,"")</f>
        <v/>
      </c>
      <c r="W17" s="135">
        <f>IF(AND(ISNUMBER(T17),ISNUMBER($H$29),T17&gt;=$H$29,T17&lt;=$H$30),T17,"")</f>
        <v/>
      </c>
      <c r="X17" s="135">
        <f>IF(AND(ISNUMBER(U17),ISNUMBER($I$29),U17&gt;=$I$29,U17&lt;=$I$30),U17,"")</f>
        <v/>
      </c>
      <c r="Y17" s="135">
        <f>IF(AND(ISNUMBER(V17),ISNUMBER($J$29),V17&gt;=$J$29,V17&lt;=$J$30),V17,"")</f>
        <v/>
      </c>
    </row>
    <row r="18" ht="22.8" customHeight="1" s="54">
      <c r="A18" s="108" t="n"/>
      <c r="B18" s="109" t="n"/>
      <c r="C18" s="108" t="n"/>
      <c r="D18" s="108" t="n"/>
      <c r="E18" s="108" t="n"/>
      <c r="F18" s="108" t="n"/>
      <c r="G18" s="108" t="n"/>
      <c r="H18" s="110" t="n"/>
      <c r="I18" s="209">
        <f>DATOS!$C$17</f>
        <v/>
      </c>
      <c r="J18" s="110">
        <f>IF(H18="","",H18*(1-I18))</f>
        <v/>
      </c>
      <c r="K18" s="112" t="n"/>
      <c r="L18" s="112" t="n"/>
      <c r="M18" s="110">
        <f>IF(OR(J18="",N(K18)&lt;=0),"",J18/K18)</f>
        <v/>
      </c>
      <c r="N18" s="108" t="n"/>
      <c r="O18" s="108" t="n"/>
      <c r="P18" s="108" t="n"/>
      <c r="Q18" s="113" t="n"/>
      <c r="R18" s="108" t="n"/>
      <c r="S18" s="108" t="n"/>
      <c r="T18" s="135">
        <f>IF(AND($C18="Casa",ISNUMBER($M18)),$M18,"")</f>
        <v/>
      </c>
      <c r="U18" s="135">
        <f>IF(AND($C18="Apartamento",ISNUMBER($M18)),$M18,"")</f>
        <v/>
      </c>
      <c r="V18" s="135">
        <f>IF(ISNUMBER($M18),$M18,"")</f>
        <v/>
      </c>
      <c r="W18" s="135">
        <f>IF(AND(ISNUMBER(T18),ISNUMBER($H$29),T18&gt;=$H$29,T18&lt;=$H$30),T18,"")</f>
        <v/>
      </c>
      <c r="X18" s="135">
        <f>IF(AND(ISNUMBER(U18),ISNUMBER($I$29),U18&gt;=$I$29,U18&lt;=$I$30),U18,"")</f>
        <v/>
      </c>
      <c r="Y18" s="135">
        <f>IF(AND(ISNUMBER(V18),ISNUMBER($J$29),V18&gt;=$J$29,V18&lt;=$J$30),V18,"")</f>
        <v/>
      </c>
    </row>
    <row r="20" ht="41.4" customHeight="1" s="54">
      <c r="G20" s="117" t="inlineStr">
        <is>
          <t>ESTADÍSTICOS DE LA MUESTRA – VALOR INTEGRAL $/m² CONSTRUIDO (Res. 941, Art. 21)</t>
        </is>
      </c>
      <c r="H20" s="116" t="n"/>
      <c r="I20" s="116" t="n"/>
      <c r="J20" s="116" t="n"/>
    </row>
    <row r="21" ht="30" customHeight="1" s="54">
      <c r="G21" s="121" t="inlineStr">
        <is>
          <t>ESTADÍSTICO</t>
        </is>
      </c>
      <c r="H21" s="121" t="inlineStr">
        <is>
          <t>CASAS</t>
        </is>
      </c>
      <c r="I21" s="121" t="inlineStr">
        <is>
          <t>APARTAMENTOS</t>
        </is>
      </c>
      <c r="J21" s="121" t="inlineStr">
        <is>
          <t>TODAS LAS OFERTAS</t>
        </is>
      </c>
    </row>
    <row r="22">
      <c r="G22" s="122" t="inlineStr">
        <is>
          <t>Nº DE OFERTAS INCLUIDAS</t>
        </is>
      </c>
      <c r="H22" s="123">
        <f>COUNT(T$5:T$18)</f>
        <v/>
      </c>
      <c r="I22" s="123">
        <f>COUNT(U$5:U$18)</f>
        <v/>
      </c>
      <c r="J22" s="123">
        <f>COUNT(V$5:V$18)</f>
        <v/>
      </c>
    </row>
    <row r="23">
      <c r="G23" s="122" t="inlineStr">
        <is>
          <t>PROMEDIO (media aritmética)</t>
        </is>
      </c>
      <c r="H23" s="124">
        <f>IFERROR(AVERAGE(T$5:T$18),"")</f>
        <v/>
      </c>
      <c r="I23" s="124">
        <f>IFERROR(AVERAGE(U$5:U$18),"")</f>
        <v/>
      </c>
      <c r="J23" s="124">
        <f>IFERROR(AVERAGE(V$5:V$18),"")</f>
        <v/>
      </c>
    </row>
    <row r="24">
      <c r="G24" s="122" t="inlineStr">
        <is>
          <t>MEDIANA</t>
        </is>
      </c>
      <c r="H24" s="124">
        <f>IFERROR(MEDIAN(T$5:T$18),"")</f>
        <v/>
      </c>
      <c r="I24" s="124">
        <f>IFERROR(MEDIAN(U$5:U$18),"")</f>
        <v/>
      </c>
      <c r="J24" s="124">
        <f>IFERROR(MEDIAN(V$5:V$18),"")</f>
        <v/>
      </c>
    </row>
    <row r="25">
      <c r="G25" s="122" t="inlineStr">
        <is>
          <t>DESVIACIÓN ESTÁNDAR (muestral)</t>
        </is>
      </c>
      <c r="H25" s="124">
        <f>IFERROR(_xlfn.STDEV.S(T$5:T$18),"")</f>
        <v/>
      </c>
      <c r="I25" s="124">
        <f>IFERROR(_xlfn.STDEV.S(U$5:U$18),"")</f>
        <v/>
      </c>
      <c r="J25" s="124">
        <f>IFERROR(_xlfn.STDEV.S(V$5:V$18),"")</f>
        <v/>
      </c>
    </row>
    <row r="26">
      <c r="G26" s="122" t="inlineStr">
        <is>
          <t>COEFICIENTE DE VARIACIÓN</t>
        </is>
      </c>
      <c r="H26" s="125">
        <f>IFERROR(H25/H23,"")</f>
        <v/>
      </c>
      <c r="I26" s="125">
        <f>IFERROR(I25/I23,"")</f>
        <v/>
      </c>
      <c r="J26" s="125">
        <f>IFERROR(J25/J23,"")</f>
        <v/>
      </c>
    </row>
    <row r="27">
      <c r="G27" s="122" t="inlineStr">
        <is>
          <t>VALOR MÍNIMO</t>
        </is>
      </c>
      <c r="H27" s="124">
        <f>IF(H22=0,"",MIN(T$5:T$18))</f>
        <v/>
      </c>
      <c r="I27" s="124">
        <f>IF(I22=0,"",MIN(U$5:U$18))</f>
        <v/>
      </c>
      <c r="J27" s="124">
        <f>IF(J22=0,"",MIN(V$5:V$18))</f>
        <v/>
      </c>
    </row>
    <row r="28">
      <c r="G28" s="122" t="inlineStr">
        <is>
          <t>VALOR MÁXIMO</t>
        </is>
      </c>
      <c r="H28" s="124">
        <f>IF(H22=0,"",MAX(T$5:T$18))</f>
        <v/>
      </c>
      <c r="I28" s="124">
        <f>IF(I22=0,"",MAX(U$5:U$18))</f>
        <v/>
      </c>
      <c r="J28" s="124">
        <f>IF(J22=0,"",MAX(V$5:V$18))</f>
        <v/>
      </c>
    </row>
    <row r="29">
      <c r="G29" s="122" t="inlineStr">
        <is>
          <t>LÍMITE INFERIOR (promedio − desv.)</t>
        </is>
      </c>
      <c r="H29" s="124">
        <f>IFERROR(H23-H25,"")</f>
        <v/>
      </c>
      <c r="I29" s="124">
        <f>IFERROR(I23-I25,"")</f>
        <v/>
      </c>
      <c r="J29" s="124">
        <f>IFERROR(J23-J25,"")</f>
        <v/>
      </c>
    </row>
    <row r="30">
      <c r="G30" s="122" t="inlineStr">
        <is>
          <t>LÍMITE SUPERIOR (promedio + desv.)</t>
        </is>
      </c>
      <c r="H30" s="124">
        <f>IFERROR(H23+H25,"")</f>
        <v/>
      </c>
      <c r="I30" s="124">
        <f>IFERROR(I23+I25,"")</f>
        <v/>
      </c>
      <c r="J30" s="124">
        <f>IFERROR(J23+J25,"")</f>
        <v/>
      </c>
    </row>
    <row r="31">
      <c r="G31" s="122" t="inlineStr">
        <is>
          <t>COEFICIENTE DE ASIMETRÍA</t>
        </is>
      </c>
      <c r="H31" s="126">
        <f>IFERROR(SKEW(T$5:T$18),"")</f>
        <v/>
      </c>
      <c r="I31" s="126">
        <f>IFERROR(SKEW(U$5:U$18),"")</f>
        <v/>
      </c>
      <c r="J31" s="126">
        <f>IFERROR(SKEW(V$5:V$18),"")</f>
        <v/>
      </c>
    </row>
    <row r="32">
      <c r="G32" s="122" t="inlineStr">
        <is>
          <t>CV MÁXIMO ADMISIBLE (DATOS, urbano)</t>
        </is>
      </c>
      <c r="H32" s="125">
        <f>DATOS!$C$16</f>
        <v/>
      </c>
      <c r="I32" s="125">
        <f>DATOS!$C$16</f>
        <v/>
      </c>
      <c r="J32" s="125">
        <f>DATOS!$C$16</f>
        <v/>
      </c>
    </row>
    <row r="33">
      <c r="G33" s="122" t="inlineStr">
        <is>
          <t>¿CV MUESTRA COMPLETA ≤ MÁXIMO?</t>
        </is>
      </c>
      <c r="H33" s="127">
        <f>IF(ISNUMBER(H26),IF(H26&lt;=H32,"SÍ","NO"),"")</f>
        <v/>
      </c>
      <c r="I33" s="127">
        <f>IF(ISNUMBER(I26),IF(I26&lt;=I32,"SÍ","NO"),"")</f>
        <v/>
      </c>
      <c r="J33" s="127">
        <f>IF(ISNUMBER(J26),IF(J26&lt;=J32,"SÍ","NO"),"")</f>
        <v/>
      </c>
    </row>
    <row r="34">
      <c r="G34" s="122" t="inlineStr">
        <is>
          <t>MÍNIMO DE OFERTAS (DATOS)</t>
        </is>
      </c>
      <c r="H34" s="123">
        <f>DATOS!$C$19</f>
        <v/>
      </c>
      <c r="I34" s="123">
        <f>DATOS!$C$19</f>
        <v/>
      </c>
      <c r="J34" s="123">
        <f>DATOS!$C$19</f>
        <v/>
      </c>
    </row>
    <row r="35">
      <c r="G35" s="122" t="inlineStr">
        <is>
          <t>¿CUMPLE EL MÍNIMO DE OFERTAS?</t>
        </is>
      </c>
      <c r="H35" s="127">
        <f>IF(H22&gt;=H34,"SÍ","NO")</f>
        <v/>
      </c>
      <c r="I35" s="127">
        <f>IF(I22&gt;=I34,"SÍ","NO")</f>
        <v/>
      </c>
      <c r="J35" s="127">
        <f>IF(J22&gt;=J34,"SÍ","NO")</f>
        <v/>
      </c>
    </row>
    <row r="36">
      <c r="G36" s="122" t="inlineStr">
        <is>
          <t>PROMEDIO REDONDEADO (muestra completa)</t>
        </is>
      </c>
      <c r="H36" s="124">
        <f>IFERROR(ROUND(H23,-2),"")</f>
        <v/>
      </c>
      <c r="I36" s="124">
        <f>IFERROR(ROUND(I23,-2),"")</f>
        <v/>
      </c>
      <c r="J36" s="124">
        <f>IFERROR(ROUND(J23,-2),"")</f>
        <v/>
      </c>
    </row>
    <row r="37">
      <c r="G37" s="119" t="n"/>
      <c r="H37" s="120" t="n"/>
      <c r="I37" s="120" t="n"/>
      <c r="J37" s="120" t="n"/>
    </row>
    <row r="38">
      <c r="G38" s="128" t="inlineStr">
        <is>
          <t>MUESTRA DEPURADA (ofertas dentro de promedio ± desviación)</t>
        </is>
      </c>
      <c r="H38" s="129" t="n"/>
      <c r="I38" s="129" t="n"/>
      <c r="J38" s="129" t="n"/>
    </row>
    <row r="39">
      <c r="G39" s="122" t="inlineStr">
        <is>
          <t>Nº DE OFERTAS DEPURADAS</t>
        </is>
      </c>
      <c r="H39" s="123">
        <f>COUNT(W$5:W$18)</f>
        <v/>
      </c>
      <c r="I39" s="123">
        <f>COUNT(X$5:X$18)</f>
        <v/>
      </c>
      <c r="J39" s="123">
        <f>COUNT(Y$5:Y$18)</f>
        <v/>
      </c>
    </row>
    <row r="40">
      <c r="G40" s="122" t="inlineStr">
        <is>
          <t>PROMEDIO DEPURADO</t>
        </is>
      </c>
      <c r="H40" s="124">
        <f>IFERROR(AVERAGE(W$5:W$18),"")</f>
        <v/>
      </c>
      <c r="I40" s="124">
        <f>IFERROR(AVERAGE(X$5:X$18),"")</f>
        <v/>
      </c>
      <c r="J40" s="124">
        <f>IFERROR(AVERAGE(Y$5:Y$18),"")</f>
        <v/>
      </c>
    </row>
    <row r="41">
      <c r="G41" s="122" t="inlineStr">
        <is>
          <t>MEDIANA DEPURADA</t>
        </is>
      </c>
      <c r="H41" s="124">
        <f>IFERROR(MEDIAN(W$5:W$18),"")</f>
        <v/>
      </c>
      <c r="I41" s="124">
        <f>IFERROR(MEDIAN(X$5:X$18),"")</f>
        <v/>
      </c>
      <c r="J41" s="124">
        <f>IFERROR(MEDIAN(Y$5:Y$18),"")</f>
        <v/>
      </c>
    </row>
    <row r="42">
      <c r="G42" s="122" t="inlineStr">
        <is>
          <t>DESVIACIÓN ESTÁNDAR DEPURADA</t>
        </is>
      </c>
      <c r="H42" s="124">
        <f>IFERROR(_xlfn.STDEV.S(W$5:W$18),"")</f>
        <v/>
      </c>
      <c r="I42" s="124">
        <f>IFERROR(_xlfn.STDEV.S(X$5:X$18),"")</f>
        <v/>
      </c>
      <c r="J42" s="124">
        <f>IFERROR(_xlfn.STDEV.S(Y$5:Y$18),"")</f>
        <v/>
      </c>
    </row>
    <row r="43">
      <c r="G43" s="122" t="inlineStr">
        <is>
          <t>COEFICIENTE DE VARIACIÓN DEPURADO</t>
        </is>
      </c>
      <c r="H43" s="125">
        <f>IFERROR(H42/H40,"")</f>
        <v/>
      </c>
      <c r="I43" s="125">
        <f>IFERROR(I42/I40,"")</f>
        <v/>
      </c>
      <c r="J43" s="125">
        <f>IFERROR(J42/J40,"")</f>
        <v/>
      </c>
    </row>
    <row r="44">
      <c r="G44" s="122" t="inlineStr">
        <is>
          <t>¿CV DEPURADO ≤ MÁXIMO?</t>
        </is>
      </c>
      <c r="H44" s="127">
        <f>IF(ISNUMBER(H43),IF(H43&lt;=H32,"SÍ","NO"),"")</f>
        <v/>
      </c>
      <c r="I44" s="127">
        <f>IF(ISNUMBER(I43),IF(I43&lt;=I32,"SÍ","NO"),"")</f>
        <v/>
      </c>
      <c r="J44" s="127">
        <f>IF(ISNUMBER(J43),IF(J43&lt;=J32,"SÍ","NO"),"")</f>
        <v/>
      </c>
    </row>
    <row r="45">
      <c r="G45" s="130" t="inlineStr">
        <is>
          <t>VALOR ADOPTABLE $/m² (redondeo a 100)</t>
        </is>
      </c>
      <c r="H45" s="131">
        <f>IF(AND(H39&gt;=H34,ISNUMBER(H43)),IF(H43&lt;=H32,ROUND(H40,-2),"NO CUMPLE"),"SIN DATOS")</f>
        <v/>
      </c>
      <c r="I45" s="131">
        <f>IF(AND(I39&gt;=I34,ISNUMBER(I43)),IF(I43&lt;=I32,ROUND(I40,-2),"NO CUMPLE"),"SIN DATOS")</f>
        <v/>
      </c>
      <c r="J45" s="131">
        <f>IF(AND(J39&gt;=J34,ISNUMBER(J43)),IF(J43&lt;=J32,ROUND(J40,-2),"NO CUMPLE"),"SIN DATOS")</f>
        <v/>
      </c>
    </row>
    <row r="46" ht="61.95" customHeight="1" s="54">
      <c r="G46" s="122" t="inlineStr">
        <is>
          <t>DICTAMEN</t>
        </is>
      </c>
      <c r="H46" s="132">
        <f>IF(H22&lt;H34,"Sin datos suficientes: se requieren al menos "&amp;H34&amp;" ofertas.",IF(AND(ISNUMBER(H26),H26&lt;=H32),"CUMPLE con la muestra completa (CV "&amp;ROUND(H26*100,2)&amp;" %).",IF(AND(H39&gt;=H34,ISNUMBER(H43),H43&lt;=H32),"CUMPLE con la muestra depurada: "&amp;H39&amp;" ofertas, CV "&amp;ROUND(H43*100,2)&amp;" %.","NO CUMPLE: CV completo "&amp;ROUND(H26*100,2)&amp;" %, depurado "&amp;IF(ISNUMBER(H43),ROUND(H43*100,2)&amp;" %","sin datos")&amp;".")))</f>
        <v/>
      </c>
      <c r="I46" s="132">
        <f>IF(I22&lt;I34,"Sin datos suficientes: se requieren al menos "&amp;I34&amp;" ofertas.",IF(AND(ISNUMBER(I26),I26&lt;=I32),"CUMPLE con la muestra completa (CV "&amp;ROUND(I26*100,2)&amp;" %).",IF(AND(I39&gt;=I34,ISNUMBER(I43),I43&lt;=I32),"CUMPLE con la muestra depurada: "&amp;I39&amp;" ofertas, CV "&amp;ROUND(I43*100,2)&amp;" %.","NO CUMPLE: CV completo "&amp;ROUND(I26*100,2)&amp;" %, depurado "&amp;IF(ISNUMBER(I43),ROUND(I43*100,2)&amp;" %","sin datos")&amp;".")))</f>
        <v/>
      </c>
      <c r="J46" s="132">
        <f>IF(J22&lt;J34,"Sin datos suficientes: se requieren al menos "&amp;J34&amp;" ofertas.",IF(AND(ISNUMBER(J26),J26&lt;=J32),"CUMPLE con la muestra completa (CV "&amp;ROUND(J26*100,2)&amp;" %).",IF(AND(J39&gt;=J34,ISNUMBER(J43),J43&lt;=J32),"CUMPLE con la muestra depurada: "&amp;J39&amp;" ofertas, CV "&amp;ROUND(J43*100,2)&amp;" %.","NO CUMPLE: CV completo "&amp;ROUND(J26*100,2)&amp;" %, depurado "&amp;IF(ISNUMBER(J43),ROUND(J43*100,2)&amp;" %","sin datos")&amp;".")))</f>
        <v/>
      </c>
    </row>
    <row r="48" ht="52.05" customHeight="1" s="54">
      <c r="G48" s="136" t="inlineStr">
        <is>
          <t>Notas: (1) Base: valor integral $/m² construido = valor negociado ÷ área construida o privada del anuncio. (2) Desviación estándar muestral (STDEV.S). (3) La muestra depurada conserva las ofertas dentro de promedio ± desviación, como en COMBINACIONES. (4) El CV máximo y el mínimo de ofertas se leen de DATOS.</t>
        </is>
      </c>
    </row>
  </sheetData>
  <mergeCells count="1">
    <mergeCell ref="G48:J48"/>
  </mergeCells>
  <hyperlinks>
    <hyperlink xmlns:r="http://schemas.openxmlformats.org/officeDocument/2006/relationships" ref="Q5" r:id="rId1"/>
  </hyperlinks>
  <pageMargins left="0.7" right="0.7" top="0.75" bottom="0.75" header="0.3" footer="0.3"/>
</worksheet>
</file>

<file path=xl/worksheets/sheet7.xml><?xml version="1.0" encoding="utf-8"?>
<worksheet xmlns="http://schemas.openxmlformats.org/spreadsheetml/2006/main">
  <sheetPr>
    <tabColor rgb="FF548235"/>
    <outlinePr summaryBelow="1" summaryRight="1"/>
    <pageSetUpPr/>
  </sheetPr>
  <dimension ref="A1:O29"/>
  <sheetViews>
    <sheetView showGridLines="0" zoomScaleNormal="100" workbookViewId="0">
      <selection activeCell="A14" sqref="A14"/>
    </sheetView>
  </sheetViews>
  <sheetFormatPr baseColWidth="10" defaultColWidth="8.6640625" defaultRowHeight="14.4"/>
  <cols>
    <col width="62" customWidth="1" style="54" min="1" max="1"/>
    <col width="15" customWidth="1" style="54" min="2" max="2"/>
    <col width="30" customWidth="1" style="54" min="3" max="3"/>
    <col width="15" customWidth="1" style="54" min="4" max="15"/>
  </cols>
  <sheetData>
    <row r="1" ht="16.8" customHeight="1" s="54">
      <c r="A1" s="12" t="inlineStr">
        <is>
          <t>COMBINACIONES DE MERCADO – NPH (casa / apartamento, área ≤ 100 m²) – VALOR INTEGRAL CONSTRUIDO ($/m²)</t>
        </is>
      </c>
    </row>
    <row r="2" ht="15" customHeight="1" s="54">
      <c r="A2" s="19" t="inlineStr">
        <is>
          <t>Usa las ofertas con ¿INCLUIR?=SÍ de 'MERCADO NPH'. Ordena por valor unitario y evalúa grupos de ofertas consecutivas (mínimo según DATOS). Prioriza el grupo con más ofertas que cumpla el CV máximo; a igual tamaño, el de menor CV.</t>
        </is>
      </c>
    </row>
    <row r="3">
      <c r="A3" s="16" t="inlineStr">
        <is>
          <t>Límite inferior muestra completa ($/m²)</t>
        </is>
      </c>
      <c r="B3" s="210">
        <f>'MERCADO NPH'!P45</f>
        <v/>
      </c>
    </row>
    <row r="4">
      <c r="A4" s="16" t="inlineStr">
        <is>
          <t>Límite superior muestra completa ($/m²)</t>
        </is>
      </c>
      <c r="B4" s="210">
        <f>'MERCADO NPH'!P46</f>
        <v/>
      </c>
    </row>
    <row r="5">
      <c r="A5" s="16" t="inlineStr">
        <is>
          <t>Coeficiente de variación máximo admisible (Res. 941, Art. 21 – urbano)</t>
        </is>
      </c>
      <c r="B5" s="21">
        <f>DATOS!$C$16</f>
        <v/>
      </c>
    </row>
    <row r="6" ht="24" customHeight="1" s="54">
      <c r="A6" s="16" t="inlineStr">
        <is>
          <t>Filtrar ofertas por límites (SÍ/NO) – solo si la muestra completa supera el CV máximo</t>
        </is>
      </c>
      <c r="B6" s="36">
        <f>DATOS!$C$20</f>
        <v/>
      </c>
    </row>
    <row r="7">
      <c r="A7" s="16" t="inlineStr">
        <is>
          <t>Ofertas elegibles para combinar</t>
        </is>
      </c>
      <c r="B7" s="37">
        <f>AUX_NPH!J2</f>
        <v/>
      </c>
    </row>
    <row r="8">
      <c r="A8" s="16" t="inlineStr">
        <is>
          <t>Ofertas incluidas en la tabla de mercado</t>
        </is>
      </c>
      <c r="B8" s="37">
        <f>'MERCADO NPH'!P40</f>
        <v/>
      </c>
    </row>
    <row r="9">
      <c r="A9" s="16" t="inlineStr">
        <is>
          <t>Mínimo de ofertas por combinación</t>
        </is>
      </c>
      <c r="B9" s="37">
        <f>DATOS!$C$19</f>
        <v/>
      </c>
    </row>
    <row r="10">
      <c r="A10" s="16" t="inlineStr">
        <is>
          <t>Combinaciones evaluadas</t>
        </is>
      </c>
      <c r="B10" s="37">
        <f>COUNTIF(AUX_NPH!M5:M410,1)</f>
        <v/>
      </c>
    </row>
    <row r="11">
      <c r="A11" s="16" t="inlineStr">
        <is>
          <t>CV de la muestra completa</t>
        </is>
      </c>
      <c r="B11" s="21">
        <f>'MERCADO NPH'!P44</f>
        <v/>
      </c>
    </row>
    <row r="13" ht="39.75" customHeight="1" s="54">
      <c r="A13" s="13" t="inlineStr">
        <is>
          <t>Combinación</t>
        </is>
      </c>
      <c r="B13" s="13" t="inlineStr">
        <is>
          <t>Nº de ofertas</t>
        </is>
      </c>
      <c r="C13" s="13" t="inlineStr">
        <is>
          <t>Ofertas utilizadas (No., de menor a mayor valor)</t>
        </is>
      </c>
      <c r="D13" s="13" t="inlineStr">
        <is>
          <t>Valor mínimo $/m²</t>
        </is>
      </c>
      <c r="E13" s="13" t="inlineStr">
        <is>
          <t>Valor máximo $/m²</t>
        </is>
      </c>
      <c r="F13" s="13" t="inlineStr">
        <is>
          <t>Promedio $/m²</t>
        </is>
      </c>
      <c r="G13" s="13" t="inlineStr">
        <is>
          <t>Desviación estándar</t>
        </is>
      </c>
      <c r="H13" s="13" t="inlineStr">
        <is>
          <t>Coef. de variación</t>
        </is>
      </c>
      <c r="I13" s="13" t="inlineStr">
        <is>
          <t>Límite inferior</t>
        </is>
      </c>
      <c r="J13" s="13" t="inlineStr">
        <is>
          <t>Límite superior</t>
        </is>
      </c>
      <c r="K13" s="13" t="inlineStr">
        <is>
          <t>Coef. de asimetría</t>
        </is>
      </c>
      <c r="L13" s="13" t="inlineStr">
        <is>
          <t>¿CV ≤ máximo?</t>
        </is>
      </c>
      <c r="M13" s="13" t="inlineStr">
        <is>
          <t>Valor adoptado $/m² (redondeo a 100)</t>
        </is>
      </c>
      <c r="N13" s="13" t="inlineStr">
        <is>
          <t>Mediana $/m²</t>
        </is>
      </c>
      <c r="O13" s="13" t="inlineStr">
        <is>
          <t>Posición en AUX</t>
        </is>
      </c>
    </row>
    <row r="14">
      <c r="A14" s="25">
        <f>IF($O14="","—","COMBINACIÓN 1")</f>
        <v/>
      </c>
      <c r="B14" s="25">
        <f>IF($O14="","",INDEX(AUX_NPH!$L$5:$L$410,$O14))</f>
        <v/>
      </c>
      <c r="C14" s="25">
        <f>IF($O14="","",MID(INDEX(AUX_NPH!$Q$5:$Q$34,INDEX(AUX_NPH!$K$5:$K$410,$O14)+$B14-1),IF(INDEX(AUX_NPH!$K$5:$K$410,$O14)&gt;1,LEN(INDEX(AUX_NPH!$Q$5:$Q$34,INDEX(AUX_NPH!$K$5:$K$410,$O14)-1))+3,1),999))</f>
        <v/>
      </c>
      <c r="D14" s="202">
        <f>IF($O14="","",MIN(INDEX(AUX_NPH!$J$5:$J$34,INDEX(AUX_NPH!$K$5:$K$410,$O14)):INDEX(AUX_NPH!$J$5:$J$34,INDEX(AUX_NPH!$K$5:$K$410,$O14)+$B14-1)))</f>
        <v/>
      </c>
      <c r="E14" s="202">
        <f>IF($O14="","",MAX(INDEX(AUX_NPH!$J$5:$J$34,INDEX(AUX_NPH!$K$5:$K$410,$O14)):INDEX(AUX_NPH!$J$5:$J$34,INDEX(AUX_NPH!$K$5:$K$410,$O14)+$B14-1)))</f>
        <v/>
      </c>
      <c r="F14" s="202">
        <f>IF($O14="","",AVERAGE(INDEX(AUX_NPH!$J$5:$J$34,INDEX(AUX_NPH!$K$5:$K$410,$O14)):INDEX(AUX_NPH!$J$5:$J$34,INDEX(AUX_NPH!$K$5:$K$410,$O14)+$B14-1)))</f>
        <v/>
      </c>
      <c r="G14" s="202">
        <f>IF($O14="","",_xlfn.STDEV.S(INDEX(AUX_NPH!$J$5:$J$34,INDEX(AUX_NPH!$K$5:$K$410,$O14)):INDEX(AUX_NPH!$J$5:$J$34,INDEX(AUX_NPH!$K$5:$K$410,$O14)+$B14-1)))</f>
        <v/>
      </c>
      <c r="H14" s="38">
        <f>IF($O14="","",G14/F14)</f>
        <v/>
      </c>
      <c r="I14" s="202">
        <f>IF($O14="","",F14-G14)</f>
        <v/>
      </c>
      <c r="J14" s="202">
        <f>IF($O14="","",F14+G14)</f>
        <v/>
      </c>
      <c r="K14" s="30">
        <f>IF($O14="","",SKEW(INDEX(AUX_NPH!$J$5:$J$34,INDEX(AUX_NPH!$K$5:$K$410,$O14)):INDEX(AUX_NPH!$J$5:$J$34,INDEX(AUX_NPH!$K$5:$K$410,$O14)+$B14-1)))</f>
        <v/>
      </c>
      <c r="L14" s="25">
        <f>IF($O14="","",IF(H14&lt;=$B$5,"SÍ","NO"))</f>
        <v/>
      </c>
      <c r="M14" s="203">
        <f>IF($O14="","",ROUND(F14,-2))</f>
        <v/>
      </c>
      <c r="N14" s="202">
        <f>IF($O14="","",MEDIAN(INDEX(AUX_NPH!$J$5:$J$34,INDEX(AUX_NPH!$K$5:$K$410,$O14)):INDEX(AUX_NPH!$J$5:$J$34,INDEX(AUX_NPH!$K$5:$K$410,$O14)+$B14-1)))</f>
        <v/>
      </c>
      <c r="O14" s="25">
        <f>IFERROR(MATCH(SMALL(AUX_NPH!$P$5:$P$410,1),AUX_NPH!$P$5:$P$410,0),"")</f>
        <v/>
      </c>
    </row>
    <row r="15">
      <c r="A15" s="25">
        <f>IF($O15="","—","COMBINACIÓN 2")</f>
        <v/>
      </c>
      <c r="B15" s="25">
        <f>IF($O15="","",INDEX(AUX_NPH!$L$5:$L$410,$O15))</f>
        <v/>
      </c>
      <c r="C15" s="25">
        <f>IF($O15="","",MID(INDEX(AUX_NPH!$Q$5:$Q$34,INDEX(AUX_NPH!$K$5:$K$410,$O15)+$B15-1),IF(INDEX(AUX_NPH!$K$5:$K$410,$O15)&gt;1,LEN(INDEX(AUX_NPH!$Q$5:$Q$34,INDEX(AUX_NPH!$K$5:$K$410,$O15)-1))+3,1),999))</f>
        <v/>
      </c>
      <c r="D15" s="202">
        <f>IF($O15="","",MIN(INDEX(AUX_NPH!$J$5:$J$34,INDEX(AUX_NPH!$K$5:$K$410,$O15)):INDEX(AUX_NPH!$J$5:$J$34,INDEX(AUX_NPH!$K$5:$K$410,$O15)+$B15-1)))</f>
        <v/>
      </c>
      <c r="E15" s="202">
        <f>IF($O15="","",MAX(INDEX(AUX_NPH!$J$5:$J$34,INDEX(AUX_NPH!$K$5:$K$410,$O15)):INDEX(AUX_NPH!$J$5:$J$34,INDEX(AUX_NPH!$K$5:$K$410,$O15)+$B15-1)))</f>
        <v/>
      </c>
      <c r="F15" s="202">
        <f>IF($O15="","",AVERAGE(INDEX(AUX_NPH!$J$5:$J$34,INDEX(AUX_NPH!$K$5:$K$410,$O15)):INDEX(AUX_NPH!$J$5:$J$34,INDEX(AUX_NPH!$K$5:$K$410,$O15)+$B15-1)))</f>
        <v/>
      </c>
      <c r="G15" s="202">
        <f>IF($O15="","",_xlfn.STDEV.S(INDEX(AUX_NPH!$J$5:$J$34,INDEX(AUX_NPH!$K$5:$K$410,$O15)):INDEX(AUX_NPH!$J$5:$J$34,INDEX(AUX_NPH!$K$5:$K$410,$O15)+$B15-1)))</f>
        <v/>
      </c>
      <c r="H15" s="38">
        <f>IF($O15="","",G15/F15)</f>
        <v/>
      </c>
      <c r="I15" s="202">
        <f>IF($O15="","",F15-G15)</f>
        <v/>
      </c>
      <c r="J15" s="202">
        <f>IF($O15="","",F15+G15)</f>
        <v/>
      </c>
      <c r="K15" s="30">
        <f>IF($O15="","",SKEW(INDEX(AUX_NPH!$J$5:$J$34,INDEX(AUX_NPH!$K$5:$K$410,$O15)):INDEX(AUX_NPH!$J$5:$J$34,INDEX(AUX_NPH!$K$5:$K$410,$O15)+$B15-1)))</f>
        <v/>
      </c>
      <c r="L15" s="25">
        <f>IF($O15="","",IF(H15&lt;=$B$5,"SÍ","NO"))</f>
        <v/>
      </c>
      <c r="M15" s="203">
        <f>IF($O15="","",ROUND(F15,-2))</f>
        <v/>
      </c>
      <c r="N15" s="202">
        <f>IF($O15="","",MEDIAN(INDEX(AUX_NPH!$J$5:$J$34,INDEX(AUX_NPH!$K$5:$K$410,$O15)):INDEX(AUX_NPH!$J$5:$J$34,INDEX(AUX_NPH!$K$5:$K$410,$O15)+$B15-1)))</f>
        <v/>
      </c>
      <c r="O15" s="25">
        <f>IFERROR(MATCH(SMALL(AUX_NPH!$P$5:$P$410,2),AUX_NPH!$P$5:$P$410,0),"")</f>
        <v/>
      </c>
    </row>
    <row r="16">
      <c r="A16" s="25">
        <f>IF($O16="","—","COMBINACIÓN 3")</f>
        <v/>
      </c>
      <c r="B16" s="25">
        <f>IF($O16="","",INDEX(AUX_NPH!$L$5:$L$410,$O16))</f>
        <v/>
      </c>
      <c r="C16" s="25">
        <f>IF($O16="","",MID(INDEX(AUX_NPH!$Q$5:$Q$34,INDEX(AUX_NPH!$K$5:$K$410,$O16)+$B16-1),IF(INDEX(AUX_NPH!$K$5:$K$410,$O16)&gt;1,LEN(INDEX(AUX_NPH!$Q$5:$Q$34,INDEX(AUX_NPH!$K$5:$K$410,$O16)-1))+3,1),999))</f>
        <v/>
      </c>
      <c r="D16" s="202">
        <f>IF($O16="","",MIN(INDEX(AUX_NPH!$J$5:$J$34,INDEX(AUX_NPH!$K$5:$K$410,$O16)):INDEX(AUX_NPH!$J$5:$J$34,INDEX(AUX_NPH!$K$5:$K$410,$O16)+$B16-1)))</f>
        <v/>
      </c>
      <c r="E16" s="202">
        <f>IF($O16="","",MAX(INDEX(AUX_NPH!$J$5:$J$34,INDEX(AUX_NPH!$K$5:$K$410,$O16)):INDEX(AUX_NPH!$J$5:$J$34,INDEX(AUX_NPH!$K$5:$K$410,$O16)+$B16-1)))</f>
        <v/>
      </c>
      <c r="F16" s="202">
        <f>IF($O16="","",AVERAGE(INDEX(AUX_NPH!$J$5:$J$34,INDEX(AUX_NPH!$K$5:$K$410,$O16)):INDEX(AUX_NPH!$J$5:$J$34,INDEX(AUX_NPH!$K$5:$K$410,$O16)+$B16-1)))</f>
        <v/>
      </c>
      <c r="G16" s="202">
        <f>IF($O16="","",_xlfn.STDEV.S(INDEX(AUX_NPH!$J$5:$J$34,INDEX(AUX_NPH!$K$5:$K$410,$O16)):INDEX(AUX_NPH!$J$5:$J$34,INDEX(AUX_NPH!$K$5:$K$410,$O16)+$B16-1)))</f>
        <v/>
      </c>
      <c r="H16" s="38">
        <f>IF($O16="","",G16/F16)</f>
        <v/>
      </c>
      <c r="I16" s="202">
        <f>IF($O16="","",F16-G16)</f>
        <v/>
      </c>
      <c r="J16" s="202">
        <f>IF($O16="","",F16+G16)</f>
        <v/>
      </c>
      <c r="K16" s="30">
        <f>IF($O16="","",SKEW(INDEX(AUX_NPH!$J$5:$J$34,INDEX(AUX_NPH!$K$5:$K$410,$O16)):INDEX(AUX_NPH!$J$5:$J$34,INDEX(AUX_NPH!$K$5:$K$410,$O16)+$B16-1)))</f>
        <v/>
      </c>
      <c r="L16" s="25">
        <f>IF($O16="","",IF(H16&lt;=$B$5,"SÍ","NO"))</f>
        <v/>
      </c>
      <c r="M16" s="203">
        <f>IF($O16="","",ROUND(F16,-2))</f>
        <v/>
      </c>
      <c r="N16" s="202">
        <f>IF($O16="","",MEDIAN(INDEX(AUX_NPH!$J$5:$J$34,INDEX(AUX_NPH!$K$5:$K$410,$O16)):INDEX(AUX_NPH!$J$5:$J$34,INDEX(AUX_NPH!$K$5:$K$410,$O16)+$B16-1)))</f>
        <v/>
      </c>
      <c r="O16" s="25">
        <f>IFERROR(MATCH(SMALL(AUX_NPH!$P$5:$P$410,3),AUX_NPH!$P$5:$P$410,0),"")</f>
        <v/>
      </c>
    </row>
    <row r="18" ht="15" customHeight="1" s="54">
      <c r="A18" s="16" t="inlineStr">
        <is>
          <t>FUENTE DEL VALOR ADOPTADO (seleccione)</t>
        </is>
      </c>
      <c r="B18" s="77" t="inlineStr">
        <is>
          <t>MUESTRA COMPLETA</t>
        </is>
      </c>
      <c r="C18" s="211" t="n"/>
    </row>
    <row r="19">
      <c r="A19" s="39" t="inlineStr">
        <is>
          <t>VALOR UNITARIO ADOPTADO ($/m²)</t>
        </is>
      </c>
      <c r="B19" s="201">
        <f>IFERROR(IF($B$18="MUESTRA COMPLETA",'MERCADO NPH'!P49,INDEX($M$14:$M$16,MATCH($B$18,$A$14:$A$16,0))),"")</f>
        <v/>
      </c>
    </row>
    <row r="20">
      <c r="A20" s="16" t="inlineStr">
        <is>
          <t>CV correspondiente</t>
        </is>
      </c>
      <c r="B20" s="33">
        <f>IFERROR(IF($B$18="MUESTRA COMPLETA",'MERCADO NPH'!P44,INDEX($H$14:$H$16,MATCH($B$18,$A$14:$A$16,0))),"")</f>
        <v/>
      </c>
    </row>
    <row r="21">
      <c r="A21" s="16" t="inlineStr">
        <is>
          <t>Nº de ofertas que soportan el valor</t>
        </is>
      </c>
      <c r="B21" s="26">
        <f>IFERROR(IF($B$18="MUESTRA COMPLETA",'MERCADO NPH'!P40,INDEX($B$14:$B$16,MATCH($B$18,$A$14:$A$16,0))),"")</f>
        <v/>
      </c>
    </row>
    <row r="22">
      <c r="A22" s="16" t="inlineStr">
        <is>
          <t>Posición inicial en la lista ordenada (control)</t>
        </is>
      </c>
      <c r="B22" s="26">
        <f>IFERROR(IF($B$18="MUESTRA COMPLETA",1,INDEX(AUX_NPH!$K$5:$K$410,INDEX($O$14:$O$16,MATCH($B$18,$A$14:$A$16,0)))),0)</f>
        <v/>
      </c>
    </row>
    <row r="23">
      <c r="A23" s="16" t="inlineStr">
        <is>
          <t>Nº de ofertas consecutivas (control)</t>
        </is>
      </c>
      <c r="B23" s="26">
        <f>IFERROR(B21+0,0)</f>
        <v/>
      </c>
    </row>
    <row r="24">
      <c r="A24" s="16" t="inlineStr">
        <is>
          <t>DICTAMEN</t>
        </is>
      </c>
      <c r="B24" s="56">
        <f>IF(B19="","Sin datos suficientes: se requieren al menos "&amp;$B$9&amp;" ofertas incluidas.",IF(B20&lt;=$B$5,"CUMPLE: el valor de $ "&amp;FIXED(B19,0)&amp;" /m² se soporta en "&amp;B21&amp;" ofertas con CV de "&amp;ROUND(B20*100,2)&amp;" % (máximo "&amp;ROUND($B$5*100,2)&amp;" %, Res. 941 Art. 21).","NO CUMPLE: el CV de "&amp;ROUND(B20*100,2)&amp;" % supera el máximo de "&amp;ROUND($B$5*100,2)&amp;" %. No adopte la media; refuerce la muestra con más ofertas comparables."))</f>
        <v/>
      </c>
      <c r="C24" s="204" t="n"/>
      <c r="D24" s="204" t="n"/>
      <c r="E24" s="204" t="n"/>
      <c r="F24" s="204" t="n"/>
      <c r="G24" s="204" t="n"/>
      <c r="H24" s="204" t="n"/>
      <c r="I24" s="204" t="n"/>
      <c r="J24" s="204" t="n"/>
      <c r="K24" s="204" t="n"/>
      <c r="L24" s="204" t="n"/>
      <c r="M24" s="204" t="n"/>
      <c r="N24" s="204" t="n"/>
      <c r="O24" s="204" t="n"/>
    </row>
    <row r="25">
      <c r="B25" s="205" t="n"/>
    </row>
    <row r="27" ht="15" customHeight="1" s="54">
      <c r="A27" s="3" t="inlineStr">
        <is>
          <t>Notas: (1) Art. 21 Res. 941: para adoptar la media, el CV no puede superar 7,5 % en inmuebles urbanos. (2) Si se adopta un valor distinto a la media (p. ej. la mediana), sustente con media, mediana, atípicos, comparabilidad y condiciones del mercado (Art. 21, Parágrafo 1) y escriba el valor directamente en la liquidación dejando constancia. (3) El signo de la asimetría no obliga a ubicar el valor por encima o por debajo de la media.</t>
        </is>
      </c>
      <c r="B27" s="204" t="n"/>
      <c r="C27" s="204" t="n"/>
      <c r="D27" s="204" t="n"/>
      <c r="E27" s="204" t="n"/>
      <c r="F27" s="204" t="n"/>
      <c r="G27" s="204" t="n"/>
      <c r="H27" s="204" t="n"/>
      <c r="I27" s="204" t="n"/>
      <c r="J27" s="204" t="n"/>
      <c r="K27" s="204" t="n"/>
      <c r="L27" s="204" t="n"/>
      <c r="M27" s="204" t="n"/>
      <c r="N27" s="204" t="n"/>
      <c r="O27" s="204" t="n"/>
    </row>
    <row r="28">
      <c r="A28" s="205" t="n"/>
    </row>
    <row r="29">
      <c r="A29" s="205" t="n"/>
    </row>
  </sheetData>
  <mergeCells count="5">
    <mergeCell ref="A2:O2"/>
    <mergeCell ref="A1:O1"/>
    <mergeCell ref="A27:O29"/>
    <mergeCell ref="B18:C18"/>
    <mergeCell ref="B24:O25"/>
  </mergeCells>
  <conditionalFormatting sqref="L14:L16">
    <cfRule type="cellIs" priority="2" operator="equal" dxfId="0">
      <formula>"SÍ"</formula>
    </cfRule>
    <cfRule type="cellIs" priority="3" operator="equal" dxfId="2">
      <formula>"NO"</formula>
    </cfRule>
  </conditionalFormatting>
  <conditionalFormatting sqref="B20">
    <cfRule type="cellIs" priority="4" operator="greaterThan" dxfId="2">
      <formula>$B$5</formula>
    </cfRule>
    <cfRule type="cellIs" priority="5" operator="lessThanOrEqual" dxfId="0">
      <formula>$B$5</formula>
    </cfRule>
  </conditionalFormatting>
  <dataValidations count="1">
    <dataValidation sqref="B18" showDropDown="0" showInputMessage="0" showErrorMessage="0" allowBlank="1" type="list">
      <formula1>"MUESTRA COMPLETA,COMBINACIÓN 1,COMBINACIÓN 2,COMBINACIÓN 3"</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8.xml><?xml version="1.0" encoding="utf-8"?>
<worksheet xmlns="http://schemas.openxmlformats.org/spreadsheetml/2006/main">
  <sheetPr>
    <tabColor rgb="FFC55A11"/>
    <outlinePr summaryBelow="1" summaryRight="1"/>
    <pageSetUpPr/>
  </sheetPr>
  <dimension ref="A1:V29"/>
  <sheetViews>
    <sheetView showGridLines="0" zoomScaleNormal="100" workbookViewId="0">
      <pane xSplit="2" ySplit="4" topLeftCell="C5" activePane="bottomRight" state="frozen"/>
      <selection pane="topRight" activeCell="C1" sqref="C1"/>
      <selection pane="bottomLeft" activeCell="A5" sqref="A5"/>
      <selection pane="bottomRight" activeCell="A1" sqref="A1:R1"/>
    </sheetView>
  </sheetViews>
  <sheetFormatPr baseColWidth="10" defaultColWidth="8.6640625" defaultRowHeight="14.4"/>
  <cols>
    <col width="8" customWidth="1" style="54" min="1" max="1"/>
    <col width="26" customWidth="1" style="54" min="2" max="2"/>
    <col width="8" customWidth="1" style="54" min="3" max="4"/>
    <col width="10" customWidth="1" style="54" min="5" max="5"/>
    <col width="14" customWidth="1" style="54" min="6" max="6"/>
    <col width="9" customWidth="1" style="54" min="7" max="7"/>
    <col width="11" customWidth="1" style="54" min="8" max="10"/>
    <col width="13" customWidth="1" style="54" min="11" max="11"/>
    <col width="9" customWidth="1" style="54" min="12" max="12"/>
    <col width="13" customWidth="1" style="54" min="13" max="14"/>
    <col width="10" customWidth="1" style="54" min="15" max="15"/>
    <col width="15" customWidth="1" style="54" min="16" max="16"/>
    <col width="9" customWidth="1" style="54" min="17" max="17"/>
    <col width="30" customWidth="1" style="54" min="18" max="18"/>
    <col width="12" customWidth="1" style="54" min="20" max="20"/>
    <col width="13" customWidth="1" style="54" min="21" max="21"/>
    <col width="16" customWidth="1" style="54" min="22" max="22"/>
  </cols>
  <sheetData>
    <row r="1" ht="16.8" customHeight="1" s="54">
      <c r="A1" s="12" t="inlineStr">
        <is>
          <t>DEPRECIACIÓN DE CONSTRUCCIONES – MÉTODO ROSS-HEIDECKE (Anexo Res. 941, num. 2.3.4)</t>
        </is>
      </c>
    </row>
    <row r="2" ht="30" customHeight="1" s="54">
      <c r="A2" s="19" t="inlineStr">
        <is>
          <t>Columna A: No. de la oferta de 'MERCADO NPH' a la que pertenece la construcción. Vacía = construcción del inmueble objeto (pasa a LIQUIDACIÓN_NPH). Ross: D = ½(x/n + (x/n)²). Heidecke: coeficiente E por estado de conservación (Tabla 6 del Anexo).</t>
        </is>
      </c>
    </row>
    <row r="4" ht="54.75" customHeight="1" s="54">
      <c r="A4" s="13" t="inlineStr">
        <is>
          <t>OFERTA No.</t>
        </is>
      </c>
      <c r="B4" s="13" t="inlineStr">
        <is>
          <t>ÍTEM / DESCRIPCIÓN</t>
        </is>
      </c>
      <c r="C4" s="13" t="inlineStr">
        <is>
          <t>EDAD (años)</t>
        </is>
      </c>
      <c r="D4" s="13" t="inlineStr">
        <is>
          <t>VIDA ÚTIL (años)</t>
        </is>
      </c>
      <c r="E4" s="13" t="inlineStr">
        <is>
          <t>CALIFICACIÓN ESTADO (Heidecke)</t>
        </is>
      </c>
      <c r="F4" s="13" t="inlineStr">
        <is>
          <t>VALOR REPOSICIÓN $/m²</t>
        </is>
      </c>
      <c r="G4" s="13" t="inlineStr">
        <is>
          <t>EDAD / VIDA ÚTIL</t>
        </is>
      </c>
      <c r="H4" s="13" t="inlineStr">
        <is>
          <t>FACTOR REMANENTE POR EDAD (1 − D Ross)</t>
        </is>
      </c>
      <c r="I4" s="13" t="inlineStr">
        <is>
          <t>E = FACTOR POR ESTADO (Heidecke)</t>
        </is>
      </c>
      <c r="J4" s="13" t="inlineStr">
        <is>
          <t>DEPRECIACIÓN TOTAL (1 − H×I)</t>
        </is>
      </c>
      <c r="K4" s="13" t="inlineStr">
        <is>
          <t>VALOR DEPRECIACIÓN $/m²</t>
        </is>
      </c>
      <c r="L4" s="13" t="inlineStr">
        <is>
          <t>FD = H × I</t>
        </is>
      </c>
      <c r="M4" s="13" t="inlineStr">
        <is>
          <t>VALOR ACTUAL $/m²</t>
        </is>
      </c>
      <c r="N4" s="13" t="inlineStr">
        <is>
          <t>VALOR ADOPTADO $/m² (redondeo a 1.000)</t>
        </is>
      </c>
      <c r="O4" s="13" t="inlineStr">
        <is>
          <t>ÁREA CONSTRUIDA (m²)</t>
        </is>
      </c>
      <c r="P4" s="13" t="inlineStr">
        <is>
          <t>VALOR TOTAL CONSTRUCCIÓN</t>
        </is>
      </c>
      <c r="Q4" s="13" t="inlineStr">
        <is>
          <t>ORDEN EN LIQUIDACIÓN (objeto)</t>
        </is>
      </c>
      <c r="R4" s="13" t="inlineStr">
        <is>
          <t>FUENTE VALOR REPOSICIÓN / TIPOLOGÍA</t>
        </is>
      </c>
    </row>
    <row r="5" ht="36" customHeight="1" s="54">
      <c r="A5" s="74" t="n">
        <v>5</v>
      </c>
      <c r="B5" s="70" t="inlineStr">
        <is>
          <t>Casa de 4 niveles, mampostería (Santa Ana)</t>
        </is>
      </c>
      <c r="C5" s="74" t="n">
        <v>8</v>
      </c>
      <c r="D5" s="74" t="n">
        <v>70</v>
      </c>
      <c r="E5" s="74" t="n">
        <v>2</v>
      </c>
      <c r="F5" s="212" t="n">
        <v>1800000</v>
      </c>
      <c r="G5" s="32">
        <f>IF($B5="","",MIN(C5/D5,1))</f>
        <v/>
      </c>
      <c r="H5" s="32">
        <f>IF($B5="","",1-0.5*(G5+G5^2))</f>
        <v/>
      </c>
      <c r="I5" s="32">
        <f>IF($B5="","",1-INDEX($U$6:$U$14,MATCH(E5,$T$6:$T$14,0)))</f>
        <v/>
      </c>
      <c r="J5" s="33">
        <f>IF($B5="","",1-H5*I5)</f>
        <v/>
      </c>
      <c r="K5" s="202">
        <f>IF($B5="","",F5*J5)</f>
        <v/>
      </c>
      <c r="L5" s="32">
        <f>IF($B5="","",H5*I5)</f>
        <v/>
      </c>
      <c r="M5" s="202">
        <f>IF($B5="","",F5*L5)</f>
        <v/>
      </c>
      <c r="N5" s="202">
        <f>IF($B5="","",IF(M5&lt;=0,0,MROUND(M5,1000)))</f>
        <v/>
      </c>
      <c r="O5" s="76" t="n">
        <v>168</v>
      </c>
      <c r="P5" s="202">
        <f>IF($B5="","",MROUND(N5*O5,100))</f>
        <v/>
      </c>
      <c r="Q5" s="26">
        <f>IF(AND($B5&lt;&gt;"",$A5=""),SUMPRODUCT((LEN($A$5:$A5)=0)*(LEN($B$5:$B5)&gt;0)),"")</f>
        <v/>
      </c>
      <c r="R5" s="70" t="inlineStr">
        <is>
          <t>Edad 8 años según anuncio. SUPUESTOS A VALIDAR POR EL PERITO: vida útil 70 años, estado 2 (bueno), reposición $1.800.000/m² (sin fuente). Área 168 m² según anuncio (4 niveles x 42 m²).</t>
        </is>
      </c>
      <c r="T5" s="13" t="inlineStr">
        <is>
          <t>CALIFICACIÓN</t>
        </is>
      </c>
      <c r="U5" s="13" t="inlineStr">
        <is>
          <t>% DEPRECIACIÓN</t>
        </is>
      </c>
      <c r="V5" s="13" t="inlineStr">
        <is>
          <t>CLASIFICACIÓN</t>
        </is>
      </c>
    </row>
    <row r="6">
      <c r="A6" s="74" t="n"/>
      <c r="B6" s="70" t="n"/>
      <c r="C6" s="74" t="n"/>
      <c r="D6" s="74" t="n"/>
      <c r="E6" s="74" t="n"/>
      <c r="F6" s="212" t="n"/>
      <c r="G6" s="32">
        <f>IF($B6="","",MIN(C6/D6,1))</f>
        <v/>
      </c>
      <c r="H6" s="32">
        <f>IF($B6="","",1-0.5*(G6+G6^2))</f>
        <v/>
      </c>
      <c r="I6" s="32">
        <f>IF($B6="","",1-INDEX($U$6:$U$14,MATCH(E6,$T$6:$T$14,0)))</f>
        <v/>
      </c>
      <c r="J6" s="33">
        <f>IF($B6="","",1-H6*I6)</f>
        <v/>
      </c>
      <c r="K6" s="202">
        <f>IF($B6="","",F6*J6)</f>
        <v/>
      </c>
      <c r="L6" s="32">
        <f>IF($B6="","",H6*I6)</f>
        <v/>
      </c>
      <c r="M6" s="202">
        <f>IF($B6="","",F6*L6)</f>
        <v/>
      </c>
      <c r="N6" s="202">
        <f>IF($B6="","",IF(M6&lt;=0,0,MROUND(M6,1000)))</f>
        <v/>
      </c>
      <c r="O6" s="76" t="n"/>
      <c r="P6" s="202">
        <f>IF($B6="","",MROUND(N6*O6,100))</f>
        <v/>
      </c>
      <c r="Q6" s="26">
        <f>IF(AND($B6&lt;&gt;"",$A6=""),SUMPRODUCT((LEN($A$5:$A6)=0)*(LEN($B$5:$B6)&gt;0)),"")</f>
        <v/>
      </c>
      <c r="R6" s="70" t="n"/>
      <c r="T6" s="25" t="n">
        <v>1</v>
      </c>
      <c r="U6" s="34" t="n">
        <v>0</v>
      </c>
      <c r="V6" s="25" t="inlineStr">
        <is>
          <t>Óptimo</t>
        </is>
      </c>
    </row>
    <row r="7">
      <c r="A7" s="74" t="n"/>
      <c r="B7" s="70" t="n"/>
      <c r="C7" s="74" t="n"/>
      <c r="D7" s="74" t="n"/>
      <c r="E7" s="74" t="n"/>
      <c r="F7" s="212" t="n"/>
      <c r="G7" s="32">
        <f>IF($B7="","",MIN(C7/D7,1))</f>
        <v/>
      </c>
      <c r="H7" s="32">
        <f>IF($B7="","",1-0.5*(G7+G7^2))</f>
        <v/>
      </c>
      <c r="I7" s="32">
        <f>IF($B7="","",1-INDEX($U$6:$U$14,MATCH(E7,$T$6:$T$14,0)))</f>
        <v/>
      </c>
      <c r="J7" s="33">
        <f>IF($B7="","",1-H7*I7)</f>
        <v/>
      </c>
      <c r="K7" s="202">
        <f>IF($B7="","",F7*J7)</f>
        <v/>
      </c>
      <c r="L7" s="32">
        <f>IF($B7="","",H7*I7)</f>
        <v/>
      </c>
      <c r="M7" s="202">
        <f>IF($B7="","",F7*L7)</f>
        <v/>
      </c>
      <c r="N7" s="202">
        <f>IF($B7="","",IF(M7&lt;=0,0,MROUND(M7,1000)))</f>
        <v/>
      </c>
      <c r="O7" s="76" t="n"/>
      <c r="P7" s="202">
        <f>IF($B7="","",MROUND(N7*O7,100))</f>
        <v/>
      </c>
      <c r="Q7" s="26">
        <f>IF(AND($B7&lt;&gt;"",$A7=""),SUMPRODUCT((LEN($A$5:$A7)=0)*(LEN($B$5:$B7)&gt;0)),"")</f>
        <v/>
      </c>
      <c r="R7" s="70" t="n"/>
      <c r="T7" s="25" t="n">
        <v>1.5</v>
      </c>
      <c r="U7" s="34" t="n">
        <v>0.00032</v>
      </c>
      <c r="V7" s="25" t="inlineStr">
        <is>
          <t>Muy bueno</t>
        </is>
      </c>
    </row>
    <row r="8">
      <c r="A8" s="74" t="n"/>
      <c r="B8" s="70" t="n"/>
      <c r="C8" s="74" t="n"/>
      <c r="D8" s="74" t="n"/>
      <c r="E8" s="74" t="n"/>
      <c r="F8" s="212" t="n"/>
      <c r="G8" s="32">
        <f>IF($B8="","",MIN(C8/D8,1))</f>
        <v/>
      </c>
      <c r="H8" s="32">
        <f>IF($B8="","",1-0.5*(G8+G8^2))</f>
        <v/>
      </c>
      <c r="I8" s="32">
        <f>IF($B8="","",1-INDEX($U$6:$U$14,MATCH(E8,$T$6:$T$14,0)))</f>
        <v/>
      </c>
      <c r="J8" s="33">
        <f>IF($B8="","",1-H8*I8)</f>
        <v/>
      </c>
      <c r="K8" s="202">
        <f>IF($B8="","",F8*J8)</f>
        <v/>
      </c>
      <c r="L8" s="32">
        <f>IF($B8="","",H8*I8)</f>
        <v/>
      </c>
      <c r="M8" s="202">
        <f>IF($B8="","",F8*L8)</f>
        <v/>
      </c>
      <c r="N8" s="202">
        <f>IF($B8="","",IF(M8&lt;=0,0,MROUND(M8,1000)))</f>
        <v/>
      </c>
      <c r="O8" s="76" t="n"/>
      <c r="P8" s="202">
        <f>IF($B8="","",MROUND(N8*O8,100))</f>
        <v/>
      </c>
      <c r="Q8" s="26">
        <f>IF(AND($B8&lt;&gt;"",$A8=""),SUMPRODUCT((LEN($A$5:$A8)=0)*(LEN($B$5:$B8)&gt;0)),"")</f>
        <v/>
      </c>
      <c r="R8" s="70" t="n"/>
      <c r="T8" s="25" t="n">
        <v>2</v>
      </c>
      <c r="U8" s="34" t="n">
        <v>0.0252</v>
      </c>
      <c r="V8" s="25" t="inlineStr">
        <is>
          <t>Bueno</t>
        </is>
      </c>
    </row>
    <row r="9">
      <c r="A9" s="74" t="n"/>
      <c r="B9" s="70" t="n"/>
      <c r="C9" s="74" t="n"/>
      <c r="D9" s="74" t="n"/>
      <c r="E9" s="74" t="n"/>
      <c r="F9" s="212" t="n"/>
      <c r="G9" s="32">
        <f>IF($B9="","",MIN(C9/D9,1))</f>
        <v/>
      </c>
      <c r="H9" s="32">
        <f>IF($B9="","",1-0.5*(G9+G9^2))</f>
        <v/>
      </c>
      <c r="I9" s="32">
        <f>IF($B9="","",1-INDEX($U$6:$U$14,MATCH(E9,$T$6:$T$14,0)))</f>
        <v/>
      </c>
      <c r="J9" s="33">
        <f>IF($B9="","",1-H9*I9)</f>
        <v/>
      </c>
      <c r="K9" s="202">
        <f>IF($B9="","",F9*J9)</f>
        <v/>
      </c>
      <c r="L9" s="32">
        <f>IF($B9="","",H9*I9)</f>
        <v/>
      </c>
      <c r="M9" s="202">
        <f>IF($B9="","",F9*L9)</f>
        <v/>
      </c>
      <c r="N9" s="202">
        <f>IF($B9="","",IF(M9&lt;=0,0,MROUND(M9,1000)))</f>
        <v/>
      </c>
      <c r="O9" s="76" t="n"/>
      <c r="P9" s="202">
        <f>IF($B9="","",MROUND(N9*O9,100))</f>
        <v/>
      </c>
      <c r="Q9" s="26">
        <f>IF(AND($B9&lt;&gt;"",$A9=""),SUMPRODUCT((LEN($A$5:$A9)=0)*(LEN($B$5:$B9)&gt;0)),"")</f>
        <v/>
      </c>
      <c r="R9" s="70" t="n"/>
      <c r="T9" s="25" t="n">
        <v>2.5</v>
      </c>
      <c r="U9" s="34" t="n">
        <v>0.0809</v>
      </c>
      <c r="V9" s="25" t="inlineStr">
        <is>
          <t>Intermedio</t>
        </is>
      </c>
    </row>
    <row r="10">
      <c r="A10" s="74" t="n"/>
      <c r="B10" s="70" t="n"/>
      <c r="C10" s="74" t="n"/>
      <c r="D10" s="74" t="n"/>
      <c r="E10" s="74" t="n"/>
      <c r="F10" s="212" t="n"/>
      <c r="G10" s="32">
        <f>IF($B10="","",MIN(C10/D10,1))</f>
        <v/>
      </c>
      <c r="H10" s="32">
        <f>IF($B10="","",1-0.5*(G10+G10^2))</f>
        <v/>
      </c>
      <c r="I10" s="32">
        <f>IF($B10="","",1-INDEX($U$6:$U$14,MATCH(E10,$T$6:$T$14,0)))</f>
        <v/>
      </c>
      <c r="J10" s="33">
        <f>IF($B10="","",1-H10*I10)</f>
        <v/>
      </c>
      <c r="K10" s="202">
        <f>IF($B10="","",F10*J10)</f>
        <v/>
      </c>
      <c r="L10" s="32">
        <f>IF($B10="","",H10*I10)</f>
        <v/>
      </c>
      <c r="M10" s="202">
        <f>IF($B10="","",F10*L10)</f>
        <v/>
      </c>
      <c r="N10" s="202">
        <f>IF($B10="","",IF(M10&lt;=0,0,MROUND(M10,1000)))</f>
        <v/>
      </c>
      <c r="O10" s="76" t="n"/>
      <c r="P10" s="202">
        <f>IF($B10="","",MROUND(N10*O10,100))</f>
        <v/>
      </c>
      <c r="Q10" s="26">
        <f>IF(AND($B10&lt;&gt;"",$A10=""),SUMPRODUCT((LEN($A$5:$A10)=0)*(LEN($B$5:$B10)&gt;0)),"")</f>
        <v/>
      </c>
      <c r="R10" s="70" t="n"/>
      <c r="T10" s="25" t="n">
        <v>3</v>
      </c>
      <c r="U10" s="34" t="n">
        <v>0.181</v>
      </c>
      <c r="V10" s="25" t="inlineStr">
        <is>
          <t>Regular</t>
        </is>
      </c>
    </row>
    <row r="11">
      <c r="A11" s="74" t="n"/>
      <c r="B11" s="70" t="n"/>
      <c r="C11" s="74" t="n"/>
      <c r="D11" s="74" t="n"/>
      <c r="E11" s="74" t="n"/>
      <c r="F11" s="212" t="n"/>
      <c r="G11" s="32">
        <f>IF($B11="","",MIN(C11/D11,1))</f>
        <v/>
      </c>
      <c r="H11" s="32">
        <f>IF($B11="","",1-0.5*(G11+G11^2))</f>
        <v/>
      </c>
      <c r="I11" s="32">
        <f>IF($B11="","",1-INDEX($U$6:$U$14,MATCH(E11,$T$6:$T$14,0)))</f>
        <v/>
      </c>
      <c r="J11" s="33">
        <f>IF($B11="","",1-H11*I11)</f>
        <v/>
      </c>
      <c r="K11" s="202">
        <f>IF($B11="","",F11*J11)</f>
        <v/>
      </c>
      <c r="L11" s="32">
        <f>IF($B11="","",H11*I11)</f>
        <v/>
      </c>
      <c r="M11" s="202">
        <f>IF($B11="","",F11*L11)</f>
        <v/>
      </c>
      <c r="N11" s="202">
        <f>IF($B11="","",IF(M11&lt;=0,0,MROUND(M11,1000)))</f>
        <v/>
      </c>
      <c r="O11" s="76" t="n"/>
      <c r="P11" s="202">
        <f>IF($B11="","",MROUND(N11*O11,100))</f>
        <v/>
      </c>
      <c r="Q11" s="26">
        <f>IF(AND($B11&lt;&gt;"",$A11=""),SUMPRODUCT((LEN($A$5:$A11)=0)*(LEN($B$5:$B11)&gt;0)),"")</f>
        <v/>
      </c>
      <c r="R11" s="70" t="n"/>
      <c r="T11" s="25" t="n">
        <v>3.5</v>
      </c>
      <c r="U11" s="34" t="n">
        <v>0.332</v>
      </c>
      <c r="V11" s="25" t="inlineStr">
        <is>
          <t>Deficiente</t>
        </is>
      </c>
    </row>
    <row r="12">
      <c r="A12" s="74" t="n"/>
      <c r="B12" s="70" t="n"/>
      <c r="C12" s="74" t="n"/>
      <c r="D12" s="74" t="n"/>
      <c r="E12" s="74" t="n"/>
      <c r="F12" s="212" t="n"/>
      <c r="G12" s="32">
        <f>IF($B12="","",MIN(C12/D12,1))</f>
        <v/>
      </c>
      <c r="H12" s="32">
        <f>IF($B12="","",1-0.5*(G12+G12^2))</f>
        <v/>
      </c>
      <c r="I12" s="32">
        <f>IF($B12="","",1-INDEX($U$6:$U$14,MATCH(E12,$T$6:$T$14,0)))</f>
        <v/>
      </c>
      <c r="J12" s="33">
        <f>IF($B12="","",1-H12*I12)</f>
        <v/>
      </c>
      <c r="K12" s="202">
        <f>IF($B12="","",F12*J12)</f>
        <v/>
      </c>
      <c r="L12" s="32">
        <f>IF($B12="","",H12*I12)</f>
        <v/>
      </c>
      <c r="M12" s="202">
        <f>IF($B12="","",F12*L12)</f>
        <v/>
      </c>
      <c r="N12" s="202">
        <f>IF($B12="","",IF(M12&lt;=0,0,MROUND(M12,1000)))</f>
        <v/>
      </c>
      <c r="O12" s="76" t="n"/>
      <c r="P12" s="202">
        <f>IF($B12="","",MROUND(N12*O12,100))</f>
        <v/>
      </c>
      <c r="Q12" s="26">
        <f>IF(AND($B12&lt;&gt;"",$A12=""),SUMPRODUCT((LEN($A$5:$A12)=0)*(LEN($B$5:$B12)&gt;0)),"")</f>
        <v/>
      </c>
      <c r="R12" s="70" t="n"/>
      <c r="T12" s="25" t="n">
        <v>4</v>
      </c>
      <c r="U12" s="34" t="n">
        <v>0.526</v>
      </c>
      <c r="V12" s="25" t="inlineStr">
        <is>
          <t>Malo</t>
        </is>
      </c>
    </row>
    <row r="13">
      <c r="A13" s="74" t="n"/>
      <c r="B13" s="70" t="n"/>
      <c r="C13" s="74" t="n"/>
      <c r="D13" s="74" t="n"/>
      <c r="E13" s="74" t="n"/>
      <c r="F13" s="212" t="n"/>
      <c r="G13" s="32">
        <f>IF($B13="","",MIN(C13/D13,1))</f>
        <v/>
      </c>
      <c r="H13" s="32">
        <f>IF($B13="","",1-0.5*(G13+G13^2))</f>
        <v/>
      </c>
      <c r="I13" s="32">
        <f>IF($B13="","",1-INDEX($U$6:$U$14,MATCH(E13,$T$6:$T$14,0)))</f>
        <v/>
      </c>
      <c r="J13" s="33">
        <f>IF($B13="","",1-H13*I13)</f>
        <v/>
      </c>
      <c r="K13" s="202">
        <f>IF($B13="","",F13*J13)</f>
        <v/>
      </c>
      <c r="L13" s="32">
        <f>IF($B13="","",H13*I13)</f>
        <v/>
      </c>
      <c r="M13" s="202">
        <f>IF($B13="","",F13*L13)</f>
        <v/>
      </c>
      <c r="N13" s="202">
        <f>IF($B13="","",IF(M13&lt;=0,0,MROUND(M13,1000)))</f>
        <v/>
      </c>
      <c r="O13" s="76" t="n"/>
      <c r="P13" s="202">
        <f>IF($B13="","",MROUND(N13*O13,100))</f>
        <v/>
      </c>
      <c r="Q13" s="26">
        <f>IF(AND($B13&lt;&gt;"",$A13=""),SUMPRODUCT((LEN($A$5:$A13)=0)*(LEN($B$5:$B13)&gt;0)),"")</f>
        <v/>
      </c>
      <c r="R13" s="70" t="n"/>
      <c r="T13" s="25" t="n">
        <v>4.5</v>
      </c>
      <c r="U13" s="34" t="n">
        <v>0.752</v>
      </c>
      <c r="V13" s="25" t="inlineStr">
        <is>
          <t>Muy malo</t>
        </is>
      </c>
    </row>
    <row r="14">
      <c r="A14" s="74" t="n"/>
      <c r="B14" s="70" t="n"/>
      <c r="C14" s="74" t="n"/>
      <c r="D14" s="74" t="n"/>
      <c r="E14" s="74" t="n"/>
      <c r="F14" s="212" t="n"/>
      <c r="G14" s="32">
        <f>IF($B14="","",MIN(C14/D14,1))</f>
        <v/>
      </c>
      <c r="H14" s="32">
        <f>IF($B14="","",1-0.5*(G14+G14^2))</f>
        <v/>
      </c>
      <c r="I14" s="32">
        <f>IF($B14="","",1-INDEX($U$6:$U$14,MATCH(E14,$T$6:$T$14,0)))</f>
        <v/>
      </c>
      <c r="J14" s="33">
        <f>IF($B14="","",1-H14*I14)</f>
        <v/>
      </c>
      <c r="K14" s="202">
        <f>IF($B14="","",F14*J14)</f>
        <v/>
      </c>
      <c r="L14" s="32">
        <f>IF($B14="","",H14*I14)</f>
        <v/>
      </c>
      <c r="M14" s="202">
        <f>IF($B14="","",F14*L14)</f>
        <v/>
      </c>
      <c r="N14" s="202">
        <f>IF($B14="","",IF(M14&lt;=0,0,MROUND(M14,1000)))</f>
        <v/>
      </c>
      <c r="O14" s="76" t="n"/>
      <c r="P14" s="202">
        <f>IF($B14="","",MROUND(N14*O14,100))</f>
        <v/>
      </c>
      <c r="Q14" s="26">
        <f>IF(AND($B14&lt;&gt;"",$A14=""),SUMPRODUCT((LEN($A$5:$A14)=0)*(LEN($B$5:$B14)&gt;0)),"")</f>
        <v/>
      </c>
      <c r="R14" s="70" t="n"/>
      <c r="T14" s="25" t="n">
        <v>5</v>
      </c>
      <c r="U14" s="34" t="n">
        <v>1</v>
      </c>
      <c r="V14" s="25" t="inlineStr">
        <is>
          <t>Demolición</t>
        </is>
      </c>
    </row>
    <row r="15">
      <c r="A15" s="74" t="n"/>
      <c r="B15" s="70" t="n"/>
      <c r="C15" s="74" t="n"/>
      <c r="D15" s="74" t="n"/>
      <c r="E15" s="74" t="n"/>
      <c r="F15" s="212" t="n"/>
      <c r="G15" s="32">
        <f>IF($B15="","",MIN(C15/D15,1))</f>
        <v/>
      </c>
      <c r="H15" s="32">
        <f>IF($B15="","",1-0.5*(G15+G15^2))</f>
        <v/>
      </c>
      <c r="I15" s="32">
        <f>IF($B15="","",1-INDEX($U$6:$U$14,MATCH(E15,$T$6:$T$14,0)))</f>
        <v/>
      </c>
      <c r="J15" s="33">
        <f>IF($B15="","",1-H15*I15)</f>
        <v/>
      </c>
      <c r="K15" s="202">
        <f>IF($B15="","",F15*J15)</f>
        <v/>
      </c>
      <c r="L15" s="32">
        <f>IF($B15="","",H15*I15)</f>
        <v/>
      </c>
      <c r="M15" s="202">
        <f>IF($B15="","",F15*L15)</f>
        <v/>
      </c>
      <c r="N15" s="202">
        <f>IF($B15="","",IF(M15&lt;=0,0,MROUND(M15,1000)))</f>
        <v/>
      </c>
      <c r="O15" s="76" t="n"/>
      <c r="P15" s="202">
        <f>IF($B15="","",MROUND(N15*O15,100))</f>
        <v/>
      </c>
      <c r="Q15" s="26">
        <f>IF(AND($B15&lt;&gt;"",$A15=""),SUMPRODUCT((LEN($A$5:$A15)=0)*(LEN($B$5:$B15)&gt;0)),"")</f>
        <v/>
      </c>
      <c r="R15" s="70" t="n"/>
    </row>
    <row r="16" ht="15" customHeight="1" s="54">
      <c r="A16" s="74" t="n"/>
      <c r="B16" s="70" t="n"/>
      <c r="C16" s="74" t="n"/>
      <c r="D16" s="74" t="n"/>
      <c r="E16" s="74" t="n"/>
      <c r="F16" s="212" t="n"/>
      <c r="G16" s="32">
        <f>IF($B16="","",MIN(C16/D16,1))</f>
        <v/>
      </c>
      <c r="H16" s="32">
        <f>IF($B16="","",1-0.5*(G16+G16^2))</f>
        <v/>
      </c>
      <c r="I16" s="32">
        <f>IF($B16="","",1-INDEX($U$6:$U$14,MATCH(E16,$T$6:$T$14,0)))</f>
        <v/>
      </c>
      <c r="J16" s="33">
        <f>IF($B16="","",1-H16*I16)</f>
        <v/>
      </c>
      <c r="K16" s="202">
        <f>IF($B16="","",F16*J16)</f>
        <v/>
      </c>
      <c r="L16" s="32">
        <f>IF($B16="","",H16*I16)</f>
        <v/>
      </c>
      <c r="M16" s="202">
        <f>IF($B16="","",F16*L16)</f>
        <v/>
      </c>
      <c r="N16" s="202">
        <f>IF($B16="","",IF(M16&lt;=0,0,MROUND(M16,1000)))</f>
        <v/>
      </c>
      <c r="O16" s="76" t="n"/>
      <c r="P16" s="202">
        <f>IF($B16="","",MROUND(N16*O16,100))</f>
        <v/>
      </c>
      <c r="Q16" s="26">
        <f>IF(AND($B16&lt;&gt;"",$A16=""),SUMPRODUCT((LEN($A$5:$A16)=0)*(LEN($B$5:$B16)&gt;0)),"")</f>
        <v/>
      </c>
      <c r="R16" s="70" t="n"/>
      <c r="T16" s="3" t="inlineStr">
        <is>
          <t>Tabla 6 del Anexo, Res. 941 de 2026 (Heidecke). Vida útil: tabla de vidas útiles del Anexo (num. 2.3.1); vida útil prolongada solo con calificación 2,5 a 4,5 (num. 2.3.2).</t>
        </is>
      </c>
      <c r="U16" s="204" t="n"/>
      <c r="V16" s="204" t="n"/>
    </row>
    <row r="17">
      <c r="A17" s="74" t="n"/>
      <c r="B17" s="70" t="n"/>
      <c r="C17" s="74" t="n"/>
      <c r="D17" s="74" t="n"/>
      <c r="E17" s="74" t="n"/>
      <c r="F17" s="212" t="n"/>
      <c r="G17" s="32">
        <f>IF($B17="","",MIN(C17/D17,1))</f>
        <v/>
      </c>
      <c r="H17" s="32">
        <f>IF($B17="","",1-0.5*(G17+G17^2))</f>
        <v/>
      </c>
      <c r="I17" s="32">
        <f>IF($B17="","",1-INDEX($U$6:$U$14,MATCH(E17,$T$6:$T$14,0)))</f>
        <v/>
      </c>
      <c r="J17" s="33">
        <f>IF($B17="","",1-H17*I17)</f>
        <v/>
      </c>
      <c r="K17" s="202">
        <f>IF($B17="","",F17*J17)</f>
        <v/>
      </c>
      <c r="L17" s="32">
        <f>IF($B17="","",H17*I17)</f>
        <v/>
      </c>
      <c r="M17" s="202">
        <f>IF($B17="","",F17*L17)</f>
        <v/>
      </c>
      <c r="N17" s="202">
        <f>IF($B17="","",IF(M17&lt;=0,0,MROUND(M17,1000)))</f>
        <v/>
      </c>
      <c r="O17" s="76" t="n"/>
      <c r="P17" s="202">
        <f>IF($B17="","",MROUND(N17*O17,100))</f>
        <v/>
      </c>
      <c r="Q17" s="26">
        <f>IF(AND($B17&lt;&gt;"",$A17=""),SUMPRODUCT((LEN($A$5:$A17)=0)*(LEN($B$5:$B17)&gt;0)),"")</f>
        <v/>
      </c>
      <c r="R17" s="70" t="n"/>
      <c r="T17" s="205" t="n"/>
    </row>
    <row r="18">
      <c r="A18" s="74" t="n"/>
      <c r="B18" s="70" t="n"/>
      <c r="C18" s="74" t="n"/>
      <c r="D18" s="74" t="n"/>
      <c r="E18" s="74" t="n"/>
      <c r="F18" s="212" t="n"/>
      <c r="G18" s="32">
        <f>IF($B18="","",MIN(C18/D18,1))</f>
        <v/>
      </c>
      <c r="H18" s="32">
        <f>IF($B18="","",1-0.5*(G18+G18^2))</f>
        <v/>
      </c>
      <c r="I18" s="32">
        <f>IF($B18="","",1-INDEX($U$6:$U$14,MATCH(E18,$T$6:$T$14,0)))</f>
        <v/>
      </c>
      <c r="J18" s="33">
        <f>IF($B18="","",1-H18*I18)</f>
        <v/>
      </c>
      <c r="K18" s="202">
        <f>IF($B18="","",F18*J18)</f>
        <v/>
      </c>
      <c r="L18" s="32">
        <f>IF($B18="","",H18*I18)</f>
        <v/>
      </c>
      <c r="M18" s="202">
        <f>IF($B18="","",F18*L18)</f>
        <v/>
      </c>
      <c r="N18" s="202">
        <f>IF($B18="","",IF(M18&lt;=0,0,MROUND(M18,1000)))</f>
        <v/>
      </c>
      <c r="O18" s="76" t="n"/>
      <c r="P18" s="202">
        <f>IF($B18="","",MROUND(N18*O18,100))</f>
        <v/>
      </c>
      <c r="Q18" s="26">
        <f>IF(AND($B18&lt;&gt;"",$A18=""),SUMPRODUCT((LEN($A$5:$A18)=0)*(LEN($B$5:$B18)&gt;0)),"")</f>
        <v/>
      </c>
      <c r="R18" s="70" t="n"/>
      <c r="T18" s="205" t="n"/>
    </row>
    <row r="19">
      <c r="A19" s="74" t="n"/>
      <c r="B19" s="70" t="n"/>
      <c r="C19" s="74" t="n"/>
      <c r="D19" s="74" t="n"/>
      <c r="E19" s="74" t="n"/>
      <c r="F19" s="212" t="n"/>
      <c r="G19" s="32">
        <f>IF($B19="","",MIN(C19/D19,1))</f>
        <v/>
      </c>
      <c r="H19" s="32">
        <f>IF($B19="","",1-0.5*(G19+G19^2))</f>
        <v/>
      </c>
      <c r="I19" s="32">
        <f>IF($B19="","",1-INDEX($U$6:$U$14,MATCH(E19,$T$6:$T$14,0)))</f>
        <v/>
      </c>
      <c r="J19" s="33">
        <f>IF($B19="","",1-H19*I19)</f>
        <v/>
      </c>
      <c r="K19" s="202">
        <f>IF($B19="","",F19*J19)</f>
        <v/>
      </c>
      <c r="L19" s="32">
        <f>IF($B19="","",H19*I19)</f>
        <v/>
      </c>
      <c r="M19" s="202">
        <f>IF($B19="","",F19*L19)</f>
        <v/>
      </c>
      <c r="N19" s="202">
        <f>IF($B19="","",IF(M19&lt;=0,0,MROUND(M19,1000)))</f>
        <v/>
      </c>
      <c r="O19" s="76" t="n"/>
      <c r="P19" s="202">
        <f>IF($B19="","",MROUND(N19*O19,100))</f>
        <v/>
      </c>
      <c r="Q19" s="26">
        <f>IF(AND($B19&lt;&gt;"",$A19=""),SUMPRODUCT((LEN($A$5:$A19)=0)*(LEN($B$5:$B19)&gt;0)),"")</f>
        <v/>
      </c>
      <c r="R19" s="70" t="n"/>
      <c r="T19" s="205" t="n"/>
    </row>
    <row r="20">
      <c r="A20" s="74" t="n"/>
      <c r="B20" s="70" t="n"/>
      <c r="C20" s="74" t="n"/>
      <c r="D20" s="74" t="n"/>
      <c r="E20" s="74" t="n"/>
      <c r="F20" s="212" t="n"/>
      <c r="G20" s="32">
        <f>IF($B20="","",MIN(C20/D20,1))</f>
        <v/>
      </c>
      <c r="H20" s="32">
        <f>IF($B20="","",1-0.5*(G20+G20^2))</f>
        <v/>
      </c>
      <c r="I20" s="32">
        <f>IF($B20="","",1-INDEX($U$6:$U$14,MATCH(E20,$T$6:$T$14,0)))</f>
        <v/>
      </c>
      <c r="J20" s="33">
        <f>IF($B20="","",1-H20*I20)</f>
        <v/>
      </c>
      <c r="K20" s="202">
        <f>IF($B20="","",F20*J20)</f>
        <v/>
      </c>
      <c r="L20" s="32">
        <f>IF($B20="","",H20*I20)</f>
        <v/>
      </c>
      <c r="M20" s="202">
        <f>IF($B20="","",F20*L20)</f>
        <v/>
      </c>
      <c r="N20" s="202">
        <f>IF($B20="","",IF(M20&lt;=0,0,MROUND(M20,1000)))</f>
        <v/>
      </c>
      <c r="O20" s="76" t="n"/>
      <c r="P20" s="202">
        <f>IF($B20="","",MROUND(N20*O20,100))</f>
        <v/>
      </c>
      <c r="Q20" s="26">
        <f>IF(AND($B20&lt;&gt;"",$A20=""),SUMPRODUCT((LEN($A$5:$A20)=0)*(LEN($B$5:$B20)&gt;0)),"")</f>
        <v/>
      </c>
      <c r="R20" s="70" t="n"/>
    </row>
    <row r="21">
      <c r="A21" s="74" t="n"/>
      <c r="B21" s="70" t="n"/>
      <c r="C21" s="74" t="n"/>
      <c r="D21" s="74" t="n"/>
      <c r="E21" s="74" t="n"/>
      <c r="F21" s="212" t="n"/>
      <c r="G21" s="32">
        <f>IF($B21="","",MIN(C21/D21,1))</f>
        <v/>
      </c>
      <c r="H21" s="32">
        <f>IF($B21="","",1-0.5*(G21+G21^2))</f>
        <v/>
      </c>
      <c r="I21" s="32">
        <f>IF($B21="","",1-INDEX($U$6:$U$14,MATCH(E21,$T$6:$T$14,0)))</f>
        <v/>
      </c>
      <c r="J21" s="33">
        <f>IF($B21="","",1-H21*I21)</f>
        <v/>
      </c>
      <c r="K21" s="202">
        <f>IF($B21="","",F21*J21)</f>
        <v/>
      </c>
      <c r="L21" s="32">
        <f>IF($B21="","",H21*I21)</f>
        <v/>
      </c>
      <c r="M21" s="202">
        <f>IF($B21="","",F21*L21)</f>
        <v/>
      </c>
      <c r="N21" s="202">
        <f>IF($B21="","",IF(M21&lt;=0,0,MROUND(M21,1000)))</f>
        <v/>
      </c>
      <c r="O21" s="76" t="n"/>
      <c r="P21" s="202">
        <f>IF($B21="","",MROUND(N21*O21,100))</f>
        <v/>
      </c>
      <c r="Q21" s="26">
        <f>IF(AND($B21&lt;&gt;"",$A21=""),SUMPRODUCT((LEN($A$5:$A21)=0)*(LEN($B$5:$B21)&gt;0)),"")</f>
        <v/>
      </c>
      <c r="R21" s="70" t="n"/>
    </row>
    <row r="22">
      <c r="A22" s="74" t="n"/>
      <c r="B22" s="70" t="n"/>
      <c r="C22" s="74" t="n"/>
      <c r="D22" s="74" t="n"/>
      <c r="E22" s="74" t="n"/>
      <c r="F22" s="212" t="n"/>
      <c r="G22" s="32">
        <f>IF($B22="","",MIN(C22/D22,1))</f>
        <v/>
      </c>
      <c r="H22" s="32">
        <f>IF($B22="","",1-0.5*(G22+G22^2))</f>
        <v/>
      </c>
      <c r="I22" s="32">
        <f>IF($B22="","",1-INDEX($U$6:$U$14,MATCH(E22,$T$6:$T$14,0)))</f>
        <v/>
      </c>
      <c r="J22" s="33">
        <f>IF($B22="","",1-H22*I22)</f>
        <v/>
      </c>
      <c r="K22" s="202">
        <f>IF($B22="","",F22*J22)</f>
        <v/>
      </c>
      <c r="L22" s="32">
        <f>IF($B22="","",H22*I22)</f>
        <v/>
      </c>
      <c r="M22" s="202">
        <f>IF($B22="","",F22*L22)</f>
        <v/>
      </c>
      <c r="N22" s="202">
        <f>IF($B22="","",IF(M22&lt;=0,0,MROUND(M22,1000)))</f>
        <v/>
      </c>
      <c r="O22" s="76" t="n"/>
      <c r="P22" s="202">
        <f>IF($B22="","",MROUND(N22*O22,100))</f>
        <v/>
      </c>
      <c r="Q22" s="26">
        <f>IF(AND($B22&lt;&gt;"",$A22=""),SUMPRODUCT((LEN($A$5:$A22)=0)*(LEN($B$5:$B22)&gt;0)),"")</f>
        <v/>
      </c>
      <c r="R22" s="70" t="n"/>
    </row>
    <row r="23">
      <c r="A23" s="74" t="n"/>
      <c r="B23" s="70" t="n"/>
      <c r="C23" s="74" t="n"/>
      <c r="D23" s="74" t="n"/>
      <c r="E23" s="74" t="n"/>
      <c r="F23" s="212" t="n"/>
      <c r="G23" s="32">
        <f>IF($B23="","",MIN(C23/D23,1))</f>
        <v/>
      </c>
      <c r="H23" s="32">
        <f>IF($B23="","",1-0.5*(G23+G23^2))</f>
        <v/>
      </c>
      <c r="I23" s="32">
        <f>IF($B23="","",1-INDEX($U$6:$U$14,MATCH(E23,$T$6:$T$14,0)))</f>
        <v/>
      </c>
      <c r="J23" s="33">
        <f>IF($B23="","",1-H23*I23)</f>
        <v/>
      </c>
      <c r="K23" s="202">
        <f>IF($B23="","",F23*J23)</f>
        <v/>
      </c>
      <c r="L23" s="32">
        <f>IF($B23="","",H23*I23)</f>
        <v/>
      </c>
      <c r="M23" s="202">
        <f>IF($B23="","",F23*L23)</f>
        <v/>
      </c>
      <c r="N23" s="202">
        <f>IF($B23="","",IF(M23&lt;=0,0,MROUND(M23,1000)))</f>
        <v/>
      </c>
      <c r="O23" s="76" t="n"/>
      <c r="P23" s="202">
        <f>IF($B23="","",MROUND(N23*O23,100))</f>
        <v/>
      </c>
      <c r="Q23" s="26">
        <f>IF(AND($B23&lt;&gt;"",$A23=""),SUMPRODUCT((LEN($A$5:$A23)=0)*(LEN($B$5:$B23)&gt;0)),"")</f>
        <v/>
      </c>
      <c r="R23" s="70" t="n"/>
    </row>
    <row r="24">
      <c r="A24" s="74" t="n"/>
      <c r="B24" s="70" t="n"/>
      <c r="C24" s="74" t="n"/>
      <c r="D24" s="74" t="n"/>
      <c r="E24" s="74" t="n"/>
      <c r="F24" s="212" t="n"/>
      <c r="G24" s="32">
        <f>IF($B24="","",MIN(C24/D24,1))</f>
        <v/>
      </c>
      <c r="H24" s="32">
        <f>IF($B24="","",1-0.5*(G24+G24^2))</f>
        <v/>
      </c>
      <c r="I24" s="32">
        <f>IF($B24="","",1-INDEX($U$6:$U$14,MATCH(E24,$T$6:$T$14,0)))</f>
        <v/>
      </c>
      <c r="J24" s="33">
        <f>IF($B24="","",1-H24*I24)</f>
        <v/>
      </c>
      <c r="K24" s="202">
        <f>IF($B24="","",F24*J24)</f>
        <v/>
      </c>
      <c r="L24" s="32">
        <f>IF($B24="","",H24*I24)</f>
        <v/>
      </c>
      <c r="M24" s="202">
        <f>IF($B24="","",F24*L24)</f>
        <v/>
      </c>
      <c r="N24" s="202">
        <f>IF($B24="","",IF(M24&lt;=0,0,MROUND(M24,1000)))</f>
        <v/>
      </c>
      <c r="O24" s="76" t="n"/>
      <c r="P24" s="202">
        <f>IF($B24="","",MROUND(N24*O24,100))</f>
        <v/>
      </c>
      <c r="Q24" s="26">
        <f>IF(AND($B24&lt;&gt;"",$A24=""),SUMPRODUCT((LEN($A$5:$A24)=0)*(LEN($B$5:$B24)&gt;0)),"")</f>
        <v/>
      </c>
      <c r="R24" s="70" t="n"/>
    </row>
    <row r="25" ht="15" customHeight="1" s="54">
      <c r="A25" s="16" t="inlineStr">
        <is>
          <t>TOTAL</t>
        </is>
      </c>
      <c r="B25" s="188" t="n"/>
      <c r="C25" s="188" t="n"/>
      <c r="D25" s="188" t="n"/>
      <c r="E25" s="188" t="n"/>
      <c r="F25" s="188" t="n"/>
      <c r="G25" s="188" t="n"/>
      <c r="H25" s="188" t="n"/>
      <c r="I25" s="188" t="n"/>
      <c r="J25" s="188" t="n"/>
      <c r="K25" s="188" t="n"/>
      <c r="L25" s="188" t="n"/>
      <c r="M25" s="188" t="n"/>
      <c r="N25" s="188" t="n"/>
      <c r="O25" s="211" t="n"/>
      <c r="P25" s="201">
        <f>SUM(P5:P24)</f>
        <v/>
      </c>
    </row>
    <row r="27" ht="15" customHeight="1" s="54">
      <c r="A27" s="55" t="inlineStr">
        <is>
          <t>Asignado a ofertas de MERCADO NPH</t>
        </is>
      </c>
      <c r="B27" s="188" t="n"/>
      <c r="C27" s="188" t="n"/>
      <c r="D27" s="188" t="n"/>
      <c r="E27" s="188" t="n"/>
      <c r="F27" s="188" t="n"/>
      <c r="G27" s="188" t="n"/>
      <c r="H27" s="188" t="n"/>
      <c r="I27" s="188" t="n"/>
      <c r="J27" s="188" t="n"/>
      <c r="K27" s="188" t="n"/>
      <c r="L27" s="188" t="n"/>
      <c r="M27" s="188" t="n"/>
      <c r="N27" s="188" t="n"/>
      <c r="O27" s="211" t="n"/>
      <c r="P27" s="199">
        <f>SUMIFS(P5:P24,A5:A24,"&lt;&gt;")</f>
        <v/>
      </c>
    </row>
    <row r="28" ht="15" customHeight="1" s="54">
      <c r="A28" s="55" t="inlineStr">
        <is>
          <t>Construcciones del inmueble objeto (pasan a LIQUIDACIÓN_NPH)</t>
        </is>
      </c>
      <c r="B28" s="188" t="n"/>
      <c r="C28" s="188" t="n"/>
      <c r="D28" s="188" t="n"/>
      <c r="E28" s="188" t="n"/>
      <c r="F28" s="188" t="n"/>
      <c r="G28" s="188" t="n"/>
      <c r="H28" s="188" t="n"/>
      <c r="I28" s="188" t="n"/>
      <c r="J28" s="188" t="n"/>
      <c r="K28" s="188" t="n"/>
      <c r="L28" s="188" t="n"/>
      <c r="M28" s="188" t="n"/>
      <c r="N28" s="188" t="n"/>
      <c r="O28" s="211" t="n"/>
      <c r="P28" s="199">
        <f>SUMIFS(P5:P24,A5:A24,"",B5:B24,"&lt;&gt;")</f>
        <v/>
      </c>
    </row>
    <row r="29" ht="15" customHeight="1" s="54">
      <c r="A29" s="55" t="inlineStr">
        <is>
          <t>Control: asignado a ofertas − suma columna N de 'MERCADO NPH' (debe ser 0; si no, hay No. de oferta inexistente)</t>
        </is>
      </c>
      <c r="B29" s="188" t="n"/>
      <c r="C29" s="188" t="n"/>
      <c r="D29" s="188" t="n"/>
      <c r="E29" s="188" t="n"/>
      <c r="F29" s="188" t="n"/>
      <c r="G29" s="188" t="n"/>
      <c r="H29" s="188" t="n"/>
      <c r="I29" s="188" t="n"/>
      <c r="J29" s="188" t="n"/>
      <c r="K29" s="188" t="n"/>
      <c r="L29" s="188" t="n"/>
      <c r="M29" s="188" t="n"/>
      <c r="N29" s="188" t="n"/>
      <c r="O29" s="211" t="n"/>
      <c r="P29" s="201">
        <f>P27-SUM('MERCADO NPH'!N9:N38)</f>
        <v/>
      </c>
    </row>
  </sheetData>
  <mergeCells count="7">
    <mergeCell ref="A29:O29"/>
    <mergeCell ref="A25:O25"/>
    <mergeCell ref="T16:V19"/>
    <mergeCell ref="A2:R2"/>
    <mergeCell ref="A28:O28"/>
    <mergeCell ref="A27:O27"/>
    <mergeCell ref="A1:R1"/>
  </mergeCells>
  <dataValidations count="1">
    <dataValidation sqref="E5:E24" showDropDown="0" showInputMessage="0" showErrorMessage="0" allowBlank="1" type="list">
      <formula1>$T$6:$T$14</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00B050"/>
    <outlinePr summaryBelow="1" summaryRight="1"/>
    <pageSetUpPr/>
  </sheetPr>
  <dimension ref="B1:O33"/>
  <sheetViews>
    <sheetView showGridLines="0" zoomScaleNormal="100" workbookViewId="0">
      <selection activeCell="A1" sqref="A1"/>
    </sheetView>
  </sheetViews>
  <sheetFormatPr baseColWidth="10" defaultColWidth="8.6640625" defaultRowHeight="14.4"/>
  <cols>
    <col width="2" customWidth="1" style="54" min="1" max="1"/>
    <col width="48" customWidth="1" style="54" min="2" max="2"/>
    <col width="17" customWidth="1" style="54" min="3" max="6"/>
    <col width="14" customWidth="1" style="54" min="8" max="9"/>
    <col width="30" customWidth="1" style="54" min="10" max="11"/>
    <col width="14" customWidth="1" style="54" min="14" max="15"/>
  </cols>
  <sheetData>
    <row r="1" ht="16.2" customHeight="1" s="54">
      <c r="B1" s="11" t="inlineStr">
        <is>
          <t>LIQUIDACIÓN – INMUEBLE URBANO NPH</t>
        </is>
      </c>
    </row>
    <row r="2">
      <c r="B2" s="57">
        <f>DATOS!C6&amp;" – "&amp;DATOS!C7</f>
        <v/>
      </c>
      <c r="C2" s="188" t="n"/>
      <c r="D2" s="188" t="n"/>
      <c r="E2" s="188" t="n"/>
      <c r="F2" s="188" t="n"/>
    </row>
    <row r="3" ht="15" customHeight="1" s="54">
      <c r="B3" s="58" t="inlineStr">
        <is>
          <t>TERRENO</t>
        </is>
      </c>
      <c r="C3" s="188" t="n"/>
      <c r="D3" s="188" t="n"/>
      <c r="E3" s="188" t="n"/>
      <c r="F3" s="188" t="n"/>
      <c r="H3" s="40" t="inlineStr">
        <is>
          <t>CÁLCULO AUXILIAR – VALOR EN LETRAS (no editar)</t>
        </is>
      </c>
    </row>
    <row r="4">
      <c r="B4" s="13" t="inlineStr">
        <is>
          <t>DESCRIPCIÓN</t>
        </is>
      </c>
      <c r="C4" s="13" t="inlineStr">
        <is>
          <t>UNIDAD</t>
        </is>
      </c>
      <c r="D4" s="13" t="inlineStr">
        <is>
          <t>CANTIDAD</t>
        </is>
      </c>
      <c r="E4" s="13" t="inlineStr">
        <is>
          <t>VALOR UNITARIO</t>
        </is>
      </c>
      <c r="F4" s="13" t="inlineStr">
        <is>
          <t>VALOR TOTAL</t>
        </is>
      </c>
      <c r="H4" s="41" t="inlineStr">
        <is>
          <t>CONCEPTO</t>
        </is>
      </c>
      <c r="I4" s="41" t="inlineStr">
        <is>
          <t>VALOR</t>
        </is>
      </c>
      <c r="J4" s="41" t="inlineStr">
        <is>
          <t>TEXTO</t>
        </is>
      </c>
      <c r="K4" s="41" t="inlineStr">
        <is>
          <t>TEXTO (APOCOPADO)</t>
        </is>
      </c>
      <c r="N4" s="41" t="inlineStr">
        <is>
          <t>UNIDADES 1–29</t>
        </is>
      </c>
      <c r="O4" s="41" t="inlineStr">
        <is>
          <t>DECENAS 30–90</t>
        </is>
      </c>
    </row>
    <row r="5">
      <c r="B5" s="15" t="inlineStr">
        <is>
          <t>Terreno</t>
        </is>
      </c>
      <c r="C5" s="25" t="inlineStr">
        <is>
          <t>m²</t>
        </is>
      </c>
      <c r="D5" s="78" t="n">
        <v>0</v>
      </c>
      <c r="E5" s="210">
        <f>COMBINACIONES_NPH!B19</f>
        <v/>
      </c>
      <c r="F5" s="202">
        <f>IFERROR(MROUND(D5*E5,100),0)</f>
        <v/>
      </c>
      <c r="H5" s="42" t="inlineStr">
        <is>
          <t>Valor total (entero)</t>
        </is>
      </c>
      <c r="I5" s="43">
        <f>ROUND(F22,0)</f>
        <v/>
      </c>
      <c r="N5" s="79" t="inlineStr">
        <is>
          <t>UNO</t>
        </is>
      </c>
      <c r="O5" s="79" t="inlineStr">
        <is>
          <t>TREINTA</t>
        </is>
      </c>
    </row>
    <row r="6">
      <c r="H6" s="42" t="inlineStr">
        <is>
          <t>Millones totales</t>
        </is>
      </c>
      <c r="I6" s="43">
        <f>INT(I5/10^6)</f>
        <v/>
      </c>
      <c r="N6" s="79" t="inlineStr">
        <is>
          <t>DOS</t>
        </is>
      </c>
      <c r="O6" s="79" t="inlineStr">
        <is>
          <t>CUARENTA</t>
        </is>
      </c>
    </row>
    <row r="7" ht="15" customHeight="1" s="54">
      <c r="B7" s="58" t="inlineStr">
        <is>
          <t>CONSTRUCCIONES Y ANEXOS DEL INMUEBLE OBJETO (desde DEPRECIACIÓN)</t>
        </is>
      </c>
      <c r="C7" s="188" t="n"/>
      <c r="D7" s="188" t="n"/>
      <c r="E7" s="188" t="n"/>
      <c r="F7" s="188" t="n"/>
      <c r="H7" s="42" t="inlineStr">
        <is>
          <t>Bloque miles de millones</t>
        </is>
      </c>
      <c r="I7" s="43">
        <f>INT(I6/1000)</f>
        <v/>
      </c>
      <c r="J7" s="42">
        <f>IF(I7=0,"",IF(I7=100,"CIEN",TRIM(CHOOSE(INT(I7/100)+1,"","CIENTO ","DOSCIENTOS ","TRESCIENTOS ","CUATROCIENTOS ","QUINIENTOS ","SEISCIENTOS ","SETECIENTOS ","OCHOCIENTOS ","NOVECIENTOS ")&amp;IF(MOD(I7,100)=0,"",IF(MOD(I7,100)&lt;30,INDEX($N$5:$N$33,MOD(I7,100)),INDEX($O$5:$O$11,INT(MOD(I7,100)/10)-2)&amp;IF(MOD(I7,10)=0,""," Y "&amp;INDEX($N$5:$N$13,MOD(I7,10))))))))</f>
        <v/>
      </c>
      <c r="K7" s="42">
        <f>IF(RIGHT(J7,9)="VEINTIUNO",LEFT(J7,LEN(J7)-9)&amp;"VEINTIÚN",IF(RIGHT(J7,3)="UNO",LEFT(J7,LEN(J7)-1),J7))</f>
        <v/>
      </c>
      <c r="N7" s="79" t="inlineStr">
        <is>
          <t>TRES</t>
        </is>
      </c>
      <c r="O7" s="79" t="inlineStr">
        <is>
          <t>CINCUENTA</t>
        </is>
      </c>
    </row>
    <row r="8">
      <c r="B8" s="13" t="inlineStr">
        <is>
          <t>DESCRIPCIÓN</t>
        </is>
      </c>
      <c r="C8" s="13" t="inlineStr">
        <is>
          <t>UNIDAD</t>
        </is>
      </c>
      <c r="D8" s="13" t="inlineStr">
        <is>
          <t>CANTIDAD</t>
        </is>
      </c>
      <c r="E8" s="13" t="inlineStr">
        <is>
          <t>VALOR UNITARIO</t>
        </is>
      </c>
      <c r="F8" s="13" t="inlineStr">
        <is>
          <t>VALOR TOTAL</t>
        </is>
      </c>
      <c r="H8" s="42" t="inlineStr">
        <is>
          <t>Bloque millones</t>
        </is>
      </c>
      <c r="I8" s="43">
        <f>MOD(I6,1000)</f>
        <v/>
      </c>
      <c r="J8" s="42">
        <f>IF(I8=0,"",IF(I8=100,"CIEN",TRIM(CHOOSE(INT(I8/100)+1,"","CIENTO ","DOSCIENTOS ","TRESCIENTOS ","CUATROCIENTOS ","QUINIENTOS ","SEISCIENTOS ","SETECIENTOS ","OCHOCIENTOS ","NOVECIENTOS ")&amp;IF(MOD(I8,100)=0,"",IF(MOD(I8,100)&lt;30,INDEX($N$5:$N$33,MOD(I8,100)),INDEX($O$5:$O$11,INT(MOD(I8,100)/10)-2)&amp;IF(MOD(I8,10)=0,""," Y "&amp;INDEX($N$5:$N$13,MOD(I8,10))))))))</f>
        <v/>
      </c>
      <c r="K8" s="42">
        <f>IF(RIGHT(J8,9)="VEINTIUNO",LEFT(J8,LEN(J8)-9)&amp;"VEINTIÚN",IF(RIGHT(J8,3)="UNO",LEFT(J8,LEN(J8)-1),J8))</f>
        <v/>
      </c>
      <c r="N8" s="79" t="inlineStr">
        <is>
          <t>CUATRO</t>
        </is>
      </c>
      <c r="O8" s="79" t="inlineStr">
        <is>
          <t>SESENTA</t>
        </is>
      </c>
    </row>
    <row r="9">
      <c r="B9" s="44">
        <f>IFERROR(UPPER(INDEX(DEPRECIACIÓN!$B$5:$B$24,MATCH(1,DEPRECIACIÓN!$Q$5:$Q$24,0))),"")</f>
        <v/>
      </c>
      <c r="C9" s="25">
        <f>IF(B9="","","m²")</f>
        <v/>
      </c>
      <c r="D9" s="45">
        <f>IF(B9="","",INDEX(DEPRECIACIÓN!$O$5:$O$24,MATCH(1,DEPRECIACIÓN!$Q$5:$Q$24,0)))</f>
        <v/>
      </c>
      <c r="E9" s="202">
        <f>IF(B9="","",INDEX(DEPRECIACIÓN!$N$5:$N$24,MATCH(1,DEPRECIACIÓN!$Q$5:$Q$24,0)))</f>
        <v/>
      </c>
      <c r="F9" s="202">
        <f>IF(B9="","",MROUND(D9*E9,100))</f>
        <v/>
      </c>
      <c r="H9" s="42" t="inlineStr">
        <is>
          <t>Bloque miles</t>
        </is>
      </c>
      <c r="I9" s="43">
        <f>INT(MOD(I5,10^6)/1000)</f>
        <v/>
      </c>
      <c r="J9" s="42">
        <f>IF(I9=0,"",IF(I9=100,"CIEN",TRIM(CHOOSE(INT(I9/100)+1,"","CIENTO ","DOSCIENTOS ","TRESCIENTOS ","CUATROCIENTOS ","QUINIENTOS ","SEISCIENTOS ","SETECIENTOS ","OCHOCIENTOS ","NOVECIENTOS ")&amp;IF(MOD(I9,100)=0,"",IF(MOD(I9,100)&lt;30,INDEX($N$5:$N$33,MOD(I9,100)),INDEX($O$5:$O$11,INT(MOD(I9,100)/10)-2)&amp;IF(MOD(I9,10)=0,""," Y "&amp;INDEX($N$5:$N$13,MOD(I9,10))))))))</f>
        <v/>
      </c>
      <c r="K9" s="42">
        <f>IF(RIGHT(J9,9)="VEINTIUNO",LEFT(J9,LEN(J9)-9)&amp;"VEINTIÚN",IF(RIGHT(J9,3)="UNO",LEFT(J9,LEN(J9)-1),J9))</f>
        <v/>
      </c>
      <c r="N9" s="79" t="inlineStr">
        <is>
          <t>CINCO</t>
        </is>
      </c>
      <c r="O9" s="79" t="inlineStr">
        <is>
          <t>SETENTA</t>
        </is>
      </c>
    </row>
    <row r="10">
      <c r="B10" s="44">
        <f>IFERROR(UPPER(INDEX(DEPRECIACIÓN!$B$5:$B$24,MATCH(2,DEPRECIACIÓN!$Q$5:$Q$24,0))),"")</f>
        <v/>
      </c>
      <c r="C10" s="25">
        <f>IF(B10="","","m²")</f>
        <v/>
      </c>
      <c r="D10" s="45">
        <f>IF(B10="","",INDEX(DEPRECIACIÓN!$O$5:$O$24,MATCH(2,DEPRECIACIÓN!$Q$5:$Q$24,0)))</f>
        <v/>
      </c>
      <c r="E10" s="202">
        <f>IF(B10="","",INDEX(DEPRECIACIÓN!$N$5:$N$24,MATCH(2,DEPRECIACIÓN!$Q$5:$Q$24,0)))</f>
        <v/>
      </c>
      <c r="F10" s="202">
        <f>IF(B10="","",MROUND(D10*E10,100))</f>
        <v/>
      </c>
      <c r="H10" s="42" t="inlineStr">
        <is>
          <t>Bloque unidades</t>
        </is>
      </c>
      <c r="I10" s="43">
        <f>MOD(I5,1000)</f>
        <v/>
      </c>
      <c r="J10" s="42">
        <f>IF(I10=0,"",IF(I10=100,"CIEN",TRIM(CHOOSE(INT(I10/100)+1,"","CIENTO ","DOSCIENTOS ","TRESCIENTOS ","CUATROCIENTOS ","QUINIENTOS ","SEISCIENTOS ","SETECIENTOS ","OCHOCIENTOS ","NOVECIENTOS ")&amp;IF(MOD(I10,100)=0,"",IF(MOD(I10,100)&lt;30,INDEX($N$5:$N$33,MOD(I10,100)),INDEX($O$5:$O$11,INT(MOD(I10,100)/10)-2)&amp;IF(MOD(I10,10)=0,""," Y "&amp;INDEX($N$5:$N$13,MOD(I10,10))))))))</f>
        <v/>
      </c>
      <c r="N10" s="79" t="inlineStr">
        <is>
          <t>SEIS</t>
        </is>
      </c>
      <c r="O10" s="79" t="inlineStr">
        <is>
          <t>OCHENTA</t>
        </is>
      </c>
    </row>
    <row r="11">
      <c r="B11" s="44">
        <f>IFERROR(UPPER(INDEX(DEPRECIACIÓN!$B$5:$B$24,MATCH(3,DEPRECIACIÓN!$Q$5:$Q$24,0))),"")</f>
        <v/>
      </c>
      <c r="C11" s="25">
        <f>IF(B11="","","m²")</f>
        <v/>
      </c>
      <c r="D11" s="45">
        <f>IF(B11="","",INDEX(DEPRECIACIÓN!$O$5:$O$24,MATCH(3,DEPRECIACIÓN!$Q$5:$Q$24,0)))</f>
        <v/>
      </c>
      <c r="E11" s="202">
        <f>IF(B11="","",INDEX(DEPRECIACIÓN!$N$5:$N$24,MATCH(3,DEPRECIACIÓN!$Q$5:$Q$24,0)))</f>
        <v/>
      </c>
      <c r="F11" s="202">
        <f>IF(B11="","",MROUND(D11*E11,100))</f>
        <v/>
      </c>
      <c r="N11" s="79" t="inlineStr">
        <is>
          <t>SIETE</t>
        </is>
      </c>
      <c r="O11" s="79" t="inlineStr">
        <is>
          <t>NOVENTA</t>
        </is>
      </c>
    </row>
    <row r="12">
      <c r="B12" s="44">
        <f>IFERROR(UPPER(INDEX(DEPRECIACIÓN!$B$5:$B$24,MATCH(4,DEPRECIACIÓN!$Q$5:$Q$24,0))),"")</f>
        <v/>
      </c>
      <c r="C12" s="25">
        <f>IF(B12="","","m²")</f>
        <v/>
      </c>
      <c r="D12" s="45">
        <f>IF(B12="","",INDEX(DEPRECIACIÓN!$O$5:$O$24,MATCH(4,DEPRECIACIÓN!$Q$5:$Q$24,0)))</f>
        <v/>
      </c>
      <c r="E12" s="202">
        <f>IF(B12="","",INDEX(DEPRECIACIÓN!$N$5:$N$24,MATCH(4,DEPRECIACIÓN!$Q$5:$Q$24,0)))</f>
        <v/>
      </c>
      <c r="F12" s="202">
        <f>IF(B12="","",MROUND(D12*E12,100))</f>
        <v/>
      </c>
      <c r="N12" s="79" t="inlineStr">
        <is>
          <t>OCHO</t>
        </is>
      </c>
    </row>
    <row r="13">
      <c r="B13" s="44">
        <f>IFERROR(UPPER(INDEX(DEPRECIACIÓN!$B$5:$B$24,MATCH(5,DEPRECIACIÓN!$Q$5:$Q$24,0))),"")</f>
        <v/>
      </c>
      <c r="C13" s="25">
        <f>IF(B13="","","m²")</f>
        <v/>
      </c>
      <c r="D13" s="45">
        <f>IF(B13="","",INDEX(DEPRECIACIÓN!$O$5:$O$24,MATCH(5,DEPRECIACIÓN!$Q$5:$Q$24,0)))</f>
        <v/>
      </c>
      <c r="E13" s="202">
        <f>IF(B13="","",INDEX(DEPRECIACIÓN!$N$5:$N$24,MATCH(5,DEPRECIACIÓN!$Q$5:$Q$24,0)))</f>
        <v/>
      </c>
      <c r="F13" s="202">
        <f>IF(B13="","",MROUND(D13*E13,100))</f>
        <v/>
      </c>
      <c r="N13" s="79" t="inlineStr">
        <is>
          <t>NUEVE</t>
        </is>
      </c>
    </row>
    <row r="14">
      <c r="B14" s="44">
        <f>IFERROR(UPPER(INDEX(DEPRECIACIÓN!$B$5:$B$24,MATCH(6,DEPRECIACIÓN!$Q$5:$Q$24,0))),"")</f>
        <v/>
      </c>
      <c r="C14" s="25">
        <f>IF(B14="","","m²")</f>
        <v/>
      </c>
      <c r="D14" s="45">
        <f>IF(B14="","",INDEX(DEPRECIACIÓN!$O$5:$O$24,MATCH(6,DEPRECIACIÓN!$Q$5:$Q$24,0)))</f>
        <v/>
      </c>
      <c r="E14" s="202">
        <f>IF(B14="","",INDEX(DEPRECIACIÓN!$N$5:$N$24,MATCH(6,DEPRECIACIÓN!$Q$5:$Q$24,0)))</f>
        <v/>
      </c>
      <c r="F14" s="202">
        <f>IF(B14="","",MROUND(D14*E14,100))</f>
        <v/>
      </c>
      <c r="N14" s="79" t="inlineStr">
        <is>
          <t>DIEZ</t>
        </is>
      </c>
    </row>
    <row r="15">
      <c r="B15" s="44">
        <f>IFERROR(UPPER(INDEX(DEPRECIACIÓN!$B$5:$B$24,MATCH(7,DEPRECIACIÓN!$Q$5:$Q$24,0))),"")</f>
        <v/>
      </c>
      <c r="C15" s="25">
        <f>IF(B15="","","m²")</f>
        <v/>
      </c>
      <c r="D15" s="45">
        <f>IF(B15="","",INDEX(DEPRECIACIÓN!$O$5:$O$24,MATCH(7,DEPRECIACIÓN!$Q$5:$Q$24,0)))</f>
        <v/>
      </c>
      <c r="E15" s="202">
        <f>IF(B15="","",INDEX(DEPRECIACIÓN!$N$5:$N$24,MATCH(7,DEPRECIACIÓN!$Q$5:$Q$24,0)))</f>
        <v/>
      </c>
      <c r="F15" s="202">
        <f>IF(B15="","",MROUND(D15*E15,100))</f>
        <v/>
      </c>
      <c r="N15" s="79" t="inlineStr">
        <is>
          <t>ONCE</t>
        </is>
      </c>
    </row>
    <row r="16">
      <c r="B16" s="44">
        <f>IFERROR(UPPER(INDEX(DEPRECIACIÓN!$B$5:$B$24,MATCH(8,DEPRECIACIÓN!$Q$5:$Q$24,0))),"")</f>
        <v/>
      </c>
      <c r="C16" s="25">
        <f>IF(B16="","","m²")</f>
        <v/>
      </c>
      <c r="D16" s="45">
        <f>IF(B16="","",INDEX(DEPRECIACIÓN!$O$5:$O$24,MATCH(8,DEPRECIACIÓN!$Q$5:$Q$24,0)))</f>
        <v/>
      </c>
      <c r="E16" s="202">
        <f>IF(B16="","",INDEX(DEPRECIACIÓN!$N$5:$N$24,MATCH(8,DEPRECIACIÓN!$Q$5:$Q$24,0)))</f>
        <v/>
      </c>
      <c r="F16" s="202">
        <f>IF(B16="","",MROUND(D16*E16,100))</f>
        <v/>
      </c>
      <c r="N16" s="79" t="inlineStr">
        <is>
          <t>DOCE</t>
        </is>
      </c>
    </row>
    <row r="17">
      <c r="B17" s="44">
        <f>IFERROR(UPPER(INDEX(DEPRECIACIÓN!$B$5:$B$24,MATCH(9,DEPRECIACIÓN!$Q$5:$Q$24,0))),"")</f>
        <v/>
      </c>
      <c r="C17" s="25">
        <f>IF(B17="","","m²")</f>
        <v/>
      </c>
      <c r="D17" s="45">
        <f>IF(B17="","",INDEX(DEPRECIACIÓN!$O$5:$O$24,MATCH(9,DEPRECIACIÓN!$Q$5:$Q$24,0)))</f>
        <v/>
      </c>
      <c r="E17" s="202">
        <f>IF(B17="","",INDEX(DEPRECIACIÓN!$N$5:$N$24,MATCH(9,DEPRECIACIÓN!$Q$5:$Q$24,0)))</f>
        <v/>
      </c>
      <c r="F17" s="202">
        <f>IF(B17="","",MROUND(D17*E17,100))</f>
        <v/>
      </c>
      <c r="N17" s="79" t="inlineStr">
        <is>
          <t>TRECE</t>
        </is>
      </c>
    </row>
    <row r="18">
      <c r="B18" s="44">
        <f>IFERROR(UPPER(INDEX(DEPRECIACIÓN!$B$5:$B$24,MATCH(10,DEPRECIACIÓN!$Q$5:$Q$24,0))),"")</f>
        <v/>
      </c>
      <c r="C18" s="25">
        <f>IF(B18="","","m²")</f>
        <v/>
      </c>
      <c r="D18" s="45">
        <f>IF(B18="","",INDEX(DEPRECIACIÓN!$O$5:$O$24,MATCH(10,DEPRECIACIÓN!$Q$5:$Q$24,0)))</f>
        <v/>
      </c>
      <c r="E18" s="202">
        <f>IF(B18="","",INDEX(DEPRECIACIÓN!$N$5:$N$24,MATCH(10,DEPRECIACIÓN!$Q$5:$Q$24,0)))</f>
        <v/>
      </c>
      <c r="F18" s="202">
        <f>IF(B18="","",MROUND(D18*E18,100))</f>
        <v/>
      </c>
      <c r="N18" s="79" t="inlineStr">
        <is>
          <t>CATORCE</t>
        </is>
      </c>
    </row>
    <row r="19" ht="15" customHeight="1" s="54">
      <c r="B19" s="6" t="inlineStr">
        <is>
          <t>VALOR TOTAL CONSTRUCCIONES Y ANEXOS</t>
        </is>
      </c>
      <c r="C19" s="188" t="n"/>
      <c r="D19" s="188" t="n"/>
      <c r="E19" s="188" t="n"/>
      <c r="F19" s="213">
        <f>MROUND(SUM(F9:F18),100)</f>
        <v/>
      </c>
      <c r="N19" s="79" t="inlineStr">
        <is>
          <t>QUINCE</t>
        </is>
      </c>
    </row>
    <row r="20" ht="15" customHeight="1" s="54">
      <c r="B20" s="59" t="inlineStr">
        <is>
          <t>Control: construcciones del objeto en DEPRECIACIÓN − total listado (debe ser 0)</t>
        </is>
      </c>
      <c r="C20" s="188" t="n"/>
      <c r="D20" s="188" t="n"/>
      <c r="E20" s="188" t="n"/>
      <c r="F20" s="214">
        <f>DEPRECIACIÓN!P28-SUM(F9:F18)</f>
        <v/>
      </c>
      <c r="N20" s="79" t="inlineStr">
        <is>
          <t>DIECISÉIS</t>
        </is>
      </c>
    </row>
    <row r="21">
      <c r="N21" s="79" t="inlineStr">
        <is>
          <t>DIECISIETE</t>
        </is>
      </c>
    </row>
    <row r="22" ht="15" customHeight="1" s="54">
      <c r="B22" s="60" t="inlineStr">
        <is>
          <t>VALOR TOTAL DEL AVALÚO</t>
        </is>
      </c>
      <c r="C22" s="188" t="n"/>
      <c r="D22" s="188" t="n"/>
      <c r="E22" s="188" t="n"/>
      <c r="F22" s="201">
        <f>IFERROR(MROUND(F5+F19,100),0)</f>
        <v/>
      </c>
      <c r="N22" s="79" t="inlineStr">
        <is>
          <t>DIECIOCHO</t>
        </is>
      </c>
    </row>
    <row r="23" ht="15" customHeight="1" s="54">
      <c r="B23" s="61" t="inlineStr">
        <is>
          <t>VALOR TOTAL EN LETRAS</t>
        </is>
      </c>
      <c r="C23" s="62">
        <f>TRIM(IF(I6=0,"",IF(I7=0,"",IF(I7=1,"",K7&amp;" ")&amp;"MIL ")&amp;IF(I8=0,"",K8&amp;" ")&amp;IF(I6=1,"MILLÓN ","MILLONES "))&amp;IF(I9=0,"",IF(I9=1,"",K9&amp;" ")&amp;"MIL ")&amp;J10)&amp;IF(I5=0,"CERO","")&amp;" PESOS MLV"</f>
        <v/>
      </c>
      <c r="D23" s="204" t="n"/>
      <c r="E23" s="204" t="n"/>
      <c r="F23" s="204" t="n"/>
      <c r="N23" s="79" t="inlineStr">
        <is>
          <t>DIECINUEVE</t>
        </is>
      </c>
    </row>
    <row r="24">
      <c r="B24" s="215" t="n"/>
      <c r="C24" s="205" t="n"/>
      <c r="N24" s="79" t="inlineStr">
        <is>
          <t>VEINTE</t>
        </is>
      </c>
    </row>
    <row r="25">
      <c r="B25" s="215" t="n"/>
      <c r="C25" s="205" t="n"/>
      <c r="N25" s="79" t="inlineStr">
        <is>
          <t>VEINTIUNO</t>
        </is>
      </c>
    </row>
    <row r="26">
      <c r="N26" s="79" t="inlineStr">
        <is>
          <t>VEINTIDÓS</t>
        </is>
      </c>
    </row>
    <row r="27" ht="15" customHeight="1" s="54">
      <c r="B27" s="3" t="inlineStr">
        <is>
          <t>Notas: (1) Digite el área de terreno del inmueble objeto (m²) en la celda amarilla; el valor unitario viene de COMBINACIONES_NPH (fuente seleccionada en B18). (2) Las construcciones del objeto son las filas de DEPRECIACIÓN sin No. de oferta (capacidad 10). (3) Totales redondeados a la centena. (4) Si el CV no cumple (COMBINACIONES_NPH, dictamen), el valor unitario no puede adoptarse como media (Art. 21).</t>
        </is>
      </c>
      <c r="C27" s="204" t="n"/>
      <c r="D27" s="204" t="n"/>
      <c r="E27" s="204" t="n"/>
      <c r="F27" s="204" t="n"/>
      <c r="N27" s="79" t="inlineStr">
        <is>
          <t>VEINTITRÉS</t>
        </is>
      </c>
    </row>
    <row r="28">
      <c r="B28" s="205" t="n"/>
      <c r="N28" s="79" t="inlineStr">
        <is>
          <t>VEINTICUATRO</t>
        </is>
      </c>
    </row>
    <row r="29">
      <c r="B29" s="205" t="n"/>
      <c r="N29" s="79" t="inlineStr">
        <is>
          <t>VEINTICINCO</t>
        </is>
      </c>
    </row>
    <row r="30">
      <c r="B30" s="205" t="n"/>
      <c r="N30" s="79" t="inlineStr">
        <is>
          <t>VEINTISÉIS</t>
        </is>
      </c>
    </row>
    <row r="31">
      <c r="N31" s="79" t="inlineStr">
        <is>
          <t>VEINTISIETE</t>
        </is>
      </c>
    </row>
    <row r="32">
      <c r="N32" s="79" t="inlineStr">
        <is>
          <t>VEINTIOCHO</t>
        </is>
      </c>
    </row>
    <row r="33">
      <c r="N33" s="79" t="inlineStr">
        <is>
          <t>VEINTINUEVE</t>
        </is>
      </c>
    </row>
  </sheetData>
  <mergeCells count="10">
    <mergeCell ref="B23:B25"/>
    <mergeCell ref="B7:F7"/>
    <mergeCell ref="B2:F2"/>
    <mergeCell ref="B3:F3"/>
    <mergeCell ref="B27:F30"/>
    <mergeCell ref="B20:E20"/>
    <mergeCell ref="B1:F1"/>
    <mergeCell ref="B19:E19"/>
    <mergeCell ref="C23:F25"/>
    <mergeCell ref="B22:E22"/>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D9D9D9"/>
    <outlinePr summaryBelow="1" summaryRight="1"/>
    <pageSetUpPr/>
  </sheetPr>
  <dimension ref="A1:Q410"/>
  <sheetViews>
    <sheetView showGridLines="0" topLeftCell="A19" zoomScaleNormal="100" workbookViewId="0">
      <selection activeCell="A1" sqref="A1"/>
    </sheetView>
  </sheetViews>
  <sheetFormatPr baseColWidth="10" defaultColWidth="8.6640625" defaultRowHeight="14.4"/>
  <cols>
    <col width="12" customWidth="1" style="54" min="1" max="9"/>
    <col width="12" customWidth="1" style="54" min="11" max="17"/>
  </cols>
  <sheetData>
    <row r="1">
      <c r="A1" s="40" t="inlineStr">
        <is>
          <t>CÁLCULO AUXILIAR DE COMBINACIONES (no editar) – MERCADO NPH: ofertas elegibles ordenadas por valor unitario y ventanas de ofertas consecutivas</t>
        </is>
      </c>
    </row>
    <row r="2">
      <c r="H2" t="inlineStr">
        <is>
          <t>Ofertas elegibles (m)</t>
        </is>
      </c>
      <c r="J2">
        <f>COUNT(J5:J34)</f>
        <v/>
      </c>
    </row>
    <row r="3">
      <c r="H3" t="inlineStr">
        <is>
          <t>CV muestra completa</t>
        </is>
      </c>
      <c r="J3" s="52">
        <f>IFERROR('MERCADO NPH'!P44+0,0)</f>
        <v/>
      </c>
    </row>
    <row r="4" ht="36" customHeight="1" s="54">
      <c r="A4" s="13" t="inlineStr">
        <is>
          <t>Casilla</t>
        </is>
      </c>
      <c r="B4" s="13" t="inlineStr">
        <is>
          <t>Valor</t>
        </is>
      </c>
      <c r="C4" s="13" t="inlineStr">
        <is>
          <t>No. oferta</t>
        </is>
      </c>
      <c r="D4" s="13" t="inlineStr">
        <is>
          <t>Elegible</t>
        </is>
      </c>
      <c r="E4" s="13" t="inlineStr">
        <is>
          <t>Clave</t>
        </is>
      </c>
      <c r="F4" s="13" t="inlineStr">
        <is>
          <t>Rango</t>
        </is>
      </c>
      <c r="G4" s="13" t="inlineStr">
        <is>
          <t>Orden</t>
        </is>
      </c>
      <c r="H4" s="13" t="inlineStr">
        <is>
          <t>No. oferta (ord.)</t>
        </is>
      </c>
      <c r="I4" s="13" t="inlineStr">
        <is>
          <t>Valor (ord.)</t>
        </is>
      </c>
      <c r="K4" s="13" t="inlineStr">
        <is>
          <t>Inicio (s)</t>
        </is>
      </c>
      <c r="L4" s="13" t="inlineStr">
        <is>
          <t>Nº ofertas (k)</t>
        </is>
      </c>
      <c r="M4" s="13" t="inlineStr">
        <is>
          <t>Válida</t>
        </is>
      </c>
      <c r="N4" s="13" t="inlineStr">
        <is>
          <t>CV</t>
        </is>
      </c>
      <c r="O4" s="13" t="inlineStr">
        <is>
          <t>Cumple CV</t>
        </is>
      </c>
      <c r="P4" s="13" t="inlineStr">
        <is>
          <t>Clave orden</t>
        </is>
      </c>
      <c r="Q4" s="13" t="inlineStr">
        <is>
          <t>Texto acumulado No.</t>
        </is>
      </c>
    </row>
    <row r="5">
      <c r="A5" t="n">
        <v>1</v>
      </c>
      <c r="B5" s="216">
        <f>'MERCADO NPH'!AA9</f>
        <v/>
      </c>
      <c r="C5">
        <f>IF(ISNUMBER(B5),'MERCADO NPH'!A9,"")</f>
        <v/>
      </c>
      <c r="D5">
        <f>IF(NOT(ISNUMBER(B5)),0,IF(OR(COMBINACIONES_NPH!$B$6="NO",$J$3&lt;=COMBINACIONES_NPH!$B$5),1,IF(AND(B5&gt;=COMBINACIONES_NPH!$B$3,B5&lt;=COMBINACIONES_NPH!$B$4),1,0)))</f>
        <v/>
      </c>
      <c r="E5">
        <f>IF(D5=1,B5+A5*0.000000001,"")</f>
        <v/>
      </c>
      <c r="F5">
        <f>IF(D5=1,COUNTIF($E$5:$E$34,"&lt;"&amp;E5)+1,"")</f>
        <v/>
      </c>
      <c r="G5" t="n">
        <v>1</v>
      </c>
      <c r="H5">
        <f>IFERROR(INDEX($C$5:$C$34,MATCH(SMALL($E$5:$E$34,G5),$E$5:$E$34,0)),"")</f>
        <v/>
      </c>
      <c r="I5" s="216">
        <f>IFERROR(INDEX($B$5:$B$34,MATCH(SMALL($E$5:$E$34,G5),$E$5:$E$34,0)),"")</f>
        <v/>
      </c>
      <c r="J5" s="216">
        <f>I5</f>
        <v/>
      </c>
      <c r="K5" t="n">
        <v>1</v>
      </c>
      <c r="L5" t="n">
        <v>3</v>
      </c>
      <c r="M5">
        <f>IF(AND(L5&gt;=COMBINACIONES_NPH!$B$9,K5+L5-1&lt;=$J$2),1,0)</f>
        <v/>
      </c>
      <c r="N5">
        <f>IF(M5=1,_xlfn.STDEV.S(INDEX($J$5:$J$34,K5):INDEX($J$5:$J$34,K5+L5-1))/AVERAGE(INDEX($J$5:$J$34,K5):INDEX($J$5:$J$34,K5+L5-1)),"")</f>
        <v/>
      </c>
      <c r="O5">
        <f>IF(M5=1,IF(N5&lt;=COMBINACIONES_NPH!$B$5,1,0),"")</f>
        <v/>
      </c>
      <c r="P5">
        <f>IF(M5=1,IF(O5=1,-L5,100)+N5+ROW()*0.000000000001,"")</f>
        <v/>
      </c>
      <c r="Q5">
        <f>IF(H5="","",H5&amp;"")</f>
        <v/>
      </c>
    </row>
    <row r="6">
      <c r="A6" t="n">
        <v>2</v>
      </c>
      <c r="B6" s="216">
        <f>'MERCADO NPH'!AA10</f>
        <v/>
      </c>
      <c r="C6">
        <f>IF(ISNUMBER(B6),'MERCADO NPH'!A10,"")</f>
        <v/>
      </c>
      <c r="D6">
        <f>IF(NOT(ISNUMBER(B6)),0,IF(OR(COMBINACIONES_NPH!$B$6="NO",$J$3&lt;=COMBINACIONES_NPH!$B$5),1,IF(AND(B6&gt;=COMBINACIONES_NPH!$B$3,B6&lt;=COMBINACIONES_NPH!$B$4),1,0)))</f>
        <v/>
      </c>
      <c r="E6">
        <f>IF(D6=1,B6+A6*0.000000001,"")</f>
        <v/>
      </c>
      <c r="F6">
        <f>IF(D6=1,COUNTIF($E$5:$E$34,"&lt;"&amp;E6)+1,"")</f>
        <v/>
      </c>
      <c r="G6" t="n">
        <v>2</v>
      </c>
      <c r="H6">
        <f>IFERROR(INDEX($C$5:$C$34,MATCH(SMALL($E$5:$E$34,G6),$E$5:$E$34,0)),"")</f>
        <v/>
      </c>
      <c r="I6" s="216">
        <f>IFERROR(INDEX($B$5:$B$34,MATCH(SMALL($E$5:$E$34,G6),$E$5:$E$34,0)),"")</f>
        <v/>
      </c>
      <c r="J6" s="216">
        <f>I6</f>
        <v/>
      </c>
      <c r="K6" t="n">
        <v>1</v>
      </c>
      <c r="L6" t="n">
        <v>4</v>
      </c>
      <c r="M6">
        <f>IF(AND(L6&gt;=COMBINACIONES_NPH!$B$9,K6+L6-1&lt;=$J$2),1,0)</f>
        <v/>
      </c>
      <c r="N6">
        <f>IF(M6=1,_xlfn.STDEV.S(INDEX($J$5:$J$34,K6):INDEX($J$5:$J$34,K6+L6-1))/AVERAGE(INDEX($J$5:$J$34,K6):INDEX($J$5:$J$34,K6+L6-1)),"")</f>
        <v/>
      </c>
      <c r="O6">
        <f>IF(M6=1,IF(N6&lt;=COMBINACIONES_NPH!$B$5,1,0),"")</f>
        <v/>
      </c>
      <c r="P6">
        <f>IF(M6=1,IF(O6=1,-L6,100)+N6+ROW()*0.000000000001,"")</f>
        <v/>
      </c>
      <c r="Q6">
        <f>IF(H6="","",Q5&amp;", "&amp;H6)</f>
        <v/>
      </c>
    </row>
    <row r="7">
      <c r="A7" t="n">
        <v>3</v>
      </c>
      <c r="B7">
        <f>'MERCADO NPH'!AA11</f>
        <v/>
      </c>
      <c r="C7">
        <f>IF(ISNUMBER(B7),'MERCADO NPH'!A11,"")</f>
        <v/>
      </c>
      <c r="D7">
        <f>IF(NOT(ISNUMBER(B7)),0,IF(OR(COMBINACIONES_NPH!$B$6="NO",$J$3&lt;=COMBINACIONES_NPH!$B$5),1,IF(AND(B7&gt;=COMBINACIONES_NPH!$B$3,B7&lt;=COMBINACIONES_NPH!$B$4),1,0)))</f>
        <v/>
      </c>
      <c r="E7">
        <f>IF(D7=1,B7+A7*0.000000001,"")</f>
        <v/>
      </c>
      <c r="F7">
        <f>IF(D7=1,COUNTIF($E$5:$E$34,"&lt;"&amp;E7)+1,"")</f>
        <v/>
      </c>
      <c r="G7" t="n">
        <v>3</v>
      </c>
      <c r="H7">
        <f>IFERROR(INDEX($C$5:$C$34,MATCH(SMALL($E$5:$E$34,G7),$E$5:$E$34,0)),"")</f>
        <v/>
      </c>
      <c r="I7">
        <f>IFERROR(INDEX($B$5:$B$34,MATCH(SMALL($E$5:$E$34,G7),$E$5:$E$34,0)),"")</f>
        <v/>
      </c>
      <c r="J7">
        <f>I7</f>
        <v/>
      </c>
      <c r="K7" t="n">
        <v>1</v>
      </c>
      <c r="L7" t="n">
        <v>5</v>
      </c>
      <c r="M7">
        <f>IF(AND(L7&gt;=COMBINACIONES_NPH!$B$9,K7+L7-1&lt;=$J$2),1,0)</f>
        <v/>
      </c>
      <c r="N7">
        <f>IF(M7=1,_xlfn.STDEV.S(INDEX($J$5:$J$34,K7):INDEX($J$5:$J$34,K7+L7-1))/AVERAGE(INDEX($J$5:$J$34,K7):INDEX($J$5:$J$34,K7+L7-1)),"")</f>
        <v/>
      </c>
      <c r="O7">
        <f>IF(M7=1,IF(N7&lt;=COMBINACIONES_NPH!$B$5,1,0),"")</f>
        <v/>
      </c>
      <c r="P7">
        <f>IF(M7=1,IF(O7=1,-L7,100)+N7+ROW()*0.000000000001,"")</f>
        <v/>
      </c>
      <c r="Q7">
        <f>IF(H7="","",Q6&amp;", "&amp;H7)</f>
        <v/>
      </c>
    </row>
    <row r="8">
      <c r="A8" t="n">
        <v>4</v>
      </c>
      <c r="B8">
        <f>'MERCADO NPH'!AA12</f>
        <v/>
      </c>
      <c r="C8">
        <f>IF(ISNUMBER(B8),'MERCADO NPH'!A12,"")</f>
        <v/>
      </c>
      <c r="D8">
        <f>IF(NOT(ISNUMBER(B8)),0,IF(OR(COMBINACIONES_NPH!$B$6="NO",$J$3&lt;=COMBINACIONES_NPH!$B$5),1,IF(AND(B8&gt;=COMBINACIONES_NPH!$B$3,B8&lt;=COMBINACIONES_NPH!$B$4),1,0)))</f>
        <v/>
      </c>
      <c r="E8">
        <f>IF(D8=1,B8+A8*0.000000001,"")</f>
        <v/>
      </c>
      <c r="F8">
        <f>IF(D8=1,COUNTIF($E$5:$E$34,"&lt;"&amp;E8)+1,"")</f>
        <v/>
      </c>
      <c r="G8" t="n">
        <v>4</v>
      </c>
      <c r="H8">
        <f>IFERROR(INDEX($C$5:$C$34,MATCH(SMALL($E$5:$E$34,G8),$E$5:$E$34,0)),"")</f>
        <v/>
      </c>
      <c r="I8">
        <f>IFERROR(INDEX($B$5:$B$34,MATCH(SMALL($E$5:$E$34,G8),$E$5:$E$34,0)),"")</f>
        <v/>
      </c>
      <c r="J8">
        <f>I8</f>
        <v/>
      </c>
      <c r="K8" t="n">
        <v>1</v>
      </c>
      <c r="L8" t="n">
        <v>6</v>
      </c>
      <c r="M8">
        <f>IF(AND(L8&gt;=COMBINACIONES_NPH!$B$9,K8+L8-1&lt;=$J$2),1,0)</f>
        <v/>
      </c>
      <c r="N8">
        <f>IF(M8=1,_xlfn.STDEV.S(INDEX($J$5:$J$34,K8):INDEX($J$5:$J$34,K8+L8-1))/AVERAGE(INDEX($J$5:$J$34,K8):INDEX($J$5:$J$34,K8+L8-1)),"")</f>
        <v/>
      </c>
      <c r="O8">
        <f>IF(M8=1,IF(N8&lt;=COMBINACIONES_NPH!$B$5,1,0),"")</f>
        <v/>
      </c>
      <c r="P8">
        <f>IF(M8=1,IF(O8=1,-L8,100)+N8+ROW()*0.000000000001,"")</f>
        <v/>
      </c>
      <c r="Q8">
        <f>IF(H8="","",Q7&amp;", "&amp;H8)</f>
        <v/>
      </c>
    </row>
    <row r="9">
      <c r="A9" t="n">
        <v>5</v>
      </c>
      <c r="B9">
        <f>'MERCADO NPH'!AA13</f>
        <v/>
      </c>
      <c r="C9">
        <f>IF(ISNUMBER(B9),'MERCADO NPH'!A13,"")</f>
        <v/>
      </c>
      <c r="D9">
        <f>IF(NOT(ISNUMBER(B9)),0,IF(OR(COMBINACIONES_NPH!$B$6="NO",$J$3&lt;=COMBINACIONES_NPH!$B$5),1,IF(AND(B9&gt;=COMBINACIONES_NPH!$B$3,B9&lt;=COMBINACIONES_NPH!$B$4),1,0)))</f>
        <v/>
      </c>
      <c r="E9">
        <f>IF(D9=1,B9+A9*0.000000001,"")</f>
        <v/>
      </c>
      <c r="F9">
        <f>IF(D9=1,COUNTIF($E$5:$E$34,"&lt;"&amp;E9)+1,"")</f>
        <v/>
      </c>
      <c r="G9" t="n">
        <v>5</v>
      </c>
      <c r="H9">
        <f>IFERROR(INDEX($C$5:$C$34,MATCH(SMALL($E$5:$E$34,G9),$E$5:$E$34,0)),"")</f>
        <v/>
      </c>
      <c r="I9">
        <f>IFERROR(INDEX($B$5:$B$34,MATCH(SMALL($E$5:$E$34,G9),$E$5:$E$34,0)),"")</f>
        <v/>
      </c>
      <c r="J9">
        <f>I9</f>
        <v/>
      </c>
      <c r="K9" t="n">
        <v>1</v>
      </c>
      <c r="L9" t="n">
        <v>7</v>
      </c>
      <c r="M9">
        <f>IF(AND(L9&gt;=COMBINACIONES_NPH!$B$9,K9+L9-1&lt;=$J$2),1,0)</f>
        <v/>
      </c>
      <c r="N9">
        <f>IF(M9=1,_xlfn.STDEV.S(INDEX($J$5:$J$34,K9):INDEX($J$5:$J$34,K9+L9-1))/AVERAGE(INDEX($J$5:$J$34,K9):INDEX($J$5:$J$34,K9+L9-1)),"")</f>
        <v/>
      </c>
      <c r="O9">
        <f>IF(M9=1,IF(N9&lt;=COMBINACIONES_NPH!$B$5,1,0),"")</f>
        <v/>
      </c>
      <c r="P9">
        <f>IF(M9=1,IF(O9=1,-L9,100)+N9+ROW()*0.000000000001,"")</f>
        <v/>
      </c>
      <c r="Q9">
        <f>IF(H9="","",Q8&amp;", "&amp;H9)</f>
        <v/>
      </c>
    </row>
    <row r="10">
      <c r="A10" t="n">
        <v>6</v>
      </c>
      <c r="B10">
        <f>'MERCADO NPH'!AA14</f>
        <v/>
      </c>
      <c r="C10">
        <f>IF(ISNUMBER(B10),'MERCADO NPH'!A14,"")</f>
        <v/>
      </c>
      <c r="D10">
        <f>IF(NOT(ISNUMBER(B10)),0,IF(OR(COMBINACIONES_NPH!$B$6="NO",$J$3&lt;=COMBINACIONES_NPH!$B$5),1,IF(AND(B10&gt;=COMBINACIONES_NPH!$B$3,B10&lt;=COMBINACIONES_NPH!$B$4),1,0)))</f>
        <v/>
      </c>
      <c r="E10">
        <f>IF(D10=1,B10+A10*0.000000001,"")</f>
        <v/>
      </c>
      <c r="F10">
        <f>IF(D10=1,COUNTIF($E$5:$E$34,"&lt;"&amp;E10)+1,"")</f>
        <v/>
      </c>
      <c r="G10" t="n">
        <v>6</v>
      </c>
      <c r="H10">
        <f>IFERROR(INDEX($C$5:$C$34,MATCH(SMALL($E$5:$E$34,G10),$E$5:$E$34,0)),"")</f>
        <v/>
      </c>
      <c r="I10">
        <f>IFERROR(INDEX($B$5:$B$34,MATCH(SMALL($E$5:$E$34,G10),$E$5:$E$34,0)),"")</f>
        <v/>
      </c>
      <c r="J10">
        <f>I10</f>
        <v/>
      </c>
      <c r="K10" t="n">
        <v>1</v>
      </c>
      <c r="L10" t="n">
        <v>8</v>
      </c>
      <c r="M10">
        <f>IF(AND(L10&gt;=COMBINACIONES_NPH!$B$9,K10+L10-1&lt;=$J$2),1,0)</f>
        <v/>
      </c>
      <c r="N10">
        <f>IF(M10=1,_xlfn.STDEV.S(INDEX($J$5:$J$34,K10):INDEX($J$5:$J$34,K10+L10-1))/AVERAGE(INDEX($J$5:$J$34,K10):INDEX($J$5:$J$34,K10+L10-1)),"")</f>
        <v/>
      </c>
      <c r="O10">
        <f>IF(M10=1,IF(N10&lt;=COMBINACIONES_NPH!$B$5,1,0),"")</f>
        <v/>
      </c>
      <c r="P10">
        <f>IF(M10=1,IF(O10=1,-L10,100)+N10+ROW()*0.000000000001,"")</f>
        <v/>
      </c>
      <c r="Q10">
        <f>IF(H10="","",Q9&amp;", "&amp;H10)</f>
        <v/>
      </c>
    </row>
    <row r="11">
      <c r="A11" t="n">
        <v>7</v>
      </c>
      <c r="B11">
        <f>'MERCADO NPH'!AA15</f>
        <v/>
      </c>
      <c r="C11">
        <f>IF(ISNUMBER(B11),'MERCADO NPH'!A15,"")</f>
        <v/>
      </c>
      <c r="D11">
        <f>IF(NOT(ISNUMBER(B11)),0,IF(OR(COMBINACIONES_NPH!$B$6="NO",$J$3&lt;=COMBINACIONES_NPH!$B$5),1,IF(AND(B11&gt;=COMBINACIONES_NPH!$B$3,B11&lt;=COMBINACIONES_NPH!$B$4),1,0)))</f>
        <v/>
      </c>
      <c r="E11">
        <f>IF(D11=1,B11+A11*0.000000001,"")</f>
        <v/>
      </c>
      <c r="F11">
        <f>IF(D11=1,COUNTIF($E$5:$E$34,"&lt;"&amp;E11)+1,"")</f>
        <v/>
      </c>
      <c r="G11" t="n">
        <v>7</v>
      </c>
      <c r="H11">
        <f>IFERROR(INDEX($C$5:$C$34,MATCH(SMALL($E$5:$E$34,G11),$E$5:$E$34,0)),"")</f>
        <v/>
      </c>
      <c r="I11">
        <f>IFERROR(INDEX($B$5:$B$34,MATCH(SMALL($E$5:$E$34,G11),$E$5:$E$34,0)),"")</f>
        <v/>
      </c>
      <c r="J11">
        <f>I11</f>
        <v/>
      </c>
      <c r="K11" t="n">
        <v>1</v>
      </c>
      <c r="L11" t="n">
        <v>9</v>
      </c>
      <c r="M11">
        <f>IF(AND(L11&gt;=COMBINACIONES_NPH!$B$9,K11+L11-1&lt;=$J$2),1,0)</f>
        <v/>
      </c>
      <c r="N11">
        <f>IF(M11=1,_xlfn.STDEV.S(INDEX($J$5:$J$34,K11):INDEX($J$5:$J$34,K11+L11-1))/AVERAGE(INDEX($J$5:$J$34,K11):INDEX($J$5:$J$34,K11+L11-1)),"")</f>
        <v/>
      </c>
      <c r="O11">
        <f>IF(M11=1,IF(N11&lt;=COMBINACIONES_NPH!$B$5,1,0),"")</f>
        <v/>
      </c>
      <c r="P11">
        <f>IF(M11=1,IF(O11=1,-L11,100)+N11+ROW()*0.000000000001,"")</f>
        <v/>
      </c>
      <c r="Q11">
        <f>IF(H11="","",Q10&amp;", "&amp;H11)</f>
        <v/>
      </c>
    </row>
    <row r="12">
      <c r="A12" t="n">
        <v>8</v>
      </c>
      <c r="B12">
        <f>'MERCADO NPH'!AA16</f>
        <v/>
      </c>
      <c r="C12">
        <f>IF(ISNUMBER(B12),'MERCADO NPH'!A16,"")</f>
        <v/>
      </c>
      <c r="D12">
        <f>IF(NOT(ISNUMBER(B12)),0,IF(OR(COMBINACIONES_NPH!$B$6="NO",$J$3&lt;=COMBINACIONES_NPH!$B$5),1,IF(AND(B12&gt;=COMBINACIONES_NPH!$B$3,B12&lt;=COMBINACIONES_NPH!$B$4),1,0)))</f>
        <v/>
      </c>
      <c r="E12">
        <f>IF(D12=1,B12+A12*0.000000001,"")</f>
        <v/>
      </c>
      <c r="F12">
        <f>IF(D12=1,COUNTIF($E$5:$E$34,"&lt;"&amp;E12)+1,"")</f>
        <v/>
      </c>
      <c r="G12" t="n">
        <v>8</v>
      </c>
      <c r="H12">
        <f>IFERROR(INDEX($C$5:$C$34,MATCH(SMALL($E$5:$E$34,G12),$E$5:$E$34,0)),"")</f>
        <v/>
      </c>
      <c r="I12">
        <f>IFERROR(INDEX($B$5:$B$34,MATCH(SMALL($E$5:$E$34,G12),$E$5:$E$34,0)),"")</f>
        <v/>
      </c>
      <c r="J12">
        <f>I12</f>
        <v/>
      </c>
      <c r="K12" t="n">
        <v>1</v>
      </c>
      <c r="L12" t="n">
        <v>10</v>
      </c>
      <c r="M12">
        <f>IF(AND(L12&gt;=COMBINACIONES_NPH!$B$9,K12+L12-1&lt;=$J$2),1,0)</f>
        <v/>
      </c>
      <c r="N12">
        <f>IF(M12=1,_xlfn.STDEV.S(INDEX($J$5:$J$34,K12):INDEX($J$5:$J$34,K12+L12-1))/AVERAGE(INDEX($J$5:$J$34,K12):INDEX($J$5:$J$34,K12+L12-1)),"")</f>
        <v/>
      </c>
      <c r="O12">
        <f>IF(M12=1,IF(N12&lt;=COMBINACIONES_NPH!$B$5,1,0),"")</f>
        <v/>
      </c>
      <c r="P12">
        <f>IF(M12=1,IF(O12=1,-L12,100)+N12+ROW()*0.000000000001,"")</f>
        <v/>
      </c>
      <c r="Q12">
        <f>IF(H12="","",Q11&amp;", "&amp;H12)</f>
        <v/>
      </c>
    </row>
    <row r="13">
      <c r="A13" t="n">
        <v>9</v>
      </c>
      <c r="B13">
        <f>'MERCADO NPH'!AA17</f>
        <v/>
      </c>
      <c r="C13">
        <f>IF(ISNUMBER(B13),'MERCADO NPH'!A17,"")</f>
        <v/>
      </c>
      <c r="D13">
        <f>IF(NOT(ISNUMBER(B13)),0,IF(OR(COMBINACIONES_NPH!$B$6="NO",$J$3&lt;=COMBINACIONES_NPH!$B$5),1,IF(AND(B13&gt;=COMBINACIONES_NPH!$B$3,B13&lt;=COMBINACIONES_NPH!$B$4),1,0)))</f>
        <v/>
      </c>
      <c r="E13">
        <f>IF(D13=1,B13+A13*0.000000001,"")</f>
        <v/>
      </c>
      <c r="F13">
        <f>IF(D13=1,COUNTIF($E$5:$E$34,"&lt;"&amp;E13)+1,"")</f>
        <v/>
      </c>
      <c r="G13" t="n">
        <v>9</v>
      </c>
      <c r="H13">
        <f>IFERROR(INDEX($C$5:$C$34,MATCH(SMALL($E$5:$E$34,G13),$E$5:$E$34,0)),"")</f>
        <v/>
      </c>
      <c r="I13">
        <f>IFERROR(INDEX($B$5:$B$34,MATCH(SMALL($E$5:$E$34,G13),$E$5:$E$34,0)),"")</f>
        <v/>
      </c>
      <c r="J13">
        <f>I13</f>
        <v/>
      </c>
      <c r="K13" t="n">
        <v>1</v>
      </c>
      <c r="L13" t="n">
        <v>11</v>
      </c>
      <c r="M13">
        <f>IF(AND(L13&gt;=COMBINACIONES_NPH!$B$9,K13+L13-1&lt;=$J$2),1,0)</f>
        <v/>
      </c>
      <c r="N13">
        <f>IF(M13=1,_xlfn.STDEV.S(INDEX($J$5:$J$34,K13):INDEX($J$5:$J$34,K13+L13-1))/AVERAGE(INDEX($J$5:$J$34,K13):INDEX($J$5:$J$34,K13+L13-1)),"")</f>
        <v/>
      </c>
      <c r="O13">
        <f>IF(M13=1,IF(N13&lt;=COMBINACIONES_NPH!$B$5,1,0),"")</f>
        <v/>
      </c>
      <c r="P13">
        <f>IF(M13=1,IF(O13=1,-L13,100)+N13+ROW()*0.000000000001,"")</f>
        <v/>
      </c>
      <c r="Q13">
        <f>IF(H13="","",Q12&amp;", "&amp;H13)</f>
        <v/>
      </c>
    </row>
    <row r="14">
      <c r="A14" t="n">
        <v>10</v>
      </c>
      <c r="B14">
        <f>'MERCADO NPH'!AA18</f>
        <v/>
      </c>
      <c r="C14">
        <f>IF(ISNUMBER(B14),'MERCADO NPH'!A18,"")</f>
        <v/>
      </c>
      <c r="D14">
        <f>IF(NOT(ISNUMBER(B14)),0,IF(OR(COMBINACIONES_NPH!$B$6="NO",$J$3&lt;=COMBINACIONES_NPH!$B$5),1,IF(AND(B14&gt;=COMBINACIONES_NPH!$B$3,B14&lt;=COMBINACIONES_NPH!$B$4),1,0)))</f>
        <v/>
      </c>
      <c r="E14">
        <f>IF(D14=1,B14+A14*0.000000001,"")</f>
        <v/>
      </c>
      <c r="F14">
        <f>IF(D14=1,COUNTIF($E$5:$E$34,"&lt;"&amp;E14)+1,"")</f>
        <v/>
      </c>
      <c r="G14" t="n">
        <v>10</v>
      </c>
      <c r="H14">
        <f>IFERROR(INDEX($C$5:$C$34,MATCH(SMALL($E$5:$E$34,G14),$E$5:$E$34,0)),"")</f>
        <v/>
      </c>
      <c r="I14">
        <f>IFERROR(INDEX($B$5:$B$34,MATCH(SMALL($E$5:$E$34,G14),$E$5:$E$34,0)),"")</f>
        <v/>
      </c>
      <c r="J14">
        <f>I14</f>
        <v/>
      </c>
      <c r="K14" t="n">
        <v>1</v>
      </c>
      <c r="L14" t="n">
        <v>12</v>
      </c>
      <c r="M14">
        <f>IF(AND(L14&gt;=COMBINACIONES_NPH!$B$9,K14+L14-1&lt;=$J$2),1,0)</f>
        <v/>
      </c>
      <c r="N14">
        <f>IF(M14=1,_xlfn.STDEV.S(INDEX($J$5:$J$34,K14):INDEX($J$5:$J$34,K14+L14-1))/AVERAGE(INDEX($J$5:$J$34,K14):INDEX($J$5:$J$34,K14+L14-1)),"")</f>
        <v/>
      </c>
      <c r="O14">
        <f>IF(M14=1,IF(N14&lt;=COMBINACIONES_NPH!$B$5,1,0),"")</f>
        <v/>
      </c>
      <c r="P14">
        <f>IF(M14=1,IF(O14=1,-L14,100)+N14+ROW()*0.000000000001,"")</f>
        <v/>
      </c>
      <c r="Q14">
        <f>IF(H14="","",Q13&amp;", "&amp;H14)</f>
        <v/>
      </c>
    </row>
    <row r="15">
      <c r="A15" t="n">
        <v>11</v>
      </c>
      <c r="B15">
        <f>'MERCADO NPH'!AA19</f>
        <v/>
      </c>
      <c r="C15">
        <f>IF(ISNUMBER(B15),'MERCADO NPH'!A19,"")</f>
        <v/>
      </c>
      <c r="D15">
        <f>IF(NOT(ISNUMBER(B15)),0,IF(OR(COMBINACIONES_NPH!$B$6="NO",$J$3&lt;=COMBINACIONES_NPH!$B$5),1,IF(AND(B15&gt;=COMBINACIONES_NPH!$B$3,B15&lt;=COMBINACIONES_NPH!$B$4),1,0)))</f>
        <v/>
      </c>
      <c r="E15">
        <f>IF(D15=1,B15+A15*0.000000001,"")</f>
        <v/>
      </c>
      <c r="F15">
        <f>IF(D15=1,COUNTIF($E$5:$E$34,"&lt;"&amp;E15)+1,"")</f>
        <v/>
      </c>
      <c r="G15" t="n">
        <v>11</v>
      </c>
      <c r="H15">
        <f>IFERROR(INDEX($C$5:$C$34,MATCH(SMALL($E$5:$E$34,G15),$E$5:$E$34,0)),"")</f>
        <v/>
      </c>
      <c r="I15">
        <f>IFERROR(INDEX($B$5:$B$34,MATCH(SMALL($E$5:$E$34,G15),$E$5:$E$34,0)),"")</f>
        <v/>
      </c>
      <c r="J15">
        <f>I15</f>
        <v/>
      </c>
      <c r="K15" t="n">
        <v>1</v>
      </c>
      <c r="L15" t="n">
        <v>13</v>
      </c>
      <c r="M15">
        <f>IF(AND(L15&gt;=COMBINACIONES_NPH!$B$9,K15+L15-1&lt;=$J$2),1,0)</f>
        <v/>
      </c>
      <c r="N15">
        <f>IF(M15=1,_xlfn.STDEV.S(INDEX($J$5:$J$34,K15):INDEX($J$5:$J$34,K15+L15-1))/AVERAGE(INDEX($J$5:$J$34,K15):INDEX($J$5:$J$34,K15+L15-1)),"")</f>
        <v/>
      </c>
      <c r="O15">
        <f>IF(M15=1,IF(N15&lt;=COMBINACIONES_NPH!$B$5,1,0),"")</f>
        <v/>
      </c>
      <c r="P15">
        <f>IF(M15=1,IF(O15=1,-L15,100)+N15+ROW()*0.000000000001,"")</f>
        <v/>
      </c>
      <c r="Q15">
        <f>IF(H15="","",Q14&amp;", "&amp;H15)</f>
        <v/>
      </c>
    </row>
    <row r="16">
      <c r="A16" t="n">
        <v>12</v>
      </c>
      <c r="B16">
        <f>'MERCADO NPH'!AA20</f>
        <v/>
      </c>
      <c r="C16">
        <f>IF(ISNUMBER(B16),'MERCADO NPH'!A20,"")</f>
        <v/>
      </c>
      <c r="D16">
        <f>IF(NOT(ISNUMBER(B16)),0,IF(OR(COMBINACIONES_NPH!$B$6="NO",$J$3&lt;=COMBINACIONES_NPH!$B$5),1,IF(AND(B16&gt;=COMBINACIONES_NPH!$B$3,B16&lt;=COMBINACIONES_NPH!$B$4),1,0)))</f>
        <v/>
      </c>
      <c r="E16">
        <f>IF(D16=1,B16+A16*0.000000001,"")</f>
        <v/>
      </c>
      <c r="F16">
        <f>IF(D16=1,COUNTIF($E$5:$E$34,"&lt;"&amp;E16)+1,"")</f>
        <v/>
      </c>
      <c r="G16" t="n">
        <v>12</v>
      </c>
      <c r="H16">
        <f>IFERROR(INDEX($C$5:$C$34,MATCH(SMALL($E$5:$E$34,G16),$E$5:$E$34,0)),"")</f>
        <v/>
      </c>
      <c r="I16">
        <f>IFERROR(INDEX($B$5:$B$34,MATCH(SMALL($E$5:$E$34,G16),$E$5:$E$34,0)),"")</f>
        <v/>
      </c>
      <c r="J16">
        <f>I16</f>
        <v/>
      </c>
      <c r="K16" t="n">
        <v>1</v>
      </c>
      <c r="L16" t="n">
        <v>14</v>
      </c>
      <c r="M16">
        <f>IF(AND(L16&gt;=COMBINACIONES_NPH!$B$9,K16+L16-1&lt;=$J$2),1,0)</f>
        <v/>
      </c>
      <c r="N16">
        <f>IF(M16=1,_xlfn.STDEV.S(INDEX($J$5:$J$34,K16):INDEX($J$5:$J$34,K16+L16-1))/AVERAGE(INDEX($J$5:$J$34,K16):INDEX($J$5:$J$34,K16+L16-1)),"")</f>
        <v/>
      </c>
      <c r="O16">
        <f>IF(M16=1,IF(N16&lt;=COMBINACIONES_NPH!$B$5,1,0),"")</f>
        <v/>
      </c>
      <c r="P16">
        <f>IF(M16=1,IF(O16=1,-L16,100)+N16+ROW()*0.000000000001,"")</f>
        <v/>
      </c>
      <c r="Q16">
        <f>IF(H16="","",Q15&amp;", "&amp;H16)</f>
        <v/>
      </c>
    </row>
    <row r="17">
      <c r="A17" t="n">
        <v>13</v>
      </c>
      <c r="B17">
        <f>'MERCADO NPH'!AA21</f>
        <v/>
      </c>
      <c r="C17">
        <f>IF(ISNUMBER(B17),'MERCADO NPH'!A21,"")</f>
        <v/>
      </c>
      <c r="D17">
        <f>IF(NOT(ISNUMBER(B17)),0,IF(OR(COMBINACIONES_NPH!$B$6="NO",$J$3&lt;=COMBINACIONES_NPH!$B$5),1,IF(AND(B17&gt;=COMBINACIONES_NPH!$B$3,B17&lt;=COMBINACIONES_NPH!$B$4),1,0)))</f>
        <v/>
      </c>
      <c r="E17">
        <f>IF(D17=1,B17+A17*0.000000001,"")</f>
        <v/>
      </c>
      <c r="F17">
        <f>IF(D17=1,COUNTIF($E$5:$E$34,"&lt;"&amp;E17)+1,"")</f>
        <v/>
      </c>
      <c r="G17" t="n">
        <v>13</v>
      </c>
      <c r="H17">
        <f>IFERROR(INDEX($C$5:$C$34,MATCH(SMALL($E$5:$E$34,G17),$E$5:$E$34,0)),"")</f>
        <v/>
      </c>
      <c r="I17">
        <f>IFERROR(INDEX($B$5:$B$34,MATCH(SMALL($E$5:$E$34,G17),$E$5:$E$34,0)),"")</f>
        <v/>
      </c>
      <c r="J17">
        <f>I17</f>
        <v/>
      </c>
      <c r="K17" t="n">
        <v>1</v>
      </c>
      <c r="L17" t="n">
        <v>15</v>
      </c>
      <c r="M17">
        <f>IF(AND(L17&gt;=COMBINACIONES_NPH!$B$9,K17+L17-1&lt;=$J$2),1,0)</f>
        <v/>
      </c>
      <c r="N17">
        <f>IF(M17=1,_xlfn.STDEV.S(INDEX($J$5:$J$34,K17):INDEX($J$5:$J$34,K17+L17-1))/AVERAGE(INDEX($J$5:$J$34,K17):INDEX($J$5:$J$34,K17+L17-1)),"")</f>
        <v/>
      </c>
      <c r="O17">
        <f>IF(M17=1,IF(N17&lt;=COMBINACIONES_NPH!$B$5,1,0),"")</f>
        <v/>
      </c>
      <c r="P17">
        <f>IF(M17=1,IF(O17=1,-L17,100)+N17+ROW()*0.000000000001,"")</f>
        <v/>
      </c>
      <c r="Q17">
        <f>IF(H17="","",Q16&amp;", "&amp;H17)</f>
        <v/>
      </c>
    </row>
    <row r="18">
      <c r="A18" t="n">
        <v>14</v>
      </c>
      <c r="B18">
        <f>'MERCADO NPH'!AA22</f>
        <v/>
      </c>
      <c r="C18">
        <f>IF(ISNUMBER(B18),'MERCADO NPH'!A22,"")</f>
        <v/>
      </c>
      <c r="D18">
        <f>IF(NOT(ISNUMBER(B18)),0,IF(OR(COMBINACIONES_NPH!$B$6="NO",$J$3&lt;=COMBINACIONES_NPH!$B$5),1,IF(AND(B18&gt;=COMBINACIONES_NPH!$B$3,B18&lt;=COMBINACIONES_NPH!$B$4),1,0)))</f>
        <v/>
      </c>
      <c r="E18">
        <f>IF(D18=1,B18+A18*0.000000001,"")</f>
        <v/>
      </c>
      <c r="F18">
        <f>IF(D18=1,COUNTIF($E$5:$E$34,"&lt;"&amp;E18)+1,"")</f>
        <v/>
      </c>
      <c r="G18" t="n">
        <v>14</v>
      </c>
      <c r="H18">
        <f>IFERROR(INDEX($C$5:$C$34,MATCH(SMALL($E$5:$E$34,G18),$E$5:$E$34,0)),"")</f>
        <v/>
      </c>
      <c r="I18">
        <f>IFERROR(INDEX($B$5:$B$34,MATCH(SMALL($E$5:$E$34,G18),$E$5:$E$34,0)),"")</f>
        <v/>
      </c>
      <c r="J18">
        <f>I18</f>
        <v/>
      </c>
      <c r="K18" t="n">
        <v>1</v>
      </c>
      <c r="L18" t="n">
        <v>16</v>
      </c>
      <c r="M18">
        <f>IF(AND(L18&gt;=COMBINACIONES_NPH!$B$9,K18+L18-1&lt;=$J$2),1,0)</f>
        <v/>
      </c>
      <c r="N18">
        <f>IF(M18=1,_xlfn.STDEV.S(INDEX($J$5:$J$34,K18):INDEX($J$5:$J$34,K18+L18-1))/AVERAGE(INDEX($J$5:$J$34,K18):INDEX($J$5:$J$34,K18+L18-1)),"")</f>
        <v/>
      </c>
      <c r="O18">
        <f>IF(M18=1,IF(N18&lt;=COMBINACIONES_NPH!$B$5,1,0),"")</f>
        <v/>
      </c>
      <c r="P18">
        <f>IF(M18=1,IF(O18=1,-L18,100)+N18+ROW()*0.000000000001,"")</f>
        <v/>
      </c>
      <c r="Q18">
        <f>IF(H18="","",Q17&amp;", "&amp;H18)</f>
        <v/>
      </c>
    </row>
    <row r="19">
      <c r="A19" t="n">
        <v>15</v>
      </c>
      <c r="B19">
        <f>'MERCADO NPH'!AA23</f>
        <v/>
      </c>
      <c r="C19">
        <f>IF(ISNUMBER(B19),'MERCADO NPH'!A23,"")</f>
        <v/>
      </c>
      <c r="D19">
        <f>IF(NOT(ISNUMBER(B19)),0,IF(OR(COMBINACIONES_NPH!$B$6="NO",$J$3&lt;=COMBINACIONES_NPH!$B$5),1,IF(AND(B19&gt;=COMBINACIONES_NPH!$B$3,B19&lt;=COMBINACIONES_NPH!$B$4),1,0)))</f>
        <v/>
      </c>
      <c r="E19">
        <f>IF(D19=1,B19+A19*0.000000001,"")</f>
        <v/>
      </c>
      <c r="F19">
        <f>IF(D19=1,COUNTIF($E$5:$E$34,"&lt;"&amp;E19)+1,"")</f>
        <v/>
      </c>
      <c r="G19" t="n">
        <v>15</v>
      </c>
      <c r="H19">
        <f>IFERROR(INDEX($C$5:$C$34,MATCH(SMALL($E$5:$E$34,G19),$E$5:$E$34,0)),"")</f>
        <v/>
      </c>
      <c r="I19">
        <f>IFERROR(INDEX($B$5:$B$34,MATCH(SMALL($E$5:$E$34,G19),$E$5:$E$34,0)),"")</f>
        <v/>
      </c>
      <c r="J19">
        <f>I19</f>
        <v/>
      </c>
      <c r="K19" t="n">
        <v>1</v>
      </c>
      <c r="L19" t="n">
        <v>17</v>
      </c>
      <c r="M19">
        <f>IF(AND(L19&gt;=COMBINACIONES_NPH!$B$9,K19+L19-1&lt;=$J$2),1,0)</f>
        <v/>
      </c>
      <c r="N19">
        <f>IF(M19=1,_xlfn.STDEV.S(INDEX($J$5:$J$34,K19):INDEX($J$5:$J$34,K19+L19-1))/AVERAGE(INDEX($J$5:$J$34,K19):INDEX($J$5:$J$34,K19+L19-1)),"")</f>
        <v/>
      </c>
      <c r="O19">
        <f>IF(M19=1,IF(N19&lt;=COMBINACIONES_NPH!$B$5,1,0),"")</f>
        <v/>
      </c>
      <c r="P19">
        <f>IF(M19=1,IF(O19=1,-L19,100)+N19+ROW()*0.000000000001,"")</f>
        <v/>
      </c>
      <c r="Q19">
        <f>IF(H19="","",Q18&amp;", "&amp;H19)</f>
        <v/>
      </c>
    </row>
    <row r="20">
      <c r="A20" t="n">
        <v>16</v>
      </c>
      <c r="B20">
        <f>'MERCADO NPH'!AA24</f>
        <v/>
      </c>
      <c r="C20">
        <f>IF(ISNUMBER(B20),'MERCADO NPH'!A24,"")</f>
        <v/>
      </c>
      <c r="D20">
        <f>IF(NOT(ISNUMBER(B20)),0,IF(OR(COMBINACIONES_NPH!$B$6="NO",$J$3&lt;=COMBINACIONES_NPH!$B$5),1,IF(AND(B20&gt;=COMBINACIONES_NPH!$B$3,B20&lt;=COMBINACIONES_NPH!$B$4),1,0)))</f>
        <v/>
      </c>
      <c r="E20">
        <f>IF(D20=1,B20+A20*0.000000001,"")</f>
        <v/>
      </c>
      <c r="F20">
        <f>IF(D20=1,COUNTIF($E$5:$E$34,"&lt;"&amp;E20)+1,"")</f>
        <v/>
      </c>
      <c r="G20" t="n">
        <v>16</v>
      </c>
      <c r="H20">
        <f>IFERROR(INDEX($C$5:$C$34,MATCH(SMALL($E$5:$E$34,G20),$E$5:$E$34,0)),"")</f>
        <v/>
      </c>
      <c r="I20">
        <f>IFERROR(INDEX($B$5:$B$34,MATCH(SMALL($E$5:$E$34,G20),$E$5:$E$34,0)),"")</f>
        <v/>
      </c>
      <c r="J20">
        <f>I20</f>
        <v/>
      </c>
      <c r="K20" t="n">
        <v>1</v>
      </c>
      <c r="L20" t="n">
        <v>18</v>
      </c>
      <c r="M20">
        <f>IF(AND(L20&gt;=COMBINACIONES_NPH!$B$9,K20+L20-1&lt;=$J$2),1,0)</f>
        <v/>
      </c>
      <c r="N20">
        <f>IF(M20=1,_xlfn.STDEV.S(INDEX($J$5:$J$34,K20):INDEX($J$5:$J$34,K20+L20-1))/AVERAGE(INDEX($J$5:$J$34,K20):INDEX($J$5:$J$34,K20+L20-1)),"")</f>
        <v/>
      </c>
      <c r="O20">
        <f>IF(M20=1,IF(N20&lt;=COMBINACIONES_NPH!$B$5,1,0),"")</f>
        <v/>
      </c>
      <c r="P20">
        <f>IF(M20=1,IF(O20=1,-L20,100)+N20+ROW()*0.000000000001,"")</f>
        <v/>
      </c>
      <c r="Q20">
        <f>IF(H20="","",Q19&amp;", "&amp;H20)</f>
        <v/>
      </c>
    </row>
    <row r="21">
      <c r="A21" t="n">
        <v>17</v>
      </c>
      <c r="B21">
        <f>'MERCADO NPH'!AA25</f>
        <v/>
      </c>
      <c r="C21">
        <f>IF(ISNUMBER(B21),'MERCADO NPH'!A25,"")</f>
        <v/>
      </c>
      <c r="D21">
        <f>IF(NOT(ISNUMBER(B21)),0,IF(OR(COMBINACIONES_NPH!$B$6="NO",$J$3&lt;=COMBINACIONES_NPH!$B$5),1,IF(AND(B21&gt;=COMBINACIONES_NPH!$B$3,B21&lt;=COMBINACIONES_NPH!$B$4),1,0)))</f>
        <v/>
      </c>
      <c r="E21">
        <f>IF(D21=1,B21+A21*0.000000001,"")</f>
        <v/>
      </c>
      <c r="F21">
        <f>IF(D21=1,COUNTIF($E$5:$E$34,"&lt;"&amp;E21)+1,"")</f>
        <v/>
      </c>
      <c r="G21" t="n">
        <v>17</v>
      </c>
      <c r="H21">
        <f>IFERROR(INDEX($C$5:$C$34,MATCH(SMALL($E$5:$E$34,G21),$E$5:$E$34,0)),"")</f>
        <v/>
      </c>
      <c r="I21">
        <f>IFERROR(INDEX($B$5:$B$34,MATCH(SMALL($E$5:$E$34,G21),$E$5:$E$34,0)),"")</f>
        <v/>
      </c>
      <c r="J21">
        <f>I21</f>
        <v/>
      </c>
      <c r="K21" t="n">
        <v>1</v>
      </c>
      <c r="L21" t="n">
        <v>19</v>
      </c>
      <c r="M21">
        <f>IF(AND(L21&gt;=COMBINACIONES_NPH!$B$9,K21+L21-1&lt;=$J$2),1,0)</f>
        <v/>
      </c>
      <c r="N21">
        <f>IF(M21=1,_xlfn.STDEV.S(INDEX($J$5:$J$34,K21):INDEX($J$5:$J$34,K21+L21-1))/AVERAGE(INDEX($J$5:$J$34,K21):INDEX($J$5:$J$34,K21+L21-1)),"")</f>
        <v/>
      </c>
      <c r="O21">
        <f>IF(M21=1,IF(N21&lt;=COMBINACIONES_NPH!$B$5,1,0),"")</f>
        <v/>
      </c>
      <c r="P21">
        <f>IF(M21=1,IF(O21=1,-L21,100)+N21+ROW()*0.000000000001,"")</f>
        <v/>
      </c>
      <c r="Q21">
        <f>IF(H21="","",Q20&amp;", "&amp;H21)</f>
        <v/>
      </c>
    </row>
    <row r="22">
      <c r="A22" t="n">
        <v>18</v>
      </c>
      <c r="B22">
        <f>'MERCADO NPH'!AA26</f>
        <v/>
      </c>
      <c r="C22">
        <f>IF(ISNUMBER(B22),'MERCADO NPH'!A26,"")</f>
        <v/>
      </c>
      <c r="D22">
        <f>IF(NOT(ISNUMBER(B22)),0,IF(OR(COMBINACIONES_NPH!$B$6="NO",$J$3&lt;=COMBINACIONES_NPH!$B$5),1,IF(AND(B22&gt;=COMBINACIONES_NPH!$B$3,B22&lt;=COMBINACIONES_NPH!$B$4),1,0)))</f>
        <v/>
      </c>
      <c r="E22">
        <f>IF(D22=1,B22+A22*0.000000001,"")</f>
        <v/>
      </c>
      <c r="F22">
        <f>IF(D22=1,COUNTIF($E$5:$E$34,"&lt;"&amp;E22)+1,"")</f>
        <v/>
      </c>
      <c r="G22" t="n">
        <v>18</v>
      </c>
      <c r="H22">
        <f>IFERROR(INDEX($C$5:$C$34,MATCH(SMALL($E$5:$E$34,G22),$E$5:$E$34,0)),"")</f>
        <v/>
      </c>
      <c r="I22">
        <f>IFERROR(INDEX($B$5:$B$34,MATCH(SMALL($E$5:$E$34,G22),$E$5:$E$34,0)),"")</f>
        <v/>
      </c>
      <c r="J22">
        <f>I22</f>
        <v/>
      </c>
      <c r="K22" t="n">
        <v>1</v>
      </c>
      <c r="L22" t="n">
        <v>20</v>
      </c>
      <c r="M22">
        <f>IF(AND(L22&gt;=COMBINACIONES_NPH!$B$9,K22+L22-1&lt;=$J$2),1,0)</f>
        <v/>
      </c>
      <c r="N22">
        <f>IF(M22=1,_xlfn.STDEV.S(INDEX($J$5:$J$34,K22):INDEX($J$5:$J$34,K22+L22-1))/AVERAGE(INDEX($J$5:$J$34,K22):INDEX($J$5:$J$34,K22+L22-1)),"")</f>
        <v/>
      </c>
      <c r="O22">
        <f>IF(M22=1,IF(N22&lt;=COMBINACIONES_NPH!$B$5,1,0),"")</f>
        <v/>
      </c>
      <c r="P22">
        <f>IF(M22=1,IF(O22=1,-L22,100)+N22+ROW()*0.000000000001,"")</f>
        <v/>
      </c>
      <c r="Q22">
        <f>IF(H22="","",Q21&amp;", "&amp;H22)</f>
        <v/>
      </c>
    </row>
    <row r="23">
      <c r="A23" t="n">
        <v>19</v>
      </c>
      <c r="B23">
        <f>'MERCADO NPH'!AA27</f>
        <v/>
      </c>
      <c r="C23">
        <f>IF(ISNUMBER(B23),'MERCADO NPH'!A27,"")</f>
        <v/>
      </c>
      <c r="D23">
        <f>IF(NOT(ISNUMBER(B23)),0,IF(OR(COMBINACIONES_NPH!$B$6="NO",$J$3&lt;=COMBINACIONES_NPH!$B$5),1,IF(AND(B23&gt;=COMBINACIONES_NPH!$B$3,B23&lt;=COMBINACIONES_NPH!$B$4),1,0)))</f>
        <v/>
      </c>
      <c r="E23">
        <f>IF(D23=1,B23+A23*0.000000001,"")</f>
        <v/>
      </c>
      <c r="F23">
        <f>IF(D23=1,COUNTIF($E$5:$E$34,"&lt;"&amp;E23)+1,"")</f>
        <v/>
      </c>
      <c r="G23" t="n">
        <v>19</v>
      </c>
      <c r="H23">
        <f>IFERROR(INDEX($C$5:$C$34,MATCH(SMALL($E$5:$E$34,G23),$E$5:$E$34,0)),"")</f>
        <v/>
      </c>
      <c r="I23">
        <f>IFERROR(INDEX($B$5:$B$34,MATCH(SMALL($E$5:$E$34,G23),$E$5:$E$34,0)),"")</f>
        <v/>
      </c>
      <c r="J23">
        <f>I23</f>
        <v/>
      </c>
      <c r="K23" t="n">
        <v>1</v>
      </c>
      <c r="L23" t="n">
        <v>21</v>
      </c>
      <c r="M23">
        <f>IF(AND(L23&gt;=COMBINACIONES_NPH!$B$9,K23+L23-1&lt;=$J$2),1,0)</f>
        <v/>
      </c>
      <c r="N23">
        <f>IF(M23=1,_xlfn.STDEV.S(INDEX($J$5:$J$34,K23):INDEX($J$5:$J$34,K23+L23-1))/AVERAGE(INDEX($J$5:$J$34,K23):INDEX($J$5:$J$34,K23+L23-1)),"")</f>
        <v/>
      </c>
      <c r="O23">
        <f>IF(M23=1,IF(N23&lt;=COMBINACIONES_NPH!$B$5,1,0),"")</f>
        <v/>
      </c>
      <c r="P23">
        <f>IF(M23=1,IF(O23=1,-L23,100)+N23+ROW()*0.000000000001,"")</f>
        <v/>
      </c>
      <c r="Q23">
        <f>IF(H23="","",Q22&amp;", "&amp;H23)</f>
        <v/>
      </c>
    </row>
    <row r="24">
      <c r="A24" t="n">
        <v>20</v>
      </c>
      <c r="B24">
        <f>'MERCADO NPH'!AA28</f>
        <v/>
      </c>
      <c r="C24">
        <f>IF(ISNUMBER(B24),'MERCADO NPH'!A28,"")</f>
        <v/>
      </c>
      <c r="D24">
        <f>IF(NOT(ISNUMBER(B24)),0,IF(OR(COMBINACIONES_NPH!$B$6="NO",$J$3&lt;=COMBINACIONES_NPH!$B$5),1,IF(AND(B24&gt;=COMBINACIONES_NPH!$B$3,B24&lt;=COMBINACIONES_NPH!$B$4),1,0)))</f>
        <v/>
      </c>
      <c r="E24">
        <f>IF(D24=1,B24+A24*0.000000001,"")</f>
        <v/>
      </c>
      <c r="F24">
        <f>IF(D24=1,COUNTIF($E$5:$E$34,"&lt;"&amp;E24)+1,"")</f>
        <v/>
      </c>
      <c r="G24" t="n">
        <v>20</v>
      </c>
      <c r="H24">
        <f>IFERROR(INDEX($C$5:$C$34,MATCH(SMALL($E$5:$E$34,G24),$E$5:$E$34,0)),"")</f>
        <v/>
      </c>
      <c r="I24">
        <f>IFERROR(INDEX($B$5:$B$34,MATCH(SMALL($E$5:$E$34,G24),$E$5:$E$34,0)),"")</f>
        <v/>
      </c>
      <c r="J24">
        <f>I24</f>
        <v/>
      </c>
      <c r="K24" t="n">
        <v>1</v>
      </c>
      <c r="L24" t="n">
        <v>22</v>
      </c>
      <c r="M24">
        <f>IF(AND(L24&gt;=COMBINACIONES_NPH!$B$9,K24+L24-1&lt;=$J$2),1,0)</f>
        <v/>
      </c>
      <c r="N24">
        <f>IF(M24=1,_xlfn.STDEV.S(INDEX($J$5:$J$34,K24):INDEX($J$5:$J$34,K24+L24-1))/AVERAGE(INDEX($J$5:$J$34,K24):INDEX($J$5:$J$34,K24+L24-1)),"")</f>
        <v/>
      </c>
      <c r="O24">
        <f>IF(M24=1,IF(N24&lt;=COMBINACIONES_NPH!$B$5,1,0),"")</f>
        <v/>
      </c>
      <c r="P24">
        <f>IF(M24=1,IF(O24=1,-L24,100)+N24+ROW()*0.000000000001,"")</f>
        <v/>
      </c>
      <c r="Q24">
        <f>IF(H24="","",Q23&amp;", "&amp;H24)</f>
        <v/>
      </c>
    </row>
    <row r="25">
      <c r="A25" t="n">
        <v>21</v>
      </c>
      <c r="B25">
        <f>'MERCADO NPH'!AA29</f>
        <v/>
      </c>
      <c r="C25">
        <f>IF(ISNUMBER(B25),'MERCADO NPH'!A29,"")</f>
        <v/>
      </c>
      <c r="D25">
        <f>IF(NOT(ISNUMBER(B25)),0,IF(OR(COMBINACIONES_NPH!$B$6="NO",$J$3&lt;=COMBINACIONES_NPH!$B$5),1,IF(AND(B25&gt;=COMBINACIONES_NPH!$B$3,B25&lt;=COMBINACIONES_NPH!$B$4),1,0)))</f>
        <v/>
      </c>
      <c r="E25">
        <f>IF(D25=1,B25+A25*0.000000001,"")</f>
        <v/>
      </c>
      <c r="F25">
        <f>IF(D25=1,COUNTIF($E$5:$E$34,"&lt;"&amp;E25)+1,"")</f>
        <v/>
      </c>
      <c r="G25" t="n">
        <v>21</v>
      </c>
      <c r="H25">
        <f>IFERROR(INDEX($C$5:$C$34,MATCH(SMALL($E$5:$E$34,G25),$E$5:$E$34,0)),"")</f>
        <v/>
      </c>
      <c r="I25">
        <f>IFERROR(INDEX($B$5:$B$34,MATCH(SMALL($E$5:$E$34,G25),$E$5:$E$34,0)),"")</f>
        <v/>
      </c>
      <c r="J25">
        <f>I25</f>
        <v/>
      </c>
      <c r="K25" t="n">
        <v>1</v>
      </c>
      <c r="L25" t="n">
        <v>23</v>
      </c>
      <c r="M25">
        <f>IF(AND(L25&gt;=COMBINACIONES_NPH!$B$9,K25+L25-1&lt;=$J$2),1,0)</f>
        <v/>
      </c>
      <c r="N25">
        <f>IF(M25=1,_xlfn.STDEV.S(INDEX($J$5:$J$34,K25):INDEX($J$5:$J$34,K25+L25-1))/AVERAGE(INDEX($J$5:$J$34,K25):INDEX($J$5:$J$34,K25+L25-1)),"")</f>
        <v/>
      </c>
      <c r="O25">
        <f>IF(M25=1,IF(N25&lt;=COMBINACIONES_NPH!$B$5,1,0),"")</f>
        <v/>
      </c>
      <c r="P25">
        <f>IF(M25=1,IF(O25=1,-L25,100)+N25+ROW()*0.000000000001,"")</f>
        <v/>
      </c>
      <c r="Q25">
        <f>IF(H25="","",Q24&amp;", "&amp;H25)</f>
        <v/>
      </c>
    </row>
    <row r="26">
      <c r="A26" t="n">
        <v>22</v>
      </c>
      <c r="B26">
        <f>'MERCADO NPH'!AA30</f>
        <v/>
      </c>
      <c r="C26">
        <f>IF(ISNUMBER(B26),'MERCADO NPH'!A30,"")</f>
        <v/>
      </c>
      <c r="D26">
        <f>IF(NOT(ISNUMBER(B26)),0,IF(OR(COMBINACIONES_NPH!$B$6="NO",$J$3&lt;=COMBINACIONES_NPH!$B$5),1,IF(AND(B26&gt;=COMBINACIONES_NPH!$B$3,B26&lt;=COMBINACIONES_NPH!$B$4),1,0)))</f>
        <v/>
      </c>
      <c r="E26">
        <f>IF(D26=1,B26+A26*0.000000001,"")</f>
        <v/>
      </c>
      <c r="F26">
        <f>IF(D26=1,COUNTIF($E$5:$E$34,"&lt;"&amp;E26)+1,"")</f>
        <v/>
      </c>
      <c r="G26" t="n">
        <v>22</v>
      </c>
      <c r="H26">
        <f>IFERROR(INDEX($C$5:$C$34,MATCH(SMALL($E$5:$E$34,G26),$E$5:$E$34,0)),"")</f>
        <v/>
      </c>
      <c r="I26">
        <f>IFERROR(INDEX($B$5:$B$34,MATCH(SMALL($E$5:$E$34,G26),$E$5:$E$34,0)),"")</f>
        <v/>
      </c>
      <c r="J26">
        <f>I26</f>
        <v/>
      </c>
      <c r="K26" t="n">
        <v>1</v>
      </c>
      <c r="L26" t="n">
        <v>24</v>
      </c>
      <c r="M26">
        <f>IF(AND(L26&gt;=COMBINACIONES_NPH!$B$9,K26+L26-1&lt;=$J$2),1,0)</f>
        <v/>
      </c>
      <c r="N26">
        <f>IF(M26=1,_xlfn.STDEV.S(INDEX($J$5:$J$34,K26):INDEX($J$5:$J$34,K26+L26-1))/AVERAGE(INDEX($J$5:$J$34,K26):INDEX($J$5:$J$34,K26+L26-1)),"")</f>
        <v/>
      </c>
      <c r="O26">
        <f>IF(M26=1,IF(N26&lt;=COMBINACIONES_NPH!$B$5,1,0),"")</f>
        <v/>
      </c>
      <c r="P26">
        <f>IF(M26=1,IF(O26=1,-L26,100)+N26+ROW()*0.000000000001,"")</f>
        <v/>
      </c>
      <c r="Q26">
        <f>IF(H26="","",Q25&amp;", "&amp;H26)</f>
        <v/>
      </c>
    </row>
    <row r="27">
      <c r="A27" t="n">
        <v>23</v>
      </c>
      <c r="B27">
        <f>'MERCADO NPH'!AA31</f>
        <v/>
      </c>
      <c r="C27">
        <f>IF(ISNUMBER(B27),'MERCADO NPH'!A31,"")</f>
        <v/>
      </c>
      <c r="D27">
        <f>IF(NOT(ISNUMBER(B27)),0,IF(OR(COMBINACIONES_NPH!$B$6="NO",$J$3&lt;=COMBINACIONES_NPH!$B$5),1,IF(AND(B27&gt;=COMBINACIONES_NPH!$B$3,B27&lt;=COMBINACIONES_NPH!$B$4),1,0)))</f>
        <v/>
      </c>
      <c r="E27">
        <f>IF(D27=1,B27+A27*0.000000001,"")</f>
        <v/>
      </c>
      <c r="F27">
        <f>IF(D27=1,COUNTIF($E$5:$E$34,"&lt;"&amp;E27)+1,"")</f>
        <v/>
      </c>
      <c r="G27" t="n">
        <v>23</v>
      </c>
      <c r="H27">
        <f>IFERROR(INDEX($C$5:$C$34,MATCH(SMALL($E$5:$E$34,G27),$E$5:$E$34,0)),"")</f>
        <v/>
      </c>
      <c r="I27">
        <f>IFERROR(INDEX($B$5:$B$34,MATCH(SMALL($E$5:$E$34,G27),$E$5:$E$34,0)),"")</f>
        <v/>
      </c>
      <c r="J27">
        <f>I27</f>
        <v/>
      </c>
      <c r="K27" t="n">
        <v>1</v>
      </c>
      <c r="L27" t="n">
        <v>25</v>
      </c>
      <c r="M27">
        <f>IF(AND(L27&gt;=COMBINACIONES_NPH!$B$9,K27+L27-1&lt;=$J$2),1,0)</f>
        <v/>
      </c>
      <c r="N27">
        <f>IF(M27=1,_xlfn.STDEV.S(INDEX($J$5:$J$34,K27):INDEX($J$5:$J$34,K27+L27-1))/AVERAGE(INDEX($J$5:$J$34,K27):INDEX($J$5:$J$34,K27+L27-1)),"")</f>
        <v/>
      </c>
      <c r="O27">
        <f>IF(M27=1,IF(N27&lt;=COMBINACIONES_NPH!$B$5,1,0),"")</f>
        <v/>
      </c>
      <c r="P27">
        <f>IF(M27=1,IF(O27=1,-L27,100)+N27+ROW()*0.000000000001,"")</f>
        <v/>
      </c>
      <c r="Q27">
        <f>IF(H27="","",Q26&amp;", "&amp;H27)</f>
        <v/>
      </c>
    </row>
    <row r="28">
      <c r="A28" t="n">
        <v>24</v>
      </c>
      <c r="B28">
        <f>'MERCADO NPH'!AA32</f>
        <v/>
      </c>
      <c r="C28">
        <f>IF(ISNUMBER(B28),'MERCADO NPH'!A32,"")</f>
        <v/>
      </c>
      <c r="D28">
        <f>IF(NOT(ISNUMBER(B28)),0,IF(OR(COMBINACIONES_NPH!$B$6="NO",$J$3&lt;=COMBINACIONES_NPH!$B$5),1,IF(AND(B28&gt;=COMBINACIONES_NPH!$B$3,B28&lt;=COMBINACIONES_NPH!$B$4),1,0)))</f>
        <v/>
      </c>
      <c r="E28">
        <f>IF(D28=1,B28+A28*0.000000001,"")</f>
        <v/>
      </c>
      <c r="F28">
        <f>IF(D28=1,COUNTIF($E$5:$E$34,"&lt;"&amp;E28)+1,"")</f>
        <v/>
      </c>
      <c r="G28" t="n">
        <v>24</v>
      </c>
      <c r="H28">
        <f>IFERROR(INDEX($C$5:$C$34,MATCH(SMALL($E$5:$E$34,G28),$E$5:$E$34,0)),"")</f>
        <v/>
      </c>
      <c r="I28">
        <f>IFERROR(INDEX($B$5:$B$34,MATCH(SMALL($E$5:$E$34,G28),$E$5:$E$34,0)),"")</f>
        <v/>
      </c>
      <c r="J28">
        <f>I28</f>
        <v/>
      </c>
      <c r="K28" t="n">
        <v>1</v>
      </c>
      <c r="L28" t="n">
        <v>26</v>
      </c>
      <c r="M28">
        <f>IF(AND(L28&gt;=COMBINACIONES_NPH!$B$9,K28+L28-1&lt;=$J$2),1,0)</f>
        <v/>
      </c>
      <c r="N28">
        <f>IF(M28=1,_xlfn.STDEV.S(INDEX($J$5:$J$34,K28):INDEX($J$5:$J$34,K28+L28-1))/AVERAGE(INDEX($J$5:$J$34,K28):INDEX($J$5:$J$34,K28+L28-1)),"")</f>
        <v/>
      </c>
      <c r="O28">
        <f>IF(M28=1,IF(N28&lt;=COMBINACIONES_NPH!$B$5,1,0),"")</f>
        <v/>
      </c>
      <c r="P28">
        <f>IF(M28=1,IF(O28=1,-L28,100)+N28+ROW()*0.000000000001,"")</f>
        <v/>
      </c>
      <c r="Q28">
        <f>IF(H28="","",Q27&amp;", "&amp;H28)</f>
        <v/>
      </c>
    </row>
    <row r="29">
      <c r="A29" t="n">
        <v>25</v>
      </c>
      <c r="B29">
        <f>'MERCADO NPH'!AA33</f>
        <v/>
      </c>
      <c r="C29">
        <f>IF(ISNUMBER(B29),'MERCADO NPH'!A33,"")</f>
        <v/>
      </c>
      <c r="D29">
        <f>IF(NOT(ISNUMBER(B29)),0,IF(OR(COMBINACIONES_NPH!$B$6="NO",$J$3&lt;=COMBINACIONES_NPH!$B$5),1,IF(AND(B29&gt;=COMBINACIONES_NPH!$B$3,B29&lt;=COMBINACIONES_NPH!$B$4),1,0)))</f>
        <v/>
      </c>
      <c r="E29">
        <f>IF(D29=1,B29+A29*0.000000001,"")</f>
        <v/>
      </c>
      <c r="F29">
        <f>IF(D29=1,COUNTIF($E$5:$E$34,"&lt;"&amp;E29)+1,"")</f>
        <v/>
      </c>
      <c r="G29" t="n">
        <v>25</v>
      </c>
      <c r="H29">
        <f>IFERROR(INDEX($C$5:$C$34,MATCH(SMALL($E$5:$E$34,G29),$E$5:$E$34,0)),"")</f>
        <v/>
      </c>
      <c r="I29">
        <f>IFERROR(INDEX($B$5:$B$34,MATCH(SMALL($E$5:$E$34,G29),$E$5:$E$34,0)),"")</f>
        <v/>
      </c>
      <c r="J29">
        <f>I29</f>
        <v/>
      </c>
      <c r="K29" t="n">
        <v>1</v>
      </c>
      <c r="L29" t="n">
        <v>27</v>
      </c>
      <c r="M29">
        <f>IF(AND(L29&gt;=COMBINACIONES_NPH!$B$9,K29+L29-1&lt;=$J$2),1,0)</f>
        <v/>
      </c>
      <c r="N29">
        <f>IF(M29=1,_xlfn.STDEV.S(INDEX($J$5:$J$34,K29):INDEX($J$5:$J$34,K29+L29-1))/AVERAGE(INDEX($J$5:$J$34,K29):INDEX($J$5:$J$34,K29+L29-1)),"")</f>
        <v/>
      </c>
      <c r="O29">
        <f>IF(M29=1,IF(N29&lt;=COMBINACIONES_NPH!$B$5,1,0),"")</f>
        <v/>
      </c>
      <c r="P29">
        <f>IF(M29=1,IF(O29=1,-L29,100)+N29+ROW()*0.000000000001,"")</f>
        <v/>
      </c>
      <c r="Q29">
        <f>IF(H29="","",Q28&amp;", "&amp;H29)</f>
        <v/>
      </c>
    </row>
    <row r="30">
      <c r="A30" t="n">
        <v>26</v>
      </c>
      <c r="B30">
        <f>'MERCADO NPH'!AA34</f>
        <v/>
      </c>
      <c r="C30">
        <f>IF(ISNUMBER(B30),'MERCADO NPH'!A34,"")</f>
        <v/>
      </c>
      <c r="D30">
        <f>IF(NOT(ISNUMBER(B30)),0,IF(OR(COMBINACIONES_NPH!$B$6="NO",$J$3&lt;=COMBINACIONES_NPH!$B$5),1,IF(AND(B30&gt;=COMBINACIONES_NPH!$B$3,B30&lt;=COMBINACIONES_NPH!$B$4),1,0)))</f>
        <v/>
      </c>
      <c r="E30">
        <f>IF(D30=1,B30+A30*0.000000001,"")</f>
        <v/>
      </c>
      <c r="F30">
        <f>IF(D30=1,COUNTIF($E$5:$E$34,"&lt;"&amp;E30)+1,"")</f>
        <v/>
      </c>
      <c r="G30" t="n">
        <v>26</v>
      </c>
      <c r="H30">
        <f>IFERROR(INDEX($C$5:$C$34,MATCH(SMALL($E$5:$E$34,G30),$E$5:$E$34,0)),"")</f>
        <v/>
      </c>
      <c r="I30">
        <f>IFERROR(INDEX($B$5:$B$34,MATCH(SMALL($E$5:$E$34,G30),$E$5:$E$34,0)),"")</f>
        <v/>
      </c>
      <c r="J30">
        <f>I30</f>
        <v/>
      </c>
      <c r="K30" t="n">
        <v>1</v>
      </c>
      <c r="L30" t="n">
        <v>28</v>
      </c>
      <c r="M30">
        <f>IF(AND(L30&gt;=COMBINACIONES_NPH!$B$9,K30+L30-1&lt;=$J$2),1,0)</f>
        <v/>
      </c>
      <c r="N30">
        <f>IF(M30=1,_xlfn.STDEV.S(INDEX($J$5:$J$34,K30):INDEX($J$5:$J$34,K30+L30-1))/AVERAGE(INDEX($J$5:$J$34,K30):INDEX($J$5:$J$34,K30+L30-1)),"")</f>
        <v/>
      </c>
      <c r="O30">
        <f>IF(M30=1,IF(N30&lt;=COMBINACIONES_NPH!$B$5,1,0),"")</f>
        <v/>
      </c>
      <c r="P30">
        <f>IF(M30=1,IF(O30=1,-L30,100)+N30+ROW()*0.000000000001,"")</f>
        <v/>
      </c>
      <c r="Q30">
        <f>IF(H30="","",Q29&amp;", "&amp;H30)</f>
        <v/>
      </c>
    </row>
    <row r="31">
      <c r="A31" t="n">
        <v>27</v>
      </c>
      <c r="B31">
        <f>'MERCADO NPH'!AA35</f>
        <v/>
      </c>
      <c r="C31">
        <f>IF(ISNUMBER(B31),'MERCADO NPH'!A35,"")</f>
        <v/>
      </c>
      <c r="D31">
        <f>IF(NOT(ISNUMBER(B31)),0,IF(OR(COMBINACIONES_NPH!$B$6="NO",$J$3&lt;=COMBINACIONES_NPH!$B$5),1,IF(AND(B31&gt;=COMBINACIONES_NPH!$B$3,B31&lt;=COMBINACIONES_NPH!$B$4),1,0)))</f>
        <v/>
      </c>
      <c r="E31">
        <f>IF(D31=1,B31+A31*0.000000001,"")</f>
        <v/>
      </c>
      <c r="F31">
        <f>IF(D31=1,COUNTIF($E$5:$E$34,"&lt;"&amp;E31)+1,"")</f>
        <v/>
      </c>
      <c r="G31" t="n">
        <v>27</v>
      </c>
      <c r="H31">
        <f>IFERROR(INDEX($C$5:$C$34,MATCH(SMALL($E$5:$E$34,G31),$E$5:$E$34,0)),"")</f>
        <v/>
      </c>
      <c r="I31">
        <f>IFERROR(INDEX($B$5:$B$34,MATCH(SMALL($E$5:$E$34,G31),$E$5:$E$34,0)),"")</f>
        <v/>
      </c>
      <c r="J31">
        <f>I31</f>
        <v/>
      </c>
      <c r="K31" t="n">
        <v>1</v>
      </c>
      <c r="L31" t="n">
        <v>29</v>
      </c>
      <c r="M31">
        <f>IF(AND(L31&gt;=COMBINACIONES_NPH!$B$9,K31+L31-1&lt;=$J$2),1,0)</f>
        <v/>
      </c>
      <c r="N31">
        <f>IF(M31=1,_xlfn.STDEV.S(INDEX($J$5:$J$34,K31):INDEX($J$5:$J$34,K31+L31-1))/AVERAGE(INDEX($J$5:$J$34,K31):INDEX($J$5:$J$34,K31+L31-1)),"")</f>
        <v/>
      </c>
      <c r="O31">
        <f>IF(M31=1,IF(N31&lt;=COMBINACIONES_NPH!$B$5,1,0),"")</f>
        <v/>
      </c>
      <c r="P31">
        <f>IF(M31=1,IF(O31=1,-L31,100)+N31+ROW()*0.000000000001,"")</f>
        <v/>
      </c>
      <c r="Q31">
        <f>IF(H31="","",Q30&amp;", "&amp;H31)</f>
        <v/>
      </c>
    </row>
    <row r="32">
      <c r="A32" t="n">
        <v>28</v>
      </c>
      <c r="B32">
        <f>'MERCADO NPH'!AA36</f>
        <v/>
      </c>
      <c r="C32">
        <f>IF(ISNUMBER(B32),'MERCADO NPH'!A36,"")</f>
        <v/>
      </c>
      <c r="D32">
        <f>IF(NOT(ISNUMBER(B32)),0,IF(OR(COMBINACIONES_NPH!$B$6="NO",$J$3&lt;=COMBINACIONES_NPH!$B$5),1,IF(AND(B32&gt;=COMBINACIONES_NPH!$B$3,B32&lt;=COMBINACIONES_NPH!$B$4),1,0)))</f>
        <v/>
      </c>
      <c r="E32">
        <f>IF(D32=1,B32+A32*0.000000001,"")</f>
        <v/>
      </c>
      <c r="F32">
        <f>IF(D32=1,COUNTIF($E$5:$E$34,"&lt;"&amp;E32)+1,"")</f>
        <v/>
      </c>
      <c r="G32" t="n">
        <v>28</v>
      </c>
      <c r="H32">
        <f>IFERROR(INDEX($C$5:$C$34,MATCH(SMALL($E$5:$E$34,G32),$E$5:$E$34,0)),"")</f>
        <v/>
      </c>
      <c r="I32">
        <f>IFERROR(INDEX($B$5:$B$34,MATCH(SMALL($E$5:$E$34,G32),$E$5:$E$34,0)),"")</f>
        <v/>
      </c>
      <c r="J32">
        <f>I32</f>
        <v/>
      </c>
      <c r="K32" t="n">
        <v>1</v>
      </c>
      <c r="L32" t="n">
        <v>30</v>
      </c>
      <c r="M32">
        <f>IF(AND(L32&gt;=COMBINACIONES_NPH!$B$9,K32+L32-1&lt;=$J$2),1,0)</f>
        <v/>
      </c>
      <c r="N32">
        <f>IF(M32=1,_xlfn.STDEV.S(INDEX($J$5:$J$34,K32):INDEX($J$5:$J$34,K32+L32-1))/AVERAGE(INDEX($J$5:$J$34,K32):INDEX($J$5:$J$34,K32+L32-1)),"")</f>
        <v/>
      </c>
      <c r="O32">
        <f>IF(M32=1,IF(N32&lt;=COMBINACIONES_NPH!$B$5,1,0),"")</f>
        <v/>
      </c>
      <c r="P32">
        <f>IF(M32=1,IF(O32=1,-L32,100)+N32+ROW()*0.000000000001,"")</f>
        <v/>
      </c>
      <c r="Q32">
        <f>IF(H32="","",Q31&amp;", "&amp;H32)</f>
        <v/>
      </c>
    </row>
    <row r="33">
      <c r="A33" t="n">
        <v>29</v>
      </c>
      <c r="B33">
        <f>'MERCADO NPH'!AA37</f>
        <v/>
      </c>
      <c r="C33">
        <f>IF(ISNUMBER(B33),'MERCADO NPH'!A37,"")</f>
        <v/>
      </c>
      <c r="D33">
        <f>IF(NOT(ISNUMBER(B33)),0,IF(OR(COMBINACIONES_NPH!$B$6="NO",$J$3&lt;=COMBINACIONES_NPH!$B$5),1,IF(AND(B33&gt;=COMBINACIONES_NPH!$B$3,B33&lt;=COMBINACIONES_NPH!$B$4),1,0)))</f>
        <v/>
      </c>
      <c r="E33">
        <f>IF(D33=1,B33+A33*0.000000001,"")</f>
        <v/>
      </c>
      <c r="F33">
        <f>IF(D33=1,COUNTIF($E$5:$E$34,"&lt;"&amp;E33)+1,"")</f>
        <v/>
      </c>
      <c r="G33" t="n">
        <v>29</v>
      </c>
      <c r="H33">
        <f>IFERROR(INDEX($C$5:$C$34,MATCH(SMALL($E$5:$E$34,G33),$E$5:$E$34,0)),"")</f>
        <v/>
      </c>
      <c r="I33">
        <f>IFERROR(INDEX($B$5:$B$34,MATCH(SMALL($E$5:$E$34,G33),$E$5:$E$34,0)),"")</f>
        <v/>
      </c>
      <c r="J33">
        <f>I33</f>
        <v/>
      </c>
      <c r="K33" t="n">
        <v>2</v>
      </c>
      <c r="L33" t="n">
        <v>3</v>
      </c>
      <c r="M33">
        <f>IF(AND(L33&gt;=COMBINACIONES_NPH!$B$9,K33+L33-1&lt;=$J$2),1,0)</f>
        <v/>
      </c>
      <c r="N33">
        <f>IF(M33=1,_xlfn.STDEV.S(INDEX($J$5:$J$34,K33):INDEX($J$5:$J$34,K33+L33-1))/AVERAGE(INDEX($J$5:$J$34,K33):INDEX($J$5:$J$34,K33+L33-1)),"")</f>
        <v/>
      </c>
      <c r="O33">
        <f>IF(M33=1,IF(N33&lt;=COMBINACIONES_NPH!$B$5,1,0),"")</f>
        <v/>
      </c>
      <c r="P33">
        <f>IF(M33=1,IF(O33=1,-L33,100)+N33+ROW()*0.000000000001,"")</f>
        <v/>
      </c>
      <c r="Q33">
        <f>IF(H33="","",Q32&amp;", "&amp;H33)</f>
        <v/>
      </c>
    </row>
    <row r="34">
      <c r="A34" t="n">
        <v>30</v>
      </c>
      <c r="B34">
        <f>'MERCADO NPH'!AA38</f>
        <v/>
      </c>
      <c r="C34">
        <f>IF(ISNUMBER(B34),'MERCADO NPH'!A38,"")</f>
        <v/>
      </c>
      <c r="D34">
        <f>IF(NOT(ISNUMBER(B34)),0,IF(OR(COMBINACIONES_NPH!$B$6="NO",$J$3&lt;=COMBINACIONES_NPH!$B$5),1,IF(AND(B34&gt;=COMBINACIONES_NPH!$B$3,B34&lt;=COMBINACIONES_NPH!$B$4),1,0)))</f>
        <v/>
      </c>
      <c r="E34">
        <f>IF(D34=1,B34+A34*0.000000001,"")</f>
        <v/>
      </c>
      <c r="F34">
        <f>IF(D34=1,COUNTIF($E$5:$E$34,"&lt;"&amp;E34)+1,"")</f>
        <v/>
      </c>
      <c r="G34" t="n">
        <v>30</v>
      </c>
      <c r="H34">
        <f>IFERROR(INDEX($C$5:$C$34,MATCH(SMALL($E$5:$E$34,G34),$E$5:$E$34,0)),"")</f>
        <v/>
      </c>
      <c r="I34">
        <f>IFERROR(INDEX($B$5:$B$34,MATCH(SMALL($E$5:$E$34,G34),$E$5:$E$34,0)),"")</f>
        <v/>
      </c>
      <c r="J34">
        <f>I34</f>
        <v/>
      </c>
      <c r="K34" t="n">
        <v>2</v>
      </c>
      <c r="L34" t="n">
        <v>4</v>
      </c>
      <c r="M34">
        <f>IF(AND(L34&gt;=COMBINACIONES_NPH!$B$9,K34+L34-1&lt;=$J$2),1,0)</f>
        <v/>
      </c>
      <c r="N34">
        <f>IF(M34=1,_xlfn.STDEV.S(INDEX($J$5:$J$34,K34):INDEX($J$5:$J$34,K34+L34-1))/AVERAGE(INDEX($J$5:$J$34,K34):INDEX($J$5:$J$34,K34+L34-1)),"")</f>
        <v/>
      </c>
      <c r="O34">
        <f>IF(M34=1,IF(N34&lt;=COMBINACIONES_NPH!$B$5,1,0),"")</f>
        <v/>
      </c>
      <c r="P34">
        <f>IF(M34=1,IF(O34=1,-L34,100)+N34+ROW()*0.000000000001,"")</f>
        <v/>
      </c>
      <c r="Q34">
        <f>IF(H34="","",Q33&amp;", "&amp;H34)</f>
        <v/>
      </c>
    </row>
    <row r="35">
      <c r="K35" t="n">
        <v>2</v>
      </c>
      <c r="L35" t="n">
        <v>5</v>
      </c>
      <c r="M35">
        <f>IF(AND(L35&gt;=COMBINACIONES_NPH!$B$9,K35+L35-1&lt;=$J$2),1,0)</f>
        <v/>
      </c>
      <c r="N35">
        <f>IF(M35=1,_xlfn.STDEV.S(INDEX($J$5:$J$34,K35):INDEX($J$5:$J$34,K35+L35-1))/AVERAGE(INDEX($J$5:$J$34,K35):INDEX($J$5:$J$34,K35+L35-1)),"")</f>
        <v/>
      </c>
      <c r="O35">
        <f>IF(M35=1,IF(N35&lt;=COMBINACIONES_NPH!$B$5,1,0),"")</f>
        <v/>
      </c>
      <c r="P35">
        <f>IF(M35=1,IF(O35=1,-L35,100)+N35+ROW()*0.000000000001,"")</f>
        <v/>
      </c>
    </row>
    <row r="36">
      <c r="K36" t="n">
        <v>2</v>
      </c>
      <c r="L36" t="n">
        <v>6</v>
      </c>
      <c r="M36">
        <f>IF(AND(L36&gt;=COMBINACIONES_NPH!$B$9,K36+L36-1&lt;=$J$2),1,0)</f>
        <v/>
      </c>
      <c r="N36">
        <f>IF(M36=1,_xlfn.STDEV.S(INDEX($J$5:$J$34,K36):INDEX($J$5:$J$34,K36+L36-1))/AVERAGE(INDEX($J$5:$J$34,K36):INDEX($J$5:$J$34,K36+L36-1)),"")</f>
        <v/>
      </c>
      <c r="O36">
        <f>IF(M36=1,IF(N36&lt;=COMBINACIONES_NPH!$B$5,1,0),"")</f>
        <v/>
      </c>
      <c r="P36">
        <f>IF(M36=1,IF(O36=1,-L36,100)+N36+ROW()*0.000000000001,"")</f>
        <v/>
      </c>
    </row>
    <row r="37">
      <c r="K37" t="n">
        <v>2</v>
      </c>
      <c r="L37" t="n">
        <v>7</v>
      </c>
      <c r="M37">
        <f>IF(AND(L37&gt;=COMBINACIONES_NPH!$B$9,K37+L37-1&lt;=$J$2),1,0)</f>
        <v/>
      </c>
      <c r="N37">
        <f>IF(M37=1,_xlfn.STDEV.S(INDEX($J$5:$J$34,K37):INDEX($J$5:$J$34,K37+L37-1))/AVERAGE(INDEX($J$5:$J$34,K37):INDEX($J$5:$J$34,K37+L37-1)),"")</f>
        <v/>
      </c>
      <c r="O37">
        <f>IF(M37=1,IF(N37&lt;=COMBINACIONES_NPH!$B$5,1,0),"")</f>
        <v/>
      </c>
      <c r="P37">
        <f>IF(M37=1,IF(O37=1,-L37,100)+N37+ROW()*0.000000000001,"")</f>
        <v/>
      </c>
    </row>
    <row r="38">
      <c r="K38" t="n">
        <v>2</v>
      </c>
      <c r="L38" t="n">
        <v>8</v>
      </c>
      <c r="M38">
        <f>IF(AND(L38&gt;=COMBINACIONES_NPH!$B$9,K38+L38-1&lt;=$J$2),1,0)</f>
        <v/>
      </c>
      <c r="N38">
        <f>IF(M38=1,_xlfn.STDEV.S(INDEX($J$5:$J$34,K38):INDEX($J$5:$J$34,K38+L38-1))/AVERAGE(INDEX($J$5:$J$34,K38):INDEX($J$5:$J$34,K38+L38-1)),"")</f>
        <v/>
      </c>
      <c r="O38">
        <f>IF(M38=1,IF(N38&lt;=COMBINACIONES_NPH!$B$5,1,0),"")</f>
        <v/>
      </c>
      <c r="P38">
        <f>IF(M38=1,IF(O38=1,-L38,100)+N38+ROW()*0.000000000001,"")</f>
        <v/>
      </c>
    </row>
    <row r="39">
      <c r="K39" t="n">
        <v>2</v>
      </c>
      <c r="L39" t="n">
        <v>9</v>
      </c>
      <c r="M39">
        <f>IF(AND(L39&gt;=COMBINACIONES_NPH!$B$9,K39+L39-1&lt;=$J$2),1,0)</f>
        <v/>
      </c>
      <c r="N39">
        <f>IF(M39=1,_xlfn.STDEV.S(INDEX($J$5:$J$34,K39):INDEX($J$5:$J$34,K39+L39-1))/AVERAGE(INDEX($J$5:$J$34,K39):INDEX($J$5:$J$34,K39+L39-1)),"")</f>
        <v/>
      </c>
      <c r="O39">
        <f>IF(M39=1,IF(N39&lt;=COMBINACIONES_NPH!$B$5,1,0),"")</f>
        <v/>
      </c>
      <c r="P39">
        <f>IF(M39=1,IF(O39=1,-L39,100)+N39+ROW()*0.000000000001,"")</f>
        <v/>
      </c>
    </row>
    <row r="40">
      <c r="K40" t="n">
        <v>2</v>
      </c>
      <c r="L40" t="n">
        <v>10</v>
      </c>
      <c r="M40">
        <f>IF(AND(L40&gt;=COMBINACIONES_NPH!$B$9,K40+L40-1&lt;=$J$2),1,0)</f>
        <v/>
      </c>
      <c r="N40">
        <f>IF(M40=1,_xlfn.STDEV.S(INDEX($J$5:$J$34,K40):INDEX($J$5:$J$34,K40+L40-1))/AVERAGE(INDEX($J$5:$J$34,K40):INDEX($J$5:$J$34,K40+L40-1)),"")</f>
        <v/>
      </c>
      <c r="O40">
        <f>IF(M40=1,IF(N40&lt;=COMBINACIONES_NPH!$B$5,1,0),"")</f>
        <v/>
      </c>
      <c r="P40">
        <f>IF(M40=1,IF(O40=1,-L40,100)+N40+ROW()*0.000000000001,"")</f>
        <v/>
      </c>
    </row>
    <row r="41">
      <c r="K41" t="n">
        <v>2</v>
      </c>
      <c r="L41" t="n">
        <v>11</v>
      </c>
      <c r="M41">
        <f>IF(AND(L41&gt;=COMBINACIONES_NPH!$B$9,K41+L41-1&lt;=$J$2),1,0)</f>
        <v/>
      </c>
      <c r="N41">
        <f>IF(M41=1,_xlfn.STDEV.S(INDEX($J$5:$J$34,K41):INDEX($J$5:$J$34,K41+L41-1))/AVERAGE(INDEX($J$5:$J$34,K41):INDEX($J$5:$J$34,K41+L41-1)),"")</f>
        <v/>
      </c>
      <c r="O41">
        <f>IF(M41=1,IF(N41&lt;=COMBINACIONES_NPH!$B$5,1,0),"")</f>
        <v/>
      </c>
      <c r="P41">
        <f>IF(M41=1,IF(O41=1,-L41,100)+N41+ROW()*0.000000000001,"")</f>
        <v/>
      </c>
    </row>
    <row r="42">
      <c r="K42" t="n">
        <v>2</v>
      </c>
      <c r="L42" t="n">
        <v>12</v>
      </c>
      <c r="M42">
        <f>IF(AND(L42&gt;=COMBINACIONES_NPH!$B$9,K42+L42-1&lt;=$J$2),1,0)</f>
        <v/>
      </c>
      <c r="N42">
        <f>IF(M42=1,_xlfn.STDEV.S(INDEX($J$5:$J$34,K42):INDEX($J$5:$J$34,K42+L42-1))/AVERAGE(INDEX($J$5:$J$34,K42):INDEX($J$5:$J$34,K42+L42-1)),"")</f>
        <v/>
      </c>
      <c r="O42">
        <f>IF(M42=1,IF(N42&lt;=COMBINACIONES_NPH!$B$5,1,0),"")</f>
        <v/>
      </c>
      <c r="P42">
        <f>IF(M42=1,IF(O42=1,-L42,100)+N42+ROW()*0.000000000001,"")</f>
        <v/>
      </c>
    </row>
    <row r="43">
      <c r="K43" t="n">
        <v>2</v>
      </c>
      <c r="L43" t="n">
        <v>13</v>
      </c>
      <c r="M43">
        <f>IF(AND(L43&gt;=COMBINACIONES_NPH!$B$9,K43+L43-1&lt;=$J$2),1,0)</f>
        <v/>
      </c>
      <c r="N43">
        <f>IF(M43=1,_xlfn.STDEV.S(INDEX($J$5:$J$34,K43):INDEX($J$5:$J$34,K43+L43-1))/AVERAGE(INDEX($J$5:$J$34,K43):INDEX($J$5:$J$34,K43+L43-1)),"")</f>
        <v/>
      </c>
      <c r="O43">
        <f>IF(M43=1,IF(N43&lt;=COMBINACIONES_NPH!$B$5,1,0),"")</f>
        <v/>
      </c>
      <c r="P43">
        <f>IF(M43=1,IF(O43=1,-L43,100)+N43+ROW()*0.000000000001,"")</f>
        <v/>
      </c>
    </row>
    <row r="44">
      <c r="K44" t="n">
        <v>2</v>
      </c>
      <c r="L44" t="n">
        <v>14</v>
      </c>
      <c r="M44">
        <f>IF(AND(L44&gt;=COMBINACIONES_NPH!$B$9,K44+L44-1&lt;=$J$2),1,0)</f>
        <v/>
      </c>
      <c r="N44">
        <f>IF(M44=1,_xlfn.STDEV.S(INDEX($J$5:$J$34,K44):INDEX($J$5:$J$34,K44+L44-1))/AVERAGE(INDEX($J$5:$J$34,K44):INDEX($J$5:$J$34,K44+L44-1)),"")</f>
        <v/>
      </c>
      <c r="O44">
        <f>IF(M44=1,IF(N44&lt;=COMBINACIONES_NPH!$B$5,1,0),"")</f>
        <v/>
      </c>
      <c r="P44">
        <f>IF(M44=1,IF(O44=1,-L44,100)+N44+ROW()*0.000000000001,"")</f>
        <v/>
      </c>
    </row>
    <row r="45">
      <c r="K45" t="n">
        <v>2</v>
      </c>
      <c r="L45" t="n">
        <v>15</v>
      </c>
      <c r="M45">
        <f>IF(AND(L45&gt;=COMBINACIONES_NPH!$B$9,K45+L45-1&lt;=$J$2),1,0)</f>
        <v/>
      </c>
      <c r="N45">
        <f>IF(M45=1,_xlfn.STDEV.S(INDEX($J$5:$J$34,K45):INDEX($J$5:$J$34,K45+L45-1))/AVERAGE(INDEX($J$5:$J$34,K45):INDEX($J$5:$J$34,K45+L45-1)),"")</f>
        <v/>
      </c>
      <c r="O45">
        <f>IF(M45=1,IF(N45&lt;=COMBINACIONES_NPH!$B$5,1,0),"")</f>
        <v/>
      </c>
      <c r="P45">
        <f>IF(M45=1,IF(O45=1,-L45,100)+N45+ROW()*0.000000000001,"")</f>
        <v/>
      </c>
    </row>
    <row r="46">
      <c r="K46" t="n">
        <v>2</v>
      </c>
      <c r="L46" t="n">
        <v>16</v>
      </c>
      <c r="M46">
        <f>IF(AND(L46&gt;=COMBINACIONES_NPH!$B$9,K46+L46-1&lt;=$J$2),1,0)</f>
        <v/>
      </c>
      <c r="N46">
        <f>IF(M46=1,_xlfn.STDEV.S(INDEX($J$5:$J$34,K46):INDEX($J$5:$J$34,K46+L46-1))/AVERAGE(INDEX($J$5:$J$34,K46):INDEX($J$5:$J$34,K46+L46-1)),"")</f>
        <v/>
      </c>
      <c r="O46">
        <f>IF(M46=1,IF(N46&lt;=COMBINACIONES_NPH!$B$5,1,0),"")</f>
        <v/>
      </c>
      <c r="P46">
        <f>IF(M46=1,IF(O46=1,-L46,100)+N46+ROW()*0.000000000001,"")</f>
        <v/>
      </c>
    </row>
    <row r="47">
      <c r="K47" t="n">
        <v>2</v>
      </c>
      <c r="L47" t="n">
        <v>17</v>
      </c>
      <c r="M47">
        <f>IF(AND(L47&gt;=COMBINACIONES_NPH!$B$9,K47+L47-1&lt;=$J$2),1,0)</f>
        <v/>
      </c>
      <c r="N47">
        <f>IF(M47=1,_xlfn.STDEV.S(INDEX($J$5:$J$34,K47):INDEX($J$5:$J$34,K47+L47-1))/AVERAGE(INDEX($J$5:$J$34,K47):INDEX($J$5:$J$34,K47+L47-1)),"")</f>
        <v/>
      </c>
      <c r="O47">
        <f>IF(M47=1,IF(N47&lt;=COMBINACIONES_NPH!$B$5,1,0),"")</f>
        <v/>
      </c>
      <c r="P47">
        <f>IF(M47=1,IF(O47=1,-L47,100)+N47+ROW()*0.000000000001,"")</f>
        <v/>
      </c>
    </row>
    <row r="48">
      <c r="K48" t="n">
        <v>2</v>
      </c>
      <c r="L48" t="n">
        <v>18</v>
      </c>
      <c r="M48">
        <f>IF(AND(L48&gt;=COMBINACIONES_NPH!$B$9,K48+L48-1&lt;=$J$2),1,0)</f>
        <v/>
      </c>
      <c r="N48">
        <f>IF(M48=1,_xlfn.STDEV.S(INDEX($J$5:$J$34,K48):INDEX($J$5:$J$34,K48+L48-1))/AVERAGE(INDEX($J$5:$J$34,K48):INDEX($J$5:$J$34,K48+L48-1)),"")</f>
        <v/>
      </c>
      <c r="O48">
        <f>IF(M48=1,IF(N48&lt;=COMBINACIONES_NPH!$B$5,1,0),"")</f>
        <v/>
      </c>
      <c r="P48">
        <f>IF(M48=1,IF(O48=1,-L48,100)+N48+ROW()*0.000000000001,"")</f>
        <v/>
      </c>
    </row>
    <row r="49">
      <c r="K49" t="n">
        <v>2</v>
      </c>
      <c r="L49" t="n">
        <v>19</v>
      </c>
      <c r="M49">
        <f>IF(AND(L49&gt;=COMBINACIONES_NPH!$B$9,K49+L49-1&lt;=$J$2),1,0)</f>
        <v/>
      </c>
      <c r="N49">
        <f>IF(M49=1,_xlfn.STDEV.S(INDEX($J$5:$J$34,K49):INDEX($J$5:$J$34,K49+L49-1))/AVERAGE(INDEX($J$5:$J$34,K49):INDEX($J$5:$J$34,K49+L49-1)),"")</f>
        <v/>
      </c>
      <c r="O49">
        <f>IF(M49=1,IF(N49&lt;=COMBINACIONES_NPH!$B$5,1,0),"")</f>
        <v/>
      </c>
      <c r="P49">
        <f>IF(M49=1,IF(O49=1,-L49,100)+N49+ROW()*0.000000000001,"")</f>
        <v/>
      </c>
    </row>
    <row r="50">
      <c r="K50" t="n">
        <v>2</v>
      </c>
      <c r="L50" t="n">
        <v>20</v>
      </c>
      <c r="M50">
        <f>IF(AND(L50&gt;=COMBINACIONES_NPH!$B$9,K50+L50-1&lt;=$J$2),1,0)</f>
        <v/>
      </c>
      <c r="N50">
        <f>IF(M50=1,_xlfn.STDEV.S(INDEX($J$5:$J$34,K50):INDEX($J$5:$J$34,K50+L50-1))/AVERAGE(INDEX($J$5:$J$34,K50):INDEX($J$5:$J$34,K50+L50-1)),"")</f>
        <v/>
      </c>
      <c r="O50">
        <f>IF(M50=1,IF(N50&lt;=COMBINACIONES_NPH!$B$5,1,0),"")</f>
        <v/>
      </c>
      <c r="P50">
        <f>IF(M50=1,IF(O50=1,-L50,100)+N50+ROW()*0.000000000001,"")</f>
        <v/>
      </c>
    </row>
    <row r="51">
      <c r="K51" t="n">
        <v>2</v>
      </c>
      <c r="L51" t="n">
        <v>21</v>
      </c>
      <c r="M51">
        <f>IF(AND(L51&gt;=COMBINACIONES_NPH!$B$9,K51+L51-1&lt;=$J$2),1,0)</f>
        <v/>
      </c>
      <c r="N51">
        <f>IF(M51=1,_xlfn.STDEV.S(INDEX($J$5:$J$34,K51):INDEX($J$5:$J$34,K51+L51-1))/AVERAGE(INDEX($J$5:$J$34,K51):INDEX($J$5:$J$34,K51+L51-1)),"")</f>
        <v/>
      </c>
      <c r="O51">
        <f>IF(M51=1,IF(N51&lt;=COMBINACIONES_NPH!$B$5,1,0),"")</f>
        <v/>
      </c>
      <c r="P51">
        <f>IF(M51=1,IF(O51=1,-L51,100)+N51+ROW()*0.000000000001,"")</f>
        <v/>
      </c>
    </row>
    <row r="52">
      <c r="K52" t="n">
        <v>2</v>
      </c>
      <c r="L52" t="n">
        <v>22</v>
      </c>
      <c r="M52">
        <f>IF(AND(L52&gt;=COMBINACIONES_NPH!$B$9,K52+L52-1&lt;=$J$2),1,0)</f>
        <v/>
      </c>
      <c r="N52">
        <f>IF(M52=1,_xlfn.STDEV.S(INDEX($J$5:$J$34,K52):INDEX($J$5:$J$34,K52+L52-1))/AVERAGE(INDEX($J$5:$J$34,K52):INDEX($J$5:$J$34,K52+L52-1)),"")</f>
        <v/>
      </c>
      <c r="O52">
        <f>IF(M52=1,IF(N52&lt;=COMBINACIONES_NPH!$B$5,1,0),"")</f>
        <v/>
      </c>
      <c r="P52">
        <f>IF(M52=1,IF(O52=1,-L52,100)+N52+ROW()*0.000000000001,"")</f>
        <v/>
      </c>
    </row>
    <row r="53">
      <c r="K53" t="n">
        <v>2</v>
      </c>
      <c r="L53" t="n">
        <v>23</v>
      </c>
      <c r="M53">
        <f>IF(AND(L53&gt;=COMBINACIONES_NPH!$B$9,K53+L53-1&lt;=$J$2),1,0)</f>
        <v/>
      </c>
      <c r="N53">
        <f>IF(M53=1,_xlfn.STDEV.S(INDEX($J$5:$J$34,K53):INDEX($J$5:$J$34,K53+L53-1))/AVERAGE(INDEX($J$5:$J$34,K53):INDEX($J$5:$J$34,K53+L53-1)),"")</f>
        <v/>
      </c>
      <c r="O53">
        <f>IF(M53=1,IF(N53&lt;=COMBINACIONES_NPH!$B$5,1,0),"")</f>
        <v/>
      </c>
      <c r="P53">
        <f>IF(M53=1,IF(O53=1,-L53,100)+N53+ROW()*0.000000000001,"")</f>
        <v/>
      </c>
    </row>
    <row r="54">
      <c r="K54" t="n">
        <v>2</v>
      </c>
      <c r="L54" t="n">
        <v>24</v>
      </c>
      <c r="M54">
        <f>IF(AND(L54&gt;=COMBINACIONES_NPH!$B$9,K54+L54-1&lt;=$J$2),1,0)</f>
        <v/>
      </c>
      <c r="N54">
        <f>IF(M54=1,_xlfn.STDEV.S(INDEX($J$5:$J$34,K54):INDEX($J$5:$J$34,K54+L54-1))/AVERAGE(INDEX($J$5:$J$34,K54):INDEX($J$5:$J$34,K54+L54-1)),"")</f>
        <v/>
      </c>
      <c r="O54">
        <f>IF(M54=1,IF(N54&lt;=COMBINACIONES_NPH!$B$5,1,0),"")</f>
        <v/>
      </c>
      <c r="P54">
        <f>IF(M54=1,IF(O54=1,-L54,100)+N54+ROW()*0.000000000001,"")</f>
        <v/>
      </c>
    </row>
    <row r="55">
      <c r="K55" t="n">
        <v>2</v>
      </c>
      <c r="L55" t="n">
        <v>25</v>
      </c>
      <c r="M55">
        <f>IF(AND(L55&gt;=COMBINACIONES_NPH!$B$9,K55+L55-1&lt;=$J$2),1,0)</f>
        <v/>
      </c>
      <c r="N55">
        <f>IF(M55=1,_xlfn.STDEV.S(INDEX($J$5:$J$34,K55):INDEX($J$5:$J$34,K55+L55-1))/AVERAGE(INDEX($J$5:$J$34,K55):INDEX($J$5:$J$34,K55+L55-1)),"")</f>
        <v/>
      </c>
      <c r="O55">
        <f>IF(M55=1,IF(N55&lt;=COMBINACIONES_NPH!$B$5,1,0),"")</f>
        <v/>
      </c>
      <c r="P55">
        <f>IF(M55=1,IF(O55=1,-L55,100)+N55+ROW()*0.000000000001,"")</f>
        <v/>
      </c>
    </row>
    <row r="56">
      <c r="K56" t="n">
        <v>2</v>
      </c>
      <c r="L56" t="n">
        <v>26</v>
      </c>
      <c r="M56">
        <f>IF(AND(L56&gt;=COMBINACIONES_NPH!$B$9,K56+L56-1&lt;=$J$2),1,0)</f>
        <v/>
      </c>
      <c r="N56">
        <f>IF(M56=1,_xlfn.STDEV.S(INDEX($J$5:$J$34,K56):INDEX($J$5:$J$34,K56+L56-1))/AVERAGE(INDEX($J$5:$J$34,K56):INDEX($J$5:$J$34,K56+L56-1)),"")</f>
        <v/>
      </c>
      <c r="O56">
        <f>IF(M56=1,IF(N56&lt;=COMBINACIONES_NPH!$B$5,1,0),"")</f>
        <v/>
      </c>
      <c r="P56">
        <f>IF(M56=1,IF(O56=1,-L56,100)+N56+ROW()*0.000000000001,"")</f>
        <v/>
      </c>
    </row>
    <row r="57">
      <c r="K57" t="n">
        <v>2</v>
      </c>
      <c r="L57" t="n">
        <v>27</v>
      </c>
      <c r="M57">
        <f>IF(AND(L57&gt;=COMBINACIONES_NPH!$B$9,K57+L57-1&lt;=$J$2),1,0)</f>
        <v/>
      </c>
      <c r="N57">
        <f>IF(M57=1,_xlfn.STDEV.S(INDEX($J$5:$J$34,K57):INDEX($J$5:$J$34,K57+L57-1))/AVERAGE(INDEX($J$5:$J$34,K57):INDEX($J$5:$J$34,K57+L57-1)),"")</f>
        <v/>
      </c>
      <c r="O57">
        <f>IF(M57=1,IF(N57&lt;=COMBINACIONES_NPH!$B$5,1,0),"")</f>
        <v/>
      </c>
      <c r="P57">
        <f>IF(M57=1,IF(O57=1,-L57,100)+N57+ROW()*0.000000000001,"")</f>
        <v/>
      </c>
    </row>
    <row r="58">
      <c r="K58" t="n">
        <v>2</v>
      </c>
      <c r="L58" t="n">
        <v>28</v>
      </c>
      <c r="M58">
        <f>IF(AND(L58&gt;=COMBINACIONES_NPH!$B$9,K58+L58-1&lt;=$J$2),1,0)</f>
        <v/>
      </c>
      <c r="N58">
        <f>IF(M58=1,_xlfn.STDEV.S(INDEX($J$5:$J$34,K58):INDEX($J$5:$J$34,K58+L58-1))/AVERAGE(INDEX($J$5:$J$34,K58):INDEX($J$5:$J$34,K58+L58-1)),"")</f>
        <v/>
      </c>
      <c r="O58">
        <f>IF(M58=1,IF(N58&lt;=COMBINACIONES_NPH!$B$5,1,0),"")</f>
        <v/>
      </c>
      <c r="P58">
        <f>IF(M58=1,IF(O58=1,-L58,100)+N58+ROW()*0.000000000001,"")</f>
        <v/>
      </c>
    </row>
    <row r="59">
      <c r="K59" t="n">
        <v>2</v>
      </c>
      <c r="L59" t="n">
        <v>29</v>
      </c>
      <c r="M59">
        <f>IF(AND(L59&gt;=COMBINACIONES_NPH!$B$9,K59+L59-1&lt;=$J$2),1,0)</f>
        <v/>
      </c>
      <c r="N59">
        <f>IF(M59=1,_xlfn.STDEV.S(INDEX($J$5:$J$34,K59):INDEX($J$5:$J$34,K59+L59-1))/AVERAGE(INDEX($J$5:$J$34,K59):INDEX($J$5:$J$34,K59+L59-1)),"")</f>
        <v/>
      </c>
      <c r="O59">
        <f>IF(M59=1,IF(N59&lt;=COMBINACIONES_NPH!$B$5,1,0),"")</f>
        <v/>
      </c>
      <c r="P59">
        <f>IF(M59=1,IF(O59=1,-L59,100)+N59+ROW()*0.000000000001,"")</f>
        <v/>
      </c>
    </row>
    <row r="60">
      <c r="K60" t="n">
        <v>3</v>
      </c>
      <c r="L60" t="n">
        <v>3</v>
      </c>
      <c r="M60">
        <f>IF(AND(L60&gt;=COMBINACIONES_NPH!$B$9,K60+L60-1&lt;=$J$2),1,0)</f>
        <v/>
      </c>
      <c r="N60">
        <f>IF(M60=1,_xlfn.STDEV.S(INDEX($J$5:$J$34,K60):INDEX($J$5:$J$34,K60+L60-1))/AVERAGE(INDEX($J$5:$J$34,K60):INDEX($J$5:$J$34,K60+L60-1)),"")</f>
        <v/>
      </c>
      <c r="O60">
        <f>IF(M60=1,IF(N60&lt;=COMBINACIONES_NPH!$B$5,1,0),"")</f>
        <v/>
      </c>
      <c r="P60">
        <f>IF(M60=1,IF(O60=1,-L60,100)+N60+ROW()*0.000000000001,"")</f>
        <v/>
      </c>
    </row>
    <row r="61">
      <c r="K61" t="n">
        <v>3</v>
      </c>
      <c r="L61" t="n">
        <v>4</v>
      </c>
      <c r="M61">
        <f>IF(AND(L61&gt;=COMBINACIONES_NPH!$B$9,K61+L61-1&lt;=$J$2),1,0)</f>
        <v/>
      </c>
      <c r="N61">
        <f>IF(M61=1,_xlfn.STDEV.S(INDEX($J$5:$J$34,K61):INDEX($J$5:$J$34,K61+L61-1))/AVERAGE(INDEX($J$5:$J$34,K61):INDEX($J$5:$J$34,K61+L61-1)),"")</f>
        <v/>
      </c>
      <c r="O61">
        <f>IF(M61=1,IF(N61&lt;=COMBINACIONES_NPH!$B$5,1,0),"")</f>
        <v/>
      </c>
      <c r="P61">
        <f>IF(M61=1,IF(O61=1,-L61,100)+N61+ROW()*0.000000000001,"")</f>
        <v/>
      </c>
    </row>
    <row r="62">
      <c r="K62" t="n">
        <v>3</v>
      </c>
      <c r="L62" t="n">
        <v>5</v>
      </c>
      <c r="M62">
        <f>IF(AND(L62&gt;=COMBINACIONES_NPH!$B$9,K62+L62-1&lt;=$J$2),1,0)</f>
        <v/>
      </c>
      <c r="N62">
        <f>IF(M62=1,_xlfn.STDEV.S(INDEX($J$5:$J$34,K62):INDEX($J$5:$J$34,K62+L62-1))/AVERAGE(INDEX($J$5:$J$34,K62):INDEX($J$5:$J$34,K62+L62-1)),"")</f>
        <v/>
      </c>
      <c r="O62">
        <f>IF(M62=1,IF(N62&lt;=COMBINACIONES_NPH!$B$5,1,0),"")</f>
        <v/>
      </c>
      <c r="P62">
        <f>IF(M62=1,IF(O62=1,-L62,100)+N62+ROW()*0.000000000001,"")</f>
        <v/>
      </c>
    </row>
    <row r="63">
      <c r="K63" t="n">
        <v>3</v>
      </c>
      <c r="L63" t="n">
        <v>6</v>
      </c>
      <c r="M63">
        <f>IF(AND(L63&gt;=COMBINACIONES_NPH!$B$9,K63+L63-1&lt;=$J$2),1,0)</f>
        <v/>
      </c>
      <c r="N63">
        <f>IF(M63=1,_xlfn.STDEV.S(INDEX($J$5:$J$34,K63):INDEX($J$5:$J$34,K63+L63-1))/AVERAGE(INDEX($J$5:$J$34,K63):INDEX($J$5:$J$34,K63+L63-1)),"")</f>
        <v/>
      </c>
      <c r="O63">
        <f>IF(M63=1,IF(N63&lt;=COMBINACIONES_NPH!$B$5,1,0),"")</f>
        <v/>
      </c>
      <c r="P63">
        <f>IF(M63=1,IF(O63=1,-L63,100)+N63+ROW()*0.000000000001,"")</f>
        <v/>
      </c>
    </row>
    <row r="64">
      <c r="K64" t="n">
        <v>3</v>
      </c>
      <c r="L64" t="n">
        <v>7</v>
      </c>
      <c r="M64">
        <f>IF(AND(L64&gt;=COMBINACIONES_NPH!$B$9,K64+L64-1&lt;=$J$2),1,0)</f>
        <v/>
      </c>
      <c r="N64">
        <f>IF(M64=1,_xlfn.STDEV.S(INDEX($J$5:$J$34,K64):INDEX($J$5:$J$34,K64+L64-1))/AVERAGE(INDEX($J$5:$J$34,K64):INDEX($J$5:$J$34,K64+L64-1)),"")</f>
        <v/>
      </c>
      <c r="O64">
        <f>IF(M64=1,IF(N64&lt;=COMBINACIONES_NPH!$B$5,1,0),"")</f>
        <v/>
      </c>
      <c r="P64">
        <f>IF(M64=1,IF(O64=1,-L64,100)+N64+ROW()*0.000000000001,"")</f>
        <v/>
      </c>
    </row>
    <row r="65">
      <c r="K65" t="n">
        <v>3</v>
      </c>
      <c r="L65" t="n">
        <v>8</v>
      </c>
      <c r="M65">
        <f>IF(AND(L65&gt;=COMBINACIONES_NPH!$B$9,K65+L65-1&lt;=$J$2),1,0)</f>
        <v/>
      </c>
      <c r="N65">
        <f>IF(M65=1,_xlfn.STDEV.S(INDEX($J$5:$J$34,K65):INDEX($J$5:$J$34,K65+L65-1))/AVERAGE(INDEX($J$5:$J$34,K65):INDEX($J$5:$J$34,K65+L65-1)),"")</f>
        <v/>
      </c>
      <c r="O65">
        <f>IF(M65=1,IF(N65&lt;=COMBINACIONES_NPH!$B$5,1,0),"")</f>
        <v/>
      </c>
      <c r="P65">
        <f>IF(M65=1,IF(O65=1,-L65,100)+N65+ROW()*0.000000000001,"")</f>
        <v/>
      </c>
    </row>
    <row r="66">
      <c r="K66" t="n">
        <v>3</v>
      </c>
      <c r="L66" t="n">
        <v>9</v>
      </c>
      <c r="M66">
        <f>IF(AND(L66&gt;=COMBINACIONES_NPH!$B$9,K66+L66-1&lt;=$J$2),1,0)</f>
        <v/>
      </c>
      <c r="N66">
        <f>IF(M66=1,_xlfn.STDEV.S(INDEX($J$5:$J$34,K66):INDEX($J$5:$J$34,K66+L66-1))/AVERAGE(INDEX($J$5:$J$34,K66):INDEX($J$5:$J$34,K66+L66-1)),"")</f>
        <v/>
      </c>
      <c r="O66">
        <f>IF(M66=1,IF(N66&lt;=COMBINACIONES_NPH!$B$5,1,0),"")</f>
        <v/>
      </c>
      <c r="P66">
        <f>IF(M66=1,IF(O66=1,-L66,100)+N66+ROW()*0.000000000001,"")</f>
        <v/>
      </c>
    </row>
    <row r="67">
      <c r="K67" t="n">
        <v>3</v>
      </c>
      <c r="L67" t="n">
        <v>10</v>
      </c>
      <c r="M67">
        <f>IF(AND(L67&gt;=COMBINACIONES_NPH!$B$9,K67+L67-1&lt;=$J$2),1,0)</f>
        <v/>
      </c>
      <c r="N67">
        <f>IF(M67=1,_xlfn.STDEV.S(INDEX($J$5:$J$34,K67):INDEX($J$5:$J$34,K67+L67-1))/AVERAGE(INDEX($J$5:$J$34,K67):INDEX($J$5:$J$34,K67+L67-1)),"")</f>
        <v/>
      </c>
      <c r="O67">
        <f>IF(M67=1,IF(N67&lt;=COMBINACIONES_NPH!$B$5,1,0),"")</f>
        <v/>
      </c>
      <c r="P67">
        <f>IF(M67=1,IF(O67=1,-L67,100)+N67+ROW()*0.000000000001,"")</f>
        <v/>
      </c>
    </row>
    <row r="68">
      <c r="K68" t="n">
        <v>3</v>
      </c>
      <c r="L68" t="n">
        <v>11</v>
      </c>
      <c r="M68">
        <f>IF(AND(L68&gt;=COMBINACIONES_NPH!$B$9,K68+L68-1&lt;=$J$2),1,0)</f>
        <v/>
      </c>
      <c r="N68">
        <f>IF(M68=1,_xlfn.STDEV.S(INDEX($J$5:$J$34,K68):INDEX($J$5:$J$34,K68+L68-1))/AVERAGE(INDEX($J$5:$J$34,K68):INDEX($J$5:$J$34,K68+L68-1)),"")</f>
        <v/>
      </c>
      <c r="O68">
        <f>IF(M68=1,IF(N68&lt;=COMBINACIONES_NPH!$B$5,1,0),"")</f>
        <v/>
      </c>
      <c r="P68">
        <f>IF(M68=1,IF(O68=1,-L68,100)+N68+ROW()*0.000000000001,"")</f>
        <v/>
      </c>
    </row>
    <row r="69">
      <c r="K69" t="n">
        <v>3</v>
      </c>
      <c r="L69" t="n">
        <v>12</v>
      </c>
      <c r="M69">
        <f>IF(AND(L69&gt;=COMBINACIONES_NPH!$B$9,K69+L69-1&lt;=$J$2),1,0)</f>
        <v/>
      </c>
      <c r="N69">
        <f>IF(M69=1,_xlfn.STDEV.S(INDEX($J$5:$J$34,K69):INDEX($J$5:$J$34,K69+L69-1))/AVERAGE(INDEX($J$5:$J$34,K69):INDEX($J$5:$J$34,K69+L69-1)),"")</f>
        <v/>
      </c>
      <c r="O69">
        <f>IF(M69=1,IF(N69&lt;=COMBINACIONES_NPH!$B$5,1,0),"")</f>
        <v/>
      </c>
      <c r="P69">
        <f>IF(M69=1,IF(O69=1,-L69,100)+N69+ROW()*0.000000000001,"")</f>
        <v/>
      </c>
    </row>
    <row r="70">
      <c r="K70" t="n">
        <v>3</v>
      </c>
      <c r="L70" t="n">
        <v>13</v>
      </c>
      <c r="M70">
        <f>IF(AND(L70&gt;=COMBINACIONES_NPH!$B$9,K70+L70-1&lt;=$J$2),1,0)</f>
        <v/>
      </c>
      <c r="N70">
        <f>IF(M70=1,_xlfn.STDEV.S(INDEX($J$5:$J$34,K70):INDEX($J$5:$J$34,K70+L70-1))/AVERAGE(INDEX($J$5:$J$34,K70):INDEX($J$5:$J$34,K70+L70-1)),"")</f>
        <v/>
      </c>
      <c r="O70">
        <f>IF(M70=1,IF(N70&lt;=COMBINACIONES_NPH!$B$5,1,0),"")</f>
        <v/>
      </c>
      <c r="P70">
        <f>IF(M70=1,IF(O70=1,-L70,100)+N70+ROW()*0.000000000001,"")</f>
        <v/>
      </c>
    </row>
    <row r="71">
      <c r="K71" t="n">
        <v>3</v>
      </c>
      <c r="L71" t="n">
        <v>14</v>
      </c>
      <c r="M71">
        <f>IF(AND(L71&gt;=COMBINACIONES_NPH!$B$9,K71+L71-1&lt;=$J$2),1,0)</f>
        <v/>
      </c>
      <c r="N71">
        <f>IF(M71=1,_xlfn.STDEV.S(INDEX($J$5:$J$34,K71):INDEX($J$5:$J$34,K71+L71-1))/AVERAGE(INDEX($J$5:$J$34,K71):INDEX($J$5:$J$34,K71+L71-1)),"")</f>
        <v/>
      </c>
      <c r="O71">
        <f>IF(M71=1,IF(N71&lt;=COMBINACIONES_NPH!$B$5,1,0),"")</f>
        <v/>
      </c>
      <c r="P71">
        <f>IF(M71=1,IF(O71=1,-L71,100)+N71+ROW()*0.000000000001,"")</f>
        <v/>
      </c>
    </row>
    <row r="72">
      <c r="K72" t="n">
        <v>3</v>
      </c>
      <c r="L72" t="n">
        <v>15</v>
      </c>
      <c r="M72">
        <f>IF(AND(L72&gt;=COMBINACIONES_NPH!$B$9,K72+L72-1&lt;=$J$2),1,0)</f>
        <v/>
      </c>
      <c r="N72">
        <f>IF(M72=1,_xlfn.STDEV.S(INDEX($J$5:$J$34,K72):INDEX($J$5:$J$34,K72+L72-1))/AVERAGE(INDEX($J$5:$J$34,K72):INDEX($J$5:$J$34,K72+L72-1)),"")</f>
        <v/>
      </c>
      <c r="O72">
        <f>IF(M72=1,IF(N72&lt;=COMBINACIONES_NPH!$B$5,1,0),"")</f>
        <v/>
      </c>
      <c r="P72">
        <f>IF(M72=1,IF(O72=1,-L72,100)+N72+ROW()*0.000000000001,"")</f>
        <v/>
      </c>
    </row>
    <row r="73">
      <c r="K73" t="n">
        <v>3</v>
      </c>
      <c r="L73" t="n">
        <v>16</v>
      </c>
      <c r="M73">
        <f>IF(AND(L73&gt;=COMBINACIONES_NPH!$B$9,K73+L73-1&lt;=$J$2),1,0)</f>
        <v/>
      </c>
      <c r="N73">
        <f>IF(M73=1,_xlfn.STDEV.S(INDEX($J$5:$J$34,K73):INDEX($J$5:$J$34,K73+L73-1))/AVERAGE(INDEX($J$5:$J$34,K73):INDEX($J$5:$J$34,K73+L73-1)),"")</f>
        <v/>
      </c>
      <c r="O73">
        <f>IF(M73=1,IF(N73&lt;=COMBINACIONES_NPH!$B$5,1,0),"")</f>
        <v/>
      </c>
      <c r="P73">
        <f>IF(M73=1,IF(O73=1,-L73,100)+N73+ROW()*0.000000000001,"")</f>
        <v/>
      </c>
    </row>
    <row r="74">
      <c r="K74" t="n">
        <v>3</v>
      </c>
      <c r="L74" t="n">
        <v>17</v>
      </c>
      <c r="M74">
        <f>IF(AND(L74&gt;=COMBINACIONES_NPH!$B$9,K74+L74-1&lt;=$J$2),1,0)</f>
        <v/>
      </c>
      <c r="N74">
        <f>IF(M74=1,_xlfn.STDEV.S(INDEX($J$5:$J$34,K74):INDEX($J$5:$J$34,K74+L74-1))/AVERAGE(INDEX($J$5:$J$34,K74):INDEX($J$5:$J$34,K74+L74-1)),"")</f>
        <v/>
      </c>
      <c r="O74">
        <f>IF(M74=1,IF(N74&lt;=COMBINACIONES_NPH!$B$5,1,0),"")</f>
        <v/>
      </c>
      <c r="P74">
        <f>IF(M74=1,IF(O74=1,-L74,100)+N74+ROW()*0.000000000001,"")</f>
        <v/>
      </c>
    </row>
    <row r="75">
      <c r="K75" t="n">
        <v>3</v>
      </c>
      <c r="L75" t="n">
        <v>18</v>
      </c>
      <c r="M75">
        <f>IF(AND(L75&gt;=COMBINACIONES_NPH!$B$9,K75+L75-1&lt;=$J$2),1,0)</f>
        <v/>
      </c>
      <c r="N75">
        <f>IF(M75=1,_xlfn.STDEV.S(INDEX($J$5:$J$34,K75):INDEX($J$5:$J$34,K75+L75-1))/AVERAGE(INDEX($J$5:$J$34,K75):INDEX($J$5:$J$34,K75+L75-1)),"")</f>
        <v/>
      </c>
      <c r="O75">
        <f>IF(M75=1,IF(N75&lt;=COMBINACIONES_NPH!$B$5,1,0),"")</f>
        <v/>
      </c>
      <c r="P75">
        <f>IF(M75=1,IF(O75=1,-L75,100)+N75+ROW()*0.000000000001,"")</f>
        <v/>
      </c>
    </row>
    <row r="76">
      <c r="K76" t="n">
        <v>3</v>
      </c>
      <c r="L76" t="n">
        <v>19</v>
      </c>
      <c r="M76">
        <f>IF(AND(L76&gt;=COMBINACIONES_NPH!$B$9,K76+L76-1&lt;=$J$2),1,0)</f>
        <v/>
      </c>
      <c r="N76">
        <f>IF(M76=1,_xlfn.STDEV.S(INDEX($J$5:$J$34,K76):INDEX($J$5:$J$34,K76+L76-1))/AVERAGE(INDEX($J$5:$J$34,K76):INDEX($J$5:$J$34,K76+L76-1)),"")</f>
        <v/>
      </c>
      <c r="O76">
        <f>IF(M76=1,IF(N76&lt;=COMBINACIONES_NPH!$B$5,1,0),"")</f>
        <v/>
      </c>
      <c r="P76">
        <f>IF(M76=1,IF(O76=1,-L76,100)+N76+ROW()*0.000000000001,"")</f>
        <v/>
      </c>
    </row>
    <row r="77">
      <c r="K77" t="n">
        <v>3</v>
      </c>
      <c r="L77" t="n">
        <v>20</v>
      </c>
      <c r="M77">
        <f>IF(AND(L77&gt;=COMBINACIONES_NPH!$B$9,K77+L77-1&lt;=$J$2),1,0)</f>
        <v/>
      </c>
      <c r="N77">
        <f>IF(M77=1,_xlfn.STDEV.S(INDEX($J$5:$J$34,K77):INDEX($J$5:$J$34,K77+L77-1))/AVERAGE(INDEX($J$5:$J$34,K77):INDEX($J$5:$J$34,K77+L77-1)),"")</f>
        <v/>
      </c>
      <c r="O77">
        <f>IF(M77=1,IF(N77&lt;=COMBINACIONES_NPH!$B$5,1,0),"")</f>
        <v/>
      </c>
      <c r="P77">
        <f>IF(M77=1,IF(O77=1,-L77,100)+N77+ROW()*0.000000000001,"")</f>
        <v/>
      </c>
    </row>
    <row r="78">
      <c r="K78" t="n">
        <v>3</v>
      </c>
      <c r="L78" t="n">
        <v>21</v>
      </c>
      <c r="M78">
        <f>IF(AND(L78&gt;=COMBINACIONES_NPH!$B$9,K78+L78-1&lt;=$J$2),1,0)</f>
        <v/>
      </c>
      <c r="N78">
        <f>IF(M78=1,_xlfn.STDEV.S(INDEX($J$5:$J$34,K78):INDEX($J$5:$J$34,K78+L78-1))/AVERAGE(INDEX($J$5:$J$34,K78):INDEX($J$5:$J$34,K78+L78-1)),"")</f>
        <v/>
      </c>
      <c r="O78">
        <f>IF(M78=1,IF(N78&lt;=COMBINACIONES_NPH!$B$5,1,0),"")</f>
        <v/>
      </c>
      <c r="P78">
        <f>IF(M78=1,IF(O78=1,-L78,100)+N78+ROW()*0.000000000001,"")</f>
        <v/>
      </c>
    </row>
    <row r="79">
      <c r="K79" t="n">
        <v>3</v>
      </c>
      <c r="L79" t="n">
        <v>22</v>
      </c>
      <c r="M79">
        <f>IF(AND(L79&gt;=COMBINACIONES_NPH!$B$9,K79+L79-1&lt;=$J$2),1,0)</f>
        <v/>
      </c>
      <c r="N79">
        <f>IF(M79=1,_xlfn.STDEV.S(INDEX($J$5:$J$34,K79):INDEX($J$5:$J$34,K79+L79-1))/AVERAGE(INDEX($J$5:$J$34,K79):INDEX($J$5:$J$34,K79+L79-1)),"")</f>
        <v/>
      </c>
      <c r="O79">
        <f>IF(M79=1,IF(N79&lt;=COMBINACIONES_NPH!$B$5,1,0),"")</f>
        <v/>
      </c>
      <c r="P79">
        <f>IF(M79=1,IF(O79=1,-L79,100)+N79+ROW()*0.000000000001,"")</f>
        <v/>
      </c>
    </row>
    <row r="80">
      <c r="K80" t="n">
        <v>3</v>
      </c>
      <c r="L80" t="n">
        <v>23</v>
      </c>
      <c r="M80">
        <f>IF(AND(L80&gt;=COMBINACIONES_NPH!$B$9,K80+L80-1&lt;=$J$2),1,0)</f>
        <v/>
      </c>
      <c r="N80">
        <f>IF(M80=1,_xlfn.STDEV.S(INDEX($J$5:$J$34,K80):INDEX($J$5:$J$34,K80+L80-1))/AVERAGE(INDEX($J$5:$J$34,K80):INDEX($J$5:$J$34,K80+L80-1)),"")</f>
        <v/>
      </c>
      <c r="O80">
        <f>IF(M80=1,IF(N80&lt;=COMBINACIONES_NPH!$B$5,1,0),"")</f>
        <v/>
      </c>
      <c r="P80">
        <f>IF(M80=1,IF(O80=1,-L80,100)+N80+ROW()*0.000000000001,"")</f>
        <v/>
      </c>
    </row>
    <row r="81">
      <c r="K81" t="n">
        <v>3</v>
      </c>
      <c r="L81" t="n">
        <v>24</v>
      </c>
      <c r="M81">
        <f>IF(AND(L81&gt;=COMBINACIONES_NPH!$B$9,K81+L81-1&lt;=$J$2),1,0)</f>
        <v/>
      </c>
      <c r="N81">
        <f>IF(M81=1,_xlfn.STDEV.S(INDEX($J$5:$J$34,K81):INDEX($J$5:$J$34,K81+L81-1))/AVERAGE(INDEX($J$5:$J$34,K81):INDEX($J$5:$J$34,K81+L81-1)),"")</f>
        <v/>
      </c>
      <c r="O81">
        <f>IF(M81=1,IF(N81&lt;=COMBINACIONES_NPH!$B$5,1,0),"")</f>
        <v/>
      </c>
      <c r="P81">
        <f>IF(M81=1,IF(O81=1,-L81,100)+N81+ROW()*0.000000000001,"")</f>
        <v/>
      </c>
    </row>
    <row r="82">
      <c r="K82" t="n">
        <v>3</v>
      </c>
      <c r="L82" t="n">
        <v>25</v>
      </c>
      <c r="M82">
        <f>IF(AND(L82&gt;=COMBINACIONES_NPH!$B$9,K82+L82-1&lt;=$J$2),1,0)</f>
        <v/>
      </c>
      <c r="N82">
        <f>IF(M82=1,_xlfn.STDEV.S(INDEX($J$5:$J$34,K82):INDEX($J$5:$J$34,K82+L82-1))/AVERAGE(INDEX($J$5:$J$34,K82):INDEX($J$5:$J$34,K82+L82-1)),"")</f>
        <v/>
      </c>
      <c r="O82">
        <f>IF(M82=1,IF(N82&lt;=COMBINACIONES_NPH!$B$5,1,0),"")</f>
        <v/>
      </c>
      <c r="P82">
        <f>IF(M82=1,IF(O82=1,-L82,100)+N82+ROW()*0.000000000001,"")</f>
        <v/>
      </c>
    </row>
    <row r="83">
      <c r="K83" t="n">
        <v>3</v>
      </c>
      <c r="L83" t="n">
        <v>26</v>
      </c>
      <c r="M83">
        <f>IF(AND(L83&gt;=COMBINACIONES_NPH!$B$9,K83+L83-1&lt;=$J$2),1,0)</f>
        <v/>
      </c>
      <c r="N83">
        <f>IF(M83=1,_xlfn.STDEV.S(INDEX($J$5:$J$34,K83):INDEX($J$5:$J$34,K83+L83-1))/AVERAGE(INDEX($J$5:$J$34,K83):INDEX($J$5:$J$34,K83+L83-1)),"")</f>
        <v/>
      </c>
      <c r="O83">
        <f>IF(M83=1,IF(N83&lt;=COMBINACIONES_NPH!$B$5,1,0),"")</f>
        <v/>
      </c>
      <c r="P83">
        <f>IF(M83=1,IF(O83=1,-L83,100)+N83+ROW()*0.000000000001,"")</f>
        <v/>
      </c>
    </row>
    <row r="84">
      <c r="K84" t="n">
        <v>3</v>
      </c>
      <c r="L84" t="n">
        <v>27</v>
      </c>
      <c r="M84">
        <f>IF(AND(L84&gt;=COMBINACIONES_NPH!$B$9,K84+L84-1&lt;=$J$2),1,0)</f>
        <v/>
      </c>
      <c r="N84">
        <f>IF(M84=1,_xlfn.STDEV.S(INDEX($J$5:$J$34,K84):INDEX($J$5:$J$34,K84+L84-1))/AVERAGE(INDEX($J$5:$J$34,K84):INDEX($J$5:$J$34,K84+L84-1)),"")</f>
        <v/>
      </c>
      <c r="O84">
        <f>IF(M84=1,IF(N84&lt;=COMBINACIONES_NPH!$B$5,1,0),"")</f>
        <v/>
      </c>
      <c r="P84">
        <f>IF(M84=1,IF(O84=1,-L84,100)+N84+ROW()*0.000000000001,"")</f>
        <v/>
      </c>
    </row>
    <row r="85">
      <c r="K85" t="n">
        <v>3</v>
      </c>
      <c r="L85" t="n">
        <v>28</v>
      </c>
      <c r="M85">
        <f>IF(AND(L85&gt;=COMBINACIONES_NPH!$B$9,K85+L85-1&lt;=$J$2),1,0)</f>
        <v/>
      </c>
      <c r="N85">
        <f>IF(M85=1,_xlfn.STDEV.S(INDEX($J$5:$J$34,K85):INDEX($J$5:$J$34,K85+L85-1))/AVERAGE(INDEX($J$5:$J$34,K85):INDEX($J$5:$J$34,K85+L85-1)),"")</f>
        <v/>
      </c>
      <c r="O85">
        <f>IF(M85=1,IF(N85&lt;=COMBINACIONES_NPH!$B$5,1,0),"")</f>
        <v/>
      </c>
      <c r="P85">
        <f>IF(M85=1,IF(O85=1,-L85,100)+N85+ROW()*0.000000000001,"")</f>
        <v/>
      </c>
    </row>
    <row r="86">
      <c r="K86" t="n">
        <v>4</v>
      </c>
      <c r="L86" t="n">
        <v>3</v>
      </c>
      <c r="M86">
        <f>IF(AND(L86&gt;=COMBINACIONES_NPH!$B$9,K86+L86-1&lt;=$J$2),1,0)</f>
        <v/>
      </c>
      <c r="N86">
        <f>IF(M86=1,_xlfn.STDEV.S(INDEX($J$5:$J$34,K86):INDEX($J$5:$J$34,K86+L86-1))/AVERAGE(INDEX($J$5:$J$34,K86):INDEX($J$5:$J$34,K86+L86-1)),"")</f>
        <v/>
      </c>
      <c r="O86">
        <f>IF(M86=1,IF(N86&lt;=COMBINACIONES_NPH!$B$5,1,0),"")</f>
        <v/>
      </c>
      <c r="P86">
        <f>IF(M86=1,IF(O86=1,-L86,100)+N86+ROW()*0.000000000001,"")</f>
        <v/>
      </c>
    </row>
    <row r="87">
      <c r="K87" t="n">
        <v>4</v>
      </c>
      <c r="L87" t="n">
        <v>4</v>
      </c>
      <c r="M87">
        <f>IF(AND(L87&gt;=COMBINACIONES_NPH!$B$9,K87+L87-1&lt;=$J$2),1,0)</f>
        <v/>
      </c>
      <c r="N87">
        <f>IF(M87=1,_xlfn.STDEV.S(INDEX($J$5:$J$34,K87):INDEX($J$5:$J$34,K87+L87-1))/AVERAGE(INDEX($J$5:$J$34,K87):INDEX($J$5:$J$34,K87+L87-1)),"")</f>
        <v/>
      </c>
      <c r="O87">
        <f>IF(M87=1,IF(N87&lt;=COMBINACIONES_NPH!$B$5,1,0),"")</f>
        <v/>
      </c>
      <c r="P87">
        <f>IF(M87=1,IF(O87=1,-L87,100)+N87+ROW()*0.000000000001,"")</f>
        <v/>
      </c>
    </row>
    <row r="88">
      <c r="K88" t="n">
        <v>4</v>
      </c>
      <c r="L88" t="n">
        <v>5</v>
      </c>
      <c r="M88">
        <f>IF(AND(L88&gt;=COMBINACIONES_NPH!$B$9,K88+L88-1&lt;=$J$2),1,0)</f>
        <v/>
      </c>
      <c r="N88">
        <f>IF(M88=1,_xlfn.STDEV.S(INDEX($J$5:$J$34,K88):INDEX($J$5:$J$34,K88+L88-1))/AVERAGE(INDEX($J$5:$J$34,K88):INDEX($J$5:$J$34,K88+L88-1)),"")</f>
        <v/>
      </c>
      <c r="O88">
        <f>IF(M88=1,IF(N88&lt;=COMBINACIONES_NPH!$B$5,1,0),"")</f>
        <v/>
      </c>
      <c r="P88">
        <f>IF(M88=1,IF(O88=1,-L88,100)+N88+ROW()*0.000000000001,"")</f>
        <v/>
      </c>
    </row>
    <row r="89">
      <c r="K89" t="n">
        <v>4</v>
      </c>
      <c r="L89" t="n">
        <v>6</v>
      </c>
      <c r="M89">
        <f>IF(AND(L89&gt;=COMBINACIONES_NPH!$B$9,K89+L89-1&lt;=$J$2),1,0)</f>
        <v/>
      </c>
      <c r="N89">
        <f>IF(M89=1,_xlfn.STDEV.S(INDEX($J$5:$J$34,K89):INDEX($J$5:$J$34,K89+L89-1))/AVERAGE(INDEX($J$5:$J$34,K89):INDEX($J$5:$J$34,K89+L89-1)),"")</f>
        <v/>
      </c>
      <c r="O89">
        <f>IF(M89=1,IF(N89&lt;=COMBINACIONES_NPH!$B$5,1,0),"")</f>
        <v/>
      </c>
      <c r="P89">
        <f>IF(M89=1,IF(O89=1,-L89,100)+N89+ROW()*0.000000000001,"")</f>
        <v/>
      </c>
    </row>
    <row r="90">
      <c r="K90" t="n">
        <v>4</v>
      </c>
      <c r="L90" t="n">
        <v>7</v>
      </c>
      <c r="M90">
        <f>IF(AND(L90&gt;=COMBINACIONES_NPH!$B$9,K90+L90-1&lt;=$J$2),1,0)</f>
        <v/>
      </c>
      <c r="N90">
        <f>IF(M90=1,_xlfn.STDEV.S(INDEX($J$5:$J$34,K90):INDEX($J$5:$J$34,K90+L90-1))/AVERAGE(INDEX($J$5:$J$34,K90):INDEX($J$5:$J$34,K90+L90-1)),"")</f>
        <v/>
      </c>
      <c r="O90">
        <f>IF(M90=1,IF(N90&lt;=COMBINACIONES_NPH!$B$5,1,0),"")</f>
        <v/>
      </c>
      <c r="P90">
        <f>IF(M90=1,IF(O90=1,-L90,100)+N90+ROW()*0.000000000001,"")</f>
        <v/>
      </c>
    </row>
    <row r="91">
      <c r="K91" t="n">
        <v>4</v>
      </c>
      <c r="L91" t="n">
        <v>8</v>
      </c>
      <c r="M91">
        <f>IF(AND(L91&gt;=COMBINACIONES_NPH!$B$9,K91+L91-1&lt;=$J$2),1,0)</f>
        <v/>
      </c>
      <c r="N91">
        <f>IF(M91=1,_xlfn.STDEV.S(INDEX($J$5:$J$34,K91):INDEX($J$5:$J$34,K91+L91-1))/AVERAGE(INDEX($J$5:$J$34,K91):INDEX($J$5:$J$34,K91+L91-1)),"")</f>
        <v/>
      </c>
      <c r="O91">
        <f>IF(M91=1,IF(N91&lt;=COMBINACIONES_NPH!$B$5,1,0),"")</f>
        <v/>
      </c>
      <c r="P91">
        <f>IF(M91=1,IF(O91=1,-L91,100)+N91+ROW()*0.000000000001,"")</f>
        <v/>
      </c>
    </row>
    <row r="92">
      <c r="K92" t="n">
        <v>4</v>
      </c>
      <c r="L92" t="n">
        <v>9</v>
      </c>
      <c r="M92">
        <f>IF(AND(L92&gt;=COMBINACIONES_NPH!$B$9,K92+L92-1&lt;=$J$2),1,0)</f>
        <v/>
      </c>
      <c r="N92">
        <f>IF(M92=1,_xlfn.STDEV.S(INDEX($J$5:$J$34,K92):INDEX($J$5:$J$34,K92+L92-1))/AVERAGE(INDEX($J$5:$J$34,K92):INDEX($J$5:$J$34,K92+L92-1)),"")</f>
        <v/>
      </c>
      <c r="O92">
        <f>IF(M92=1,IF(N92&lt;=COMBINACIONES_NPH!$B$5,1,0),"")</f>
        <v/>
      </c>
      <c r="P92">
        <f>IF(M92=1,IF(O92=1,-L92,100)+N92+ROW()*0.000000000001,"")</f>
        <v/>
      </c>
    </row>
    <row r="93">
      <c r="K93" t="n">
        <v>4</v>
      </c>
      <c r="L93" t="n">
        <v>10</v>
      </c>
      <c r="M93">
        <f>IF(AND(L93&gt;=COMBINACIONES_NPH!$B$9,K93+L93-1&lt;=$J$2),1,0)</f>
        <v/>
      </c>
      <c r="N93">
        <f>IF(M93=1,_xlfn.STDEV.S(INDEX($J$5:$J$34,K93):INDEX($J$5:$J$34,K93+L93-1))/AVERAGE(INDEX($J$5:$J$34,K93):INDEX($J$5:$J$34,K93+L93-1)),"")</f>
        <v/>
      </c>
      <c r="O93">
        <f>IF(M93=1,IF(N93&lt;=COMBINACIONES_NPH!$B$5,1,0),"")</f>
        <v/>
      </c>
      <c r="P93">
        <f>IF(M93=1,IF(O93=1,-L93,100)+N93+ROW()*0.000000000001,"")</f>
        <v/>
      </c>
    </row>
    <row r="94">
      <c r="K94" t="n">
        <v>4</v>
      </c>
      <c r="L94" t="n">
        <v>11</v>
      </c>
      <c r="M94">
        <f>IF(AND(L94&gt;=COMBINACIONES_NPH!$B$9,K94+L94-1&lt;=$J$2),1,0)</f>
        <v/>
      </c>
      <c r="N94">
        <f>IF(M94=1,_xlfn.STDEV.S(INDEX($J$5:$J$34,K94):INDEX($J$5:$J$34,K94+L94-1))/AVERAGE(INDEX($J$5:$J$34,K94):INDEX($J$5:$J$34,K94+L94-1)),"")</f>
        <v/>
      </c>
      <c r="O94">
        <f>IF(M94=1,IF(N94&lt;=COMBINACIONES_NPH!$B$5,1,0),"")</f>
        <v/>
      </c>
      <c r="P94">
        <f>IF(M94=1,IF(O94=1,-L94,100)+N94+ROW()*0.000000000001,"")</f>
        <v/>
      </c>
    </row>
    <row r="95">
      <c r="K95" t="n">
        <v>4</v>
      </c>
      <c r="L95" t="n">
        <v>12</v>
      </c>
      <c r="M95">
        <f>IF(AND(L95&gt;=COMBINACIONES_NPH!$B$9,K95+L95-1&lt;=$J$2),1,0)</f>
        <v/>
      </c>
      <c r="N95">
        <f>IF(M95=1,_xlfn.STDEV.S(INDEX($J$5:$J$34,K95):INDEX($J$5:$J$34,K95+L95-1))/AVERAGE(INDEX($J$5:$J$34,K95):INDEX($J$5:$J$34,K95+L95-1)),"")</f>
        <v/>
      </c>
      <c r="O95">
        <f>IF(M95=1,IF(N95&lt;=COMBINACIONES_NPH!$B$5,1,0),"")</f>
        <v/>
      </c>
      <c r="P95">
        <f>IF(M95=1,IF(O95=1,-L95,100)+N95+ROW()*0.000000000001,"")</f>
        <v/>
      </c>
    </row>
    <row r="96">
      <c r="K96" t="n">
        <v>4</v>
      </c>
      <c r="L96" t="n">
        <v>13</v>
      </c>
      <c r="M96">
        <f>IF(AND(L96&gt;=COMBINACIONES_NPH!$B$9,K96+L96-1&lt;=$J$2),1,0)</f>
        <v/>
      </c>
      <c r="N96">
        <f>IF(M96=1,_xlfn.STDEV.S(INDEX($J$5:$J$34,K96):INDEX($J$5:$J$34,K96+L96-1))/AVERAGE(INDEX($J$5:$J$34,K96):INDEX($J$5:$J$34,K96+L96-1)),"")</f>
        <v/>
      </c>
      <c r="O96">
        <f>IF(M96=1,IF(N96&lt;=COMBINACIONES_NPH!$B$5,1,0),"")</f>
        <v/>
      </c>
      <c r="P96">
        <f>IF(M96=1,IF(O96=1,-L96,100)+N96+ROW()*0.000000000001,"")</f>
        <v/>
      </c>
    </row>
    <row r="97">
      <c r="K97" t="n">
        <v>4</v>
      </c>
      <c r="L97" t="n">
        <v>14</v>
      </c>
      <c r="M97">
        <f>IF(AND(L97&gt;=COMBINACIONES_NPH!$B$9,K97+L97-1&lt;=$J$2),1,0)</f>
        <v/>
      </c>
      <c r="N97">
        <f>IF(M97=1,_xlfn.STDEV.S(INDEX($J$5:$J$34,K97):INDEX($J$5:$J$34,K97+L97-1))/AVERAGE(INDEX($J$5:$J$34,K97):INDEX($J$5:$J$34,K97+L97-1)),"")</f>
        <v/>
      </c>
      <c r="O97">
        <f>IF(M97=1,IF(N97&lt;=COMBINACIONES_NPH!$B$5,1,0),"")</f>
        <v/>
      </c>
      <c r="P97">
        <f>IF(M97=1,IF(O97=1,-L97,100)+N97+ROW()*0.000000000001,"")</f>
        <v/>
      </c>
    </row>
    <row r="98">
      <c r="K98" t="n">
        <v>4</v>
      </c>
      <c r="L98" t="n">
        <v>15</v>
      </c>
      <c r="M98">
        <f>IF(AND(L98&gt;=COMBINACIONES_NPH!$B$9,K98+L98-1&lt;=$J$2),1,0)</f>
        <v/>
      </c>
      <c r="N98">
        <f>IF(M98=1,_xlfn.STDEV.S(INDEX($J$5:$J$34,K98):INDEX($J$5:$J$34,K98+L98-1))/AVERAGE(INDEX($J$5:$J$34,K98):INDEX($J$5:$J$34,K98+L98-1)),"")</f>
        <v/>
      </c>
      <c r="O98">
        <f>IF(M98=1,IF(N98&lt;=COMBINACIONES_NPH!$B$5,1,0),"")</f>
        <v/>
      </c>
      <c r="P98">
        <f>IF(M98=1,IF(O98=1,-L98,100)+N98+ROW()*0.000000000001,"")</f>
        <v/>
      </c>
    </row>
    <row r="99">
      <c r="K99" t="n">
        <v>4</v>
      </c>
      <c r="L99" t="n">
        <v>16</v>
      </c>
      <c r="M99">
        <f>IF(AND(L99&gt;=COMBINACIONES_NPH!$B$9,K99+L99-1&lt;=$J$2),1,0)</f>
        <v/>
      </c>
      <c r="N99">
        <f>IF(M99=1,_xlfn.STDEV.S(INDEX($J$5:$J$34,K99):INDEX($J$5:$J$34,K99+L99-1))/AVERAGE(INDEX($J$5:$J$34,K99):INDEX($J$5:$J$34,K99+L99-1)),"")</f>
        <v/>
      </c>
      <c r="O99">
        <f>IF(M99=1,IF(N99&lt;=COMBINACIONES_NPH!$B$5,1,0),"")</f>
        <v/>
      </c>
      <c r="P99">
        <f>IF(M99=1,IF(O99=1,-L99,100)+N99+ROW()*0.000000000001,"")</f>
        <v/>
      </c>
    </row>
    <row r="100">
      <c r="K100" t="n">
        <v>4</v>
      </c>
      <c r="L100" t="n">
        <v>17</v>
      </c>
      <c r="M100">
        <f>IF(AND(L100&gt;=COMBINACIONES_NPH!$B$9,K100+L100-1&lt;=$J$2),1,0)</f>
        <v/>
      </c>
      <c r="N100">
        <f>IF(M100=1,_xlfn.STDEV.S(INDEX($J$5:$J$34,K100):INDEX($J$5:$J$34,K100+L100-1))/AVERAGE(INDEX($J$5:$J$34,K100):INDEX($J$5:$J$34,K100+L100-1)),"")</f>
        <v/>
      </c>
      <c r="O100">
        <f>IF(M100=1,IF(N100&lt;=COMBINACIONES_NPH!$B$5,1,0),"")</f>
        <v/>
      </c>
      <c r="P100">
        <f>IF(M100=1,IF(O100=1,-L100,100)+N100+ROW()*0.000000000001,"")</f>
        <v/>
      </c>
    </row>
    <row r="101">
      <c r="K101" t="n">
        <v>4</v>
      </c>
      <c r="L101" t="n">
        <v>18</v>
      </c>
      <c r="M101">
        <f>IF(AND(L101&gt;=COMBINACIONES_NPH!$B$9,K101+L101-1&lt;=$J$2),1,0)</f>
        <v/>
      </c>
      <c r="N101">
        <f>IF(M101=1,_xlfn.STDEV.S(INDEX($J$5:$J$34,K101):INDEX($J$5:$J$34,K101+L101-1))/AVERAGE(INDEX($J$5:$J$34,K101):INDEX($J$5:$J$34,K101+L101-1)),"")</f>
        <v/>
      </c>
      <c r="O101">
        <f>IF(M101=1,IF(N101&lt;=COMBINACIONES_NPH!$B$5,1,0),"")</f>
        <v/>
      </c>
      <c r="P101">
        <f>IF(M101=1,IF(O101=1,-L101,100)+N101+ROW()*0.000000000001,"")</f>
        <v/>
      </c>
    </row>
    <row r="102">
      <c r="K102" t="n">
        <v>4</v>
      </c>
      <c r="L102" t="n">
        <v>19</v>
      </c>
      <c r="M102">
        <f>IF(AND(L102&gt;=COMBINACIONES_NPH!$B$9,K102+L102-1&lt;=$J$2),1,0)</f>
        <v/>
      </c>
      <c r="N102">
        <f>IF(M102=1,_xlfn.STDEV.S(INDEX($J$5:$J$34,K102):INDEX($J$5:$J$34,K102+L102-1))/AVERAGE(INDEX($J$5:$J$34,K102):INDEX($J$5:$J$34,K102+L102-1)),"")</f>
        <v/>
      </c>
      <c r="O102">
        <f>IF(M102=1,IF(N102&lt;=COMBINACIONES_NPH!$B$5,1,0),"")</f>
        <v/>
      </c>
      <c r="P102">
        <f>IF(M102=1,IF(O102=1,-L102,100)+N102+ROW()*0.000000000001,"")</f>
        <v/>
      </c>
    </row>
    <row r="103">
      <c r="K103" t="n">
        <v>4</v>
      </c>
      <c r="L103" t="n">
        <v>20</v>
      </c>
      <c r="M103">
        <f>IF(AND(L103&gt;=COMBINACIONES_NPH!$B$9,K103+L103-1&lt;=$J$2),1,0)</f>
        <v/>
      </c>
      <c r="N103">
        <f>IF(M103=1,_xlfn.STDEV.S(INDEX($J$5:$J$34,K103):INDEX($J$5:$J$34,K103+L103-1))/AVERAGE(INDEX($J$5:$J$34,K103):INDEX($J$5:$J$34,K103+L103-1)),"")</f>
        <v/>
      </c>
      <c r="O103">
        <f>IF(M103=1,IF(N103&lt;=COMBINACIONES_NPH!$B$5,1,0),"")</f>
        <v/>
      </c>
      <c r="P103">
        <f>IF(M103=1,IF(O103=1,-L103,100)+N103+ROW()*0.000000000001,"")</f>
        <v/>
      </c>
    </row>
    <row r="104">
      <c r="K104" t="n">
        <v>4</v>
      </c>
      <c r="L104" t="n">
        <v>21</v>
      </c>
      <c r="M104">
        <f>IF(AND(L104&gt;=COMBINACIONES_NPH!$B$9,K104+L104-1&lt;=$J$2),1,0)</f>
        <v/>
      </c>
      <c r="N104">
        <f>IF(M104=1,_xlfn.STDEV.S(INDEX($J$5:$J$34,K104):INDEX($J$5:$J$34,K104+L104-1))/AVERAGE(INDEX($J$5:$J$34,K104):INDEX($J$5:$J$34,K104+L104-1)),"")</f>
        <v/>
      </c>
      <c r="O104">
        <f>IF(M104=1,IF(N104&lt;=COMBINACIONES_NPH!$B$5,1,0),"")</f>
        <v/>
      </c>
      <c r="P104">
        <f>IF(M104=1,IF(O104=1,-L104,100)+N104+ROW()*0.000000000001,"")</f>
        <v/>
      </c>
    </row>
    <row r="105">
      <c r="K105" t="n">
        <v>4</v>
      </c>
      <c r="L105" t="n">
        <v>22</v>
      </c>
      <c r="M105">
        <f>IF(AND(L105&gt;=COMBINACIONES_NPH!$B$9,K105+L105-1&lt;=$J$2),1,0)</f>
        <v/>
      </c>
      <c r="N105">
        <f>IF(M105=1,_xlfn.STDEV.S(INDEX($J$5:$J$34,K105):INDEX($J$5:$J$34,K105+L105-1))/AVERAGE(INDEX($J$5:$J$34,K105):INDEX($J$5:$J$34,K105+L105-1)),"")</f>
        <v/>
      </c>
      <c r="O105">
        <f>IF(M105=1,IF(N105&lt;=COMBINACIONES_NPH!$B$5,1,0),"")</f>
        <v/>
      </c>
      <c r="P105">
        <f>IF(M105=1,IF(O105=1,-L105,100)+N105+ROW()*0.000000000001,"")</f>
        <v/>
      </c>
    </row>
    <row r="106">
      <c r="K106" t="n">
        <v>4</v>
      </c>
      <c r="L106" t="n">
        <v>23</v>
      </c>
      <c r="M106">
        <f>IF(AND(L106&gt;=COMBINACIONES_NPH!$B$9,K106+L106-1&lt;=$J$2),1,0)</f>
        <v/>
      </c>
      <c r="N106">
        <f>IF(M106=1,_xlfn.STDEV.S(INDEX($J$5:$J$34,K106):INDEX($J$5:$J$34,K106+L106-1))/AVERAGE(INDEX($J$5:$J$34,K106):INDEX($J$5:$J$34,K106+L106-1)),"")</f>
        <v/>
      </c>
      <c r="O106">
        <f>IF(M106=1,IF(N106&lt;=COMBINACIONES_NPH!$B$5,1,0),"")</f>
        <v/>
      </c>
      <c r="P106">
        <f>IF(M106=1,IF(O106=1,-L106,100)+N106+ROW()*0.000000000001,"")</f>
        <v/>
      </c>
    </row>
    <row r="107">
      <c r="K107" t="n">
        <v>4</v>
      </c>
      <c r="L107" t="n">
        <v>24</v>
      </c>
      <c r="M107">
        <f>IF(AND(L107&gt;=COMBINACIONES_NPH!$B$9,K107+L107-1&lt;=$J$2),1,0)</f>
        <v/>
      </c>
      <c r="N107">
        <f>IF(M107=1,_xlfn.STDEV.S(INDEX($J$5:$J$34,K107):INDEX($J$5:$J$34,K107+L107-1))/AVERAGE(INDEX($J$5:$J$34,K107):INDEX($J$5:$J$34,K107+L107-1)),"")</f>
        <v/>
      </c>
      <c r="O107">
        <f>IF(M107=1,IF(N107&lt;=COMBINACIONES_NPH!$B$5,1,0),"")</f>
        <v/>
      </c>
      <c r="P107">
        <f>IF(M107=1,IF(O107=1,-L107,100)+N107+ROW()*0.000000000001,"")</f>
        <v/>
      </c>
    </row>
    <row r="108">
      <c r="K108" t="n">
        <v>4</v>
      </c>
      <c r="L108" t="n">
        <v>25</v>
      </c>
      <c r="M108">
        <f>IF(AND(L108&gt;=COMBINACIONES_NPH!$B$9,K108+L108-1&lt;=$J$2),1,0)</f>
        <v/>
      </c>
      <c r="N108">
        <f>IF(M108=1,_xlfn.STDEV.S(INDEX($J$5:$J$34,K108):INDEX($J$5:$J$34,K108+L108-1))/AVERAGE(INDEX($J$5:$J$34,K108):INDEX($J$5:$J$34,K108+L108-1)),"")</f>
        <v/>
      </c>
      <c r="O108">
        <f>IF(M108=1,IF(N108&lt;=COMBINACIONES_NPH!$B$5,1,0),"")</f>
        <v/>
      </c>
      <c r="P108">
        <f>IF(M108=1,IF(O108=1,-L108,100)+N108+ROW()*0.000000000001,"")</f>
        <v/>
      </c>
    </row>
    <row r="109">
      <c r="K109" t="n">
        <v>4</v>
      </c>
      <c r="L109" t="n">
        <v>26</v>
      </c>
      <c r="M109">
        <f>IF(AND(L109&gt;=COMBINACIONES_NPH!$B$9,K109+L109-1&lt;=$J$2),1,0)</f>
        <v/>
      </c>
      <c r="N109">
        <f>IF(M109=1,_xlfn.STDEV.S(INDEX($J$5:$J$34,K109):INDEX($J$5:$J$34,K109+L109-1))/AVERAGE(INDEX($J$5:$J$34,K109):INDEX($J$5:$J$34,K109+L109-1)),"")</f>
        <v/>
      </c>
      <c r="O109">
        <f>IF(M109=1,IF(N109&lt;=COMBINACIONES_NPH!$B$5,1,0),"")</f>
        <v/>
      </c>
      <c r="P109">
        <f>IF(M109=1,IF(O109=1,-L109,100)+N109+ROW()*0.000000000001,"")</f>
        <v/>
      </c>
    </row>
    <row r="110">
      <c r="K110" t="n">
        <v>4</v>
      </c>
      <c r="L110" t="n">
        <v>27</v>
      </c>
      <c r="M110">
        <f>IF(AND(L110&gt;=COMBINACIONES_NPH!$B$9,K110+L110-1&lt;=$J$2),1,0)</f>
        <v/>
      </c>
      <c r="N110">
        <f>IF(M110=1,_xlfn.STDEV.S(INDEX($J$5:$J$34,K110):INDEX($J$5:$J$34,K110+L110-1))/AVERAGE(INDEX($J$5:$J$34,K110):INDEX($J$5:$J$34,K110+L110-1)),"")</f>
        <v/>
      </c>
      <c r="O110">
        <f>IF(M110=1,IF(N110&lt;=COMBINACIONES_NPH!$B$5,1,0),"")</f>
        <v/>
      </c>
      <c r="P110">
        <f>IF(M110=1,IF(O110=1,-L110,100)+N110+ROW()*0.000000000001,"")</f>
        <v/>
      </c>
    </row>
    <row r="111">
      <c r="K111" t="n">
        <v>5</v>
      </c>
      <c r="L111" t="n">
        <v>3</v>
      </c>
      <c r="M111">
        <f>IF(AND(L111&gt;=COMBINACIONES_NPH!$B$9,K111+L111-1&lt;=$J$2),1,0)</f>
        <v/>
      </c>
      <c r="N111">
        <f>IF(M111=1,_xlfn.STDEV.S(INDEX($J$5:$J$34,K111):INDEX($J$5:$J$34,K111+L111-1))/AVERAGE(INDEX($J$5:$J$34,K111):INDEX($J$5:$J$34,K111+L111-1)),"")</f>
        <v/>
      </c>
      <c r="O111">
        <f>IF(M111=1,IF(N111&lt;=COMBINACIONES_NPH!$B$5,1,0),"")</f>
        <v/>
      </c>
      <c r="P111">
        <f>IF(M111=1,IF(O111=1,-L111,100)+N111+ROW()*0.000000000001,"")</f>
        <v/>
      </c>
    </row>
    <row r="112">
      <c r="K112" t="n">
        <v>5</v>
      </c>
      <c r="L112" t="n">
        <v>4</v>
      </c>
      <c r="M112">
        <f>IF(AND(L112&gt;=COMBINACIONES_NPH!$B$9,K112+L112-1&lt;=$J$2),1,0)</f>
        <v/>
      </c>
      <c r="N112">
        <f>IF(M112=1,_xlfn.STDEV.S(INDEX($J$5:$J$34,K112):INDEX($J$5:$J$34,K112+L112-1))/AVERAGE(INDEX($J$5:$J$34,K112):INDEX($J$5:$J$34,K112+L112-1)),"")</f>
        <v/>
      </c>
      <c r="O112">
        <f>IF(M112=1,IF(N112&lt;=COMBINACIONES_NPH!$B$5,1,0),"")</f>
        <v/>
      </c>
      <c r="P112">
        <f>IF(M112=1,IF(O112=1,-L112,100)+N112+ROW()*0.000000000001,"")</f>
        <v/>
      </c>
    </row>
    <row r="113">
      <c r="K113" t="n">
        <v>5</v>
      </c>
      <c r="L113" t="n">
        <v>5</v>
      </c>
      <c r="M113">
        <f>IF(AND(L113&gt;=COMBINACIONES_NPH!$B$9,K113+L113-1&lt;=$J$2),1,0)</f>
        <v/>
      </c>
      <c r="N113">
        <f>IF(M113=1,_xlfn.STDEV.S(INDEX($J$5:$J$34,K113):INDEX($J$5:$J$34,K113+L113-1))/AVERAGE(INDEX($J$5:$J$34,K113):INDEX($J$5:$J$34,K113+L113-1)),"")</f>
        <v/>
      </c>
      <c r="O113">
        <f>IF(M113=1,IF(N113&lt;=COMBINACIONES_NPH!$B$5,1,0),"")</f>
        <v/>
      </c>
      <c r="P113">
        <f>IF(M113=1,IF(O113=1,-L113,100)+N113+ROW()*0.000000000001,"")</f>
        <v/>
      </c>
    </row>
    <row r="114">
      <c r="K114" t="n">
        <v>5</v>
      </c>
      <c r="L114" t="n">
        <v>6</v>
      </c>
      <c r="M114">
        <f>IF(AND(L114&gt;=COMBINACIONES_NPH!$B$9,K114+L114-1&lt;=$J$2),1,0)</f>
        <v/>
      </c>
      <c r="N114">
        <f>IF(M114=1,_xlfn.STDEV.S(INDEX($J$5:$J$34,K114):INDEX($J$5:$J$34,K114+L114-1))/AVERAGE(INDEX($J$5:$J$34,K114):INDEX($J$5:$J$34,K114+L114-1)),"")</f>
        <v/>
      </c>
      <c r="O114">
        <f>IF(M114=1,IF(N114&lt;=COMBINACIONES_NPH!$B$5,1,0),"")</f>
        <v/>
      </c>
      <c r="P114">
        <f>IF(M114=1,IF(O114=1,-L114,100)+N114+ROW()*0.000000000001,"")</f>
        <v/>
      </c>
    </row>
    <row r="115">
      <c r="K115" t="n">
        <v>5</v>
      </c>
      <c r="L115" t="n">
        <v>7</v>
      </c>
      <c r="M115">
        <f>IF(AND(L115&gt;=COMBINACIONES_NPH!$B$9,K115+L115-1&lt;=$J$2),1,0)</f>
        <v/>
      </c>
      <c r="N115">
        <f>IF(M115=1,_xlfn.STDEV.S(INDEX($J$5:$J$34,K115):INDEX($J$5:$J$34,K115+L115-1))/AVERAGE(INDEX($J$5:$J$34,K115):INDEX($J$5:$J$34,K115+L115-1)),"")</f>
        <v/>
      </c>
      <c r="O115">
        <f>IF(M115=1,IF(N115&lt;=COMBINACIONES_NPH!$B$5,1,0),"")</f>
        <v/>
      </c>
      <c r="P115">
        <f>IF(M115=1,IF(O115=1,-L115,100)+N115+ROW()*0.000000000001,"")</f>
        <v/>
      </c>
    </row>
    <row r="116">
      <c r="K116" t="n">
        <v>5</v>
      </c>
      <c r="L116" t="n">
        <v>8</v>
      </c>
      <c r="M116">
        <f>IF(AND(L116&gt;=COMBINACIONES_NPH!$B$9,K116+L116-1&lt;=$J$2),1,0)</f>
        <v/>
      </c>
      <c r="N116">
        <f>IF(M116=1,_xlfn.STDEV.S(INDEX($J$5:$J$34,K116):INDEX($J$5:$J$34,K116+L116-1))/AVERAGE(INDEX($J$5:$J$34,K116):INDEX($J$5:$J$34,K116+L116-1)),"")</f>
        <v/>
      </c>
      <c r="O116">
        <f>IF(M116=1,IF(N116&lt;=COMBINACIONES_NPH!$B$5,1,0),"")</f>
        <v/>
      </c>
      <c r="P116">
        <f>IF(M116=1,IF(O116=1,-L116,100)+N116+ROW()*0.000000000001,"")</f>
        <v/>
      </c>
    </row>
    <row r="117">
      <c r="K117" t="n">
        <v>5</v>
      </c>
      <c r="L117" t="n">
        <v>9</v>
      </c>
      <c r="M117">
        <f>IF(AND(L117&gt;=COMBINACIONES_NPH!$B$9,K117+L117-1&lt;=$J$2),1,0)</f>
        <v/>
      </c>
      <c r="N117">
        <f>IF(M117=1,_xlfn.STDEV.S(INDEX($J$5:$J$34,K117):INDEX($J$5:$J$34,K117+L117-1))/AVERAGE(INDEX($J$5:$J$34,K117):INDEX($J$5:$J$34,K117+L117-1)),"")</f>
        <v/>
      </c>
      <c r="O117">
        <f>IF(M117=1,IF(N117&lt;=COMBINACIONES_NPH!$B$5,1,0),"")</f>
        <v/>
      </c>
      <c r="P117">
        <f>IF(M117=1,IF(O117=1,-L117,100)+N117+ROW()*0.000000000001,"")</f>
        <v/>
      </c>
    </row>
    <row r="118">
      <c r="K118" t="n">
        <v>5</v>
      </c>
      <c r="L118" t="n">
        <v>10</v>
      </c>
      <c r="M118">
        <f>IF(AND(L118&gt;=COMBINACIONES_NPH!$B$9,K118+L118-1&lt;=$J$2),1,0)</f>
        <v/>
      </c>
      <c r="N118">
        <f>IF(M118=1,_xlfn.STDEV.S(INDEX($J$5:$J$34,K118):INDEX($J$5:$J$34,K118+L118-1))/AVERAGE(INDEX($J$5:$J$34,K118):INDEX($J$5:$J$34,K118+L118-1)),"")</f>
        <v/>
      </c>
      <c r="O118">
        <f>IF(M118=1,IF(N118&lt;=COMBINACIONES_NPH!$B$5,1,0),"")</f>
        <v/>
      </c>
      <c r="P118">
        <f>IF(M118=1,IF(O118=1,-L118,100)+N118+ROW()*0.000000000001,"")</f>
        <v/>
      </c>
    </row>
    <row r="119">
      <c r="K119" t="n">
        <v>5</v>
      </c>
      <c r="L119" t="n">
        <v>11</v>
      </c>
      <c r="M119">
        <f>IF(AND(L119&gt;=COMBINACIONES_NPH!$B$9,K119+L119-1&lt;=$J$2),1,0)</f>
        <v/>
      </c>
      <c r="N119">
        <f>IF(M119=1,_xlfn.STDEV.S(INDEX($J$5:$J$34,K119):INDEX($J$5:$J$34,K119+L119-1))/AVERAGE(INDEX($J$5:$J$34,K119):INDEX($J$5:$J$34,K119+L119-1)),"")</f>
        <v/>
      </c>
      <c r="O119">
        <f>IF(M119=1,IF(N119&lt;=COMBINACIONES_NPH!$B$5,1,0),"")</f>
        <v/>
      </c>
      <c r="P119">
        <f>IF(M119=1,IF(O119=1,-L119,100)+N119+ROW()*0.000000000001,"")</f>
        <v/>
      </c>
    </row>
    <row r="120">
      <c r="K120" t="n">
        <v>5</v>
      </c>
      <c r="L120" t="n">
        <v>12</v>
      </c>
      <c r="M120">
        <f>IF(AND(L120&gt;=COMBINACIONES_NPH!$B$9,K120+L120-1&lt;=$J$2),1,0)</f>
        <v/>
      </c>
      <c r="N120">
        <f>IF(M120=1,_xlfn.STDEV.S(INDEX($J$5:$J$34,K120):INDEX($J$5:$J$34,K120+L120-1))/AVERAGE(INDEX($J$5:$J$34,K120):INDEX($J$5:$J$34,K120+L120-1)),"")</f>
        <v/>
      </c>
      <c r="O120">
        <f>IF(M120=1,IF(N120&lt;=COMBINACIONES_NPH!$B$5,1,0),"")</f>
        <v/>
      </c>
      <c r="P120">
        <f>IF(M120=1,IF(O120=1,-L120,100)+N120+ROW()*0.000000000001,"")</f>
        <v/>
      </c>
    </row>
    <row r="121">
      <c r="K121" t="n">
        <v>5</v>
      </c>
      <c r="L121" t="n">
        <v>13</v>
      </c>
      <c r="M121">
        <f>IF(AND(L121&gt;=COMBINACIONES_NPH!$B$9,K121+L121-1&lt;=$J$2),1,0)</f>
        <v/>
      </c>
      <c r="N121">
        <f>IF(M121=1,_xlfn.STDEV.S(INDEX($J$5:$J$34,K121):INDEX($J$5:$J$34,K121+L121-1))/AVERAGE(INDEX($J$5:$J$34,K121):INDEX($J$5:$J$34,K121+L121-1)),"")</f>
        <v/>
      </c>
      <c r="O121">
        <f>IF(M121=1,IF(N121&lt;=COMBINACIONES_NPH!$B$5,1,0),"")</f>
        <v/>
      </c>
      <c r="P121">
        <f>IF(M121=1,IF(O121=1,-L121,100)+N121+ROW()*0.000000000001,"")</f>
        <v/>
      </c>
    </row>
    <row r="122">
      <c r="K122" t="n">
        <v>5</v>
      </c>
      <c r="L122" t="n">
        <v>14</v>
      </c>
      <c r="M122">
        <f>IF(AND(L122&gt;=COMBINACIONES_NPH!$B$9,K122+L122-1&lt;=$J$2),1,0)</f>
        <v/>
      </c>
      <c r="N122">
        <f>IF(M122=1,_xlfn.STDEV.S(INDEX($J$5:$J$34,K122):INDEX($J$5:$J$34,K122+L122-1))/AVERAGE(INDEX($J$5:$J$34,K122):INDEX($J$5:$J$34,K122+L122-1)),"")</f>
        <v/>
      </c>
      <c r="O122">
        <f>IF(M122=1,IF(N122&lt;=COMBINACIONES_NPH!$B$5,1,0),"")</f>
        <v/>
      </c>
      <c r="P122">
        <f>IF(M122=1,IF(O122=1,-L122,100)+N122+ROW()*0.000000000001,"")</f>
        <v/>
      </c>
    </row>
    <row r="123">
      <c r="K123" t="n">
        <v>5</v>
      </c>
      <c r="L123" t="n">
        <v>15</v>
      </c>
      <c r="M123">
        <f>IF(AND(L123&gt;=COMBINACIONES_NPH!$B$9,K123+L123-1&lt;=$J$2),1,0)</f>
        <v/>
      </c>
      <c r="N123">
        <f>IF(M123=1,_xlfn.STDEV.S(INDEX($J$5:$J$34,K123):INDEX($J$5:$J$34,K123+L123-1))/AVERAGE(INDEX($J$5:$J$34,K123):INDEX($J$5:$J$34,K123+L123-1)),"")</f>
        <v/>
      </c>
      <c r="O123">
        <f>IF(M123=1,IF(N123&lt;=COMBINACIONES_NPH!$B$5,1,0),"")</f>
        <v/>
      </c>
      <c r="P123">
        <f>IF(M123=1,IF(O123=1,-L123,100)+N123+ROW()*0.000000000001,"")</f>
        <v/>
      </c>
    </row>
    <row r="124">
      <c r="K124" t="n">
        <v>5</v>
      </c>
      <c r="L124" t="n">
        <v>16</v>
      </c>
      <c r="M124">
        <f>IF(AND(L124&gt;=COMBINACIONES_NPH!$B$9,K124+L124-1&lt;=$J$2),1,0)</f>
        <v/>
      </c>
      <c r="N124">
        <f>IF(M124=1,_xlfn.STDEV.S(INDEX($J$5:$J$34,K124):INDEX($J$5:$J$34,K124+L124-1))/AVERAGE(INDEX($J$5:$J$34,K124):INDEX($J$5:$J$34,K124+L124-1)),"")</f>
        <v/>
      </c>
      <c r="O124">
        <f>IF(M124=1,IF(N124&lt;=COMBINACIONES_NPH!$B$5,1,0),"")</f>
        <v/>
      </c>
      <c r="P124">
        <f>IF(M124=1,IF(O124=1,-L124,100)+N124+ROW()*0.000000000001,"")</f>
        <v/>
      </c>
    </row>
    <row r="125">
      <c r="K125" t="n">
        <v>5</v>
      </c>
      <c r="L125" t="n">
        <v>17</v>
      </c>
      <c r="M125">
        <f>IF(AND(L125&gt;=COMBINACIONES_NPH!$B$9,K125+L125-1&lt;=$J$2),1,0)</f>
        <v/>
      </c>
      <c r="N125">
        <f>IF(M125=1,_xlfn.STDEV.S(INDEX($J$5:$J$34,K125):INDEX($J$5:$J$34,K125+L125-1))/AVERAGE(INDEX($J$5:$J$34,K125):INDEX($J$5:$J$34,K125+L125-1)),"")</f>
        <v/>
      </c>
      <c r="O125">
        <f>IF(M125=1,IF(N125&lt;=COMBINACIONES_NPH!$B$5,1,0),"")</f>
        <v/>
      </c>
      <c r="P125">
        <f>IF(M125=1,IF(O125=1,-L125,100)+N125+ROW()*0.000000000001,"")</f>
        <v/>
      </c>
    </row>
    <row r="126">
      <c r="K126" t="n">
        <v>5</v>
      </c>
      <c r="L126" t="n">
        <v>18</v>
      </c>
      <c r="M126">
        <f>IF(AND(L126&gt;=COMBINACIONES_NPH!$B$9,K126+L126-1&lt;=$J$2),1,0)</f>
        <v/>
      </c>
      <c r="N126">
        <f>IF(M126=1,_xlfn.STDEV.S(INDEX($J$5:$J$34,K126):INDEX($J$5:$J$34,K126+L126-1))/AVERAGE(INDEX($J$5:$J$34,K126):INDEX($J$5:$J$34,K126+L126-1)),"")</f>
        <v/>
      </c>
      <c r="O126">
        <f>IF(M126=1,IF(N126&lt;=COMBINACIONES_NPH!$B$5,1,0),"")</f>
        <v/>
      </c>
      <c r="P126">
        <f>IF(M126=1,IF(O126=1,-L126,100)+N126+ROW()*0.000000000001,"")</f>
        <v/>
      </c>
    </row>
    <row r="127">
      <c r="K127" t="n">
        <v>5</v>
      </c>
      <c r="L127" t="n">
        <v>19</v>
      </c>
      <c r="M127">
        <f>IF(AND(L127&gt;=COMBINACIONES_NPH!$B$9,K127+L127-1&lt;=$J$2),1,0)</f>
        <v/>
      </c>
      <c r="N127">
        <f>IF(M127=1,_xlfn.STDEV.S(INDEX($J$5:$J$34,K127):INDEX($J$5:$J$34,K127+L127-1))/AVERAGE(INDEX($J$5:$J$34,K127):INDEX($J$5:$J$34,K127+L127-1)),"")</f>
        <v/>
      </c>
      <c r="O127">
        <f>IF(M127=1,IF(N127&lt;=COMBINACIONES_NPH!$B$5,1,0),"")</f>
        <v/>
      </c>
      <c r="P127">
        <f>IF(M127=1,IF(O127=1,-L127,100)+N127+ROW()*0.000000000001,"")</f>
        <v/>
      </c>
    </row>
    <row r="128">
      <c r="K128" t="n">
        <v>5</v>
      </c>
      <c r="L128" t="n">
        <v>20</v>
      </c>
      <c r="M128">
        <f>IF(AND(L128&gt;=COMBINACIONES_NPH!$B$9,K128+L128-1&lt;=$J$2),1,0)</f>
        <v/>
      </c>
      <c r="N128">
        <f>IF(M128=1,_xlfn.STDEV.S(INDEX($J$5:$J$34,K128):INDEX($J$5:$J$34,K128+L128-1))/AVERAGE(INDEX($J$5:$J$34,K128):INDEX($J$5:$J$34,K128+L128-1)),"")</f>
        <v/>
      </c>
      <c r="O128">
        <f>IF(M128=1,IF(N128&lt;=COMBINACIONES_NPH!$B$5,1,0),"")</f>
        <v/>
      </c>
      <c r="P128">
        <f>IF(M128=1,IF(O128=1,-L128,100)+N128+ROW()*0.000000000001,"")</f>
        <v/>
      </c>
    </row>
    <row r="129">
      <c r="K129" t="n">
        <v>5</v>
      </c>
      <c r="L129" t="n">
        <v>21</v>
      </c>
      <c r="M129">
        <f>IF(AND(L129&gt;=COMBINACIONES_NPH!$B$9,K129+L129-1&lt;=$J$2),1,0)</f>
        <v/>
      </c>
      <c r="N129">
        <f>IF(M129=1,_xlfn.STDEV.S(INDEX($J$5:$J$34,K129):INDEX($J$5:$J$34,K129+L129-1))/AVERAGE(INDEX($J$5:$J$34,K129):INDEX($J$5:$J$34,K129+L129-1)),"")</f>
        <v/>
      </c>
      <c r="O129">
        <f>IF(M129=1,IF(N129&lt;=COMBINACIONES_NPH!$B$5,1,0),"")</f>
        <v/>
      </c>
      <c r="P129">
        <f>IF(M129=1,IF(O129=1,-L129,100)+N129+ROW()*0.000000000001,"")</f>
        <v/>
      </c>
    </row>
    <row r="130">
      <c r="K130" t="n">
        <v>5</v>
      </c>
      <c r="L130" t="n">
        <v>22</v>
      </c>
      <c r="M130">
        <f>IF(AND(L130&gt;=COMBINACIONES_NPH!$B$9,K130+L130-1&lt;=$J$2),1,0)</f>
        <v/>
      </c>
      <c r="N130">
        <f>IF(M130=1,_xlfn.STDEV.S(INDEX($J$5:$J$34,K130):INDEX($J$5:$J$34,K130+L130-1))/AVERAGE(INDEX($J$5:$J$34,K130):INDEX($J$5:$J$34,K130+L130-1)),"")</f>
        <v/>
      </c>
      <c r="O130">
        <f>IF(M130=1,IF(N130&lt;=COMBINACIONES_NPH!$B$5,1,0),"")</f>
        <v/>
      </c>
      <c r="P130">
        <f>IF(M130=1,IF(O130=1,-L130,100)+N130+ROW()*0.000000000001,"")</f>
        <v/>
      </c>
    </row>
    <row r="131">
      <c r="K131" t="n">
        <v>5</v>
      </c>
      <c r="L131" t="n">
        <v>23</v>
      </c>
      <c r="M131">
        <f>IF(AND(L131&gt;=COMBINACIONES_NPH!$B$9,K131+L131-1&lt;=$J$2),1,0)</f>
        <v/>
      </c>
      <c r="N131">
        <f>IF(M131=1,_xlfn.STDEV.S(INDEX($J$5:$J$34,K131):INDEX($J$5:$J$34,K131+L131-1))/AVERAGE(INDEX($J$5:$J$34,K131):INDEX($J$5:$J$34,K131+L131-1)),"")</f>
        <v/>
      </c>
      <c r="O131">
        <f>IF(M131=1,IF(N131&lt;=COMBINACIONES_NPH!$B$5,1,0),"")</f>
        <v/>
      </c>
      <c r="P131">
        <f>IF(M131=1,IF(O131=1,-L131,100)+N131+ROW()*0.000000000001,"")</f>
        <v/>
      </c>
    </row>
    <row r="132">
      <c r="K132" t="n">
        <v>5</v>
      </c>
      <c r="L132" t="n">
        <v>24</v>
      </c>
      <c r="M132">
        <f>IF(AND(L132&gt;=COMBINACIONES_NPH!$B$9,K132+L132-1&lt;=$J$2),1,0)</f>
        <v/>
      </c>
      <c r="N132">
        <f>IF(M132=1,_xlfn.STDEV.S(INDEX($J$5:$J$34,K132):INDEX($J$5:$J$34,K132+L132-1))/AVERAGE(INDEX($J$5:$J$34,K132):INDEX($J$5:$J$34,K132+L132-1)),"")</f>
        <v/>
      </c>
      <c r="O132">
        <f>IF(M132=1,IF(N132&lt;=COMBINACIONES_NPH!$B$5,1,0),"")</f>
        <v/>
      </c>
      <c r="P132">
        <f>IF(M132=1,IF(O132=1,-L132,100)+N132+ROW()*0.000000000001,"")</f>
        <v/>
      </c>
    </row>
    <row r="133">
      <c r="K133" t="n">
        <v>5</v>
      </c>
      <c r="L133" t="n">
        <v>25</v>
      </c>
      <c r="M133">
        <f>IF(AND(L133&gt;=COMBINACIONES_NPH!$B$9,K133+L133-1&lt;=$J$2),1,0)</f>
        <v/>
      </c>
      <c r="N133">
        <f>IF(M133=1,_xlfn.STDEV.S(INDEX($J$5:$J$34,K133):INDEX($J$5:$J$34,K133+L133-1))/AVERAGE(INDEX($J$5:$J$34,K133):INDEX($J$5:$J$34,K133+L133-1)),"")</f>
        <v/>
      </c>
      <c r="O133">
        <f>IF(M133=1,IF(N133&lt;=COMBINACIONES_NPH!$B$5,1,0),"")</f>
        <v/>
      </c>
      <c r="P133">
        <f>IF(M133=1,IF(O133=1,-L133,100)+N133+ROW()*0.000000000001,"")</f>
        <v/>
      </c>
    </row>
    <row r="134">
      <c r="K134" t="n">
        <v>5</v>
      </c>
      <c r="L134" t="n">
        <v>26</v>
      </c>
      <c r="M134">
        <f>IF(AND(L134&gt;=COMBINACIONES_NPH!$B$9,K134+L134-1&lt;=$J$2),1,0)</f>
        <v/>
      </c>
      <c r="N134">
        <f>IF(M134=1,_xlfn.STDEV.S(INDEX($J$5:$J$34,K134):INDEX($J$5:$J$34,K134+L134-1))/AVERAGE(INDEX($J$5:$J$34,K134):INDEX($J$5:$J$34,K134+L134-1)),"")</f>
        <v/>
      </c>
      <c r="O134">
        <f>IF(M134=1,IF(N134&lt;=COMBINACIONES_NPH!$B$5,1,0),"")</f>
        <v/>
      </c>
      <c r="P134">
        <f>IF(M134=1,IF(O134=1,-L134,100)+N134+ROW()*0.000000000001,"")</f>
        <v/>
      </c>
    </row>
    <row r="135">
      <c r="K135" t="n">
        <v>6</v>
      </c>
      <c r="L135" t="n">
        <v>3</v>
      </c>
      <c r="M135">
        <f>IF(AND(L135&gt;=COMBINACIONES_NPH!$B$9,K135+L135-1&lt;=$J$2),1,0)</f>
        <v/>
      </c>
      <c r="N135">
        <f>IF(M135=1,_xlfn.STDEV.S(INDEX($J$5:$J$34,K135):INDEX($J$5:$J$34,K135+L135-1))/AVERAGE(INDEX($J$5:$J$34,K135):INDEX($J$5:$J$34,K135+L135-1)),"")</f>
        <v/>
      </c>
      <c r="O135">
        <f>IF(M135=1,IF(N135&lt;=COMBINACIONES_NPH!$B$5,1,0),"")</f>
        <v/>
      </c>
      <c r="P135">
        <f>IF(M135=1,IF(O135=1,-L135,100)+N135+ROW()*0.000000000001,"")</f>
        <v/>
      </c>
    </row>
    <row r="136">
      <c r="K136" t="n">
        <v>6</v>
      </c>
      <c r="L136" t="n">
        <v>4</v>
      </c>
      <c r="M136">
        <f>IF(AND(L136&gt;=COMBINACIONES_NPH!$B$9,K136+L136-1&lt;=$J$2),1,0)</f>
        <v/>
      </c>
      <c r="N136">
        <f>IF(M136=1,_xlfn.STDEV.S(INDEX($J$5:$J$34,K136):INDEX($J$5:$J$34,K136+L136-1))/AVERAGE(INDEX($J$5:$J$34,K136):INDEX($J$5:$J$34,K136+L136-1)),"")</f>
        <v/>
      </c>
      <c r="O136">
        <f>IF(M136=1,IF(N136&lt;=COMBINACIONES_NPH!$B$5,1,0),"")</f>
        <v/>
      </c>
      <c r="P136">
        <f>IF(M136=1,IF(O136=1,-L136,100)+N136+ROW()*0.000000000001,"")</f>
        <v/>
      </c>
    </row>
    <row r="137">
      <c r="K137" t="n">
        <v>6</v>
      </c>
      <c r="L137" t="n">
        <v>5</v>
      </c>
      <c r="M137">
        <f>IF(AND(L137&gt;=COMBINACIONES_NPH!$B$9,K137+L137-1&lt;=$J$2),1,0)</f>
        <v/>
      </c>
      <c r="N137">
        <f>IF(M137=1,_xlfn.STDEV.S(INDEX($J$5:$J$34,K137):INDEX($J$5:$J$34,K137+L137-1))/AVERAGE(INDEX($J$5:$J$34,K137):INDEX($J$5:$J$34,K137+L137-1)),"")</f>
        <v/>
      </c>
      <c r="O137">
        <f>IF(M137=1,IF(N137&lt;=COMBINACIONES_NPH!$B$5,1,0),"")</f>
        <v/>
      </c>
      <c r="P137">
        <f>IF(M137=1,IF(O137=1,-L137,100)+N137+ROW()*0.000000000001,"")</f>
        <v/>
      </c>
    </row>
    <row r="138">
      <c r="K138" t="n">
        <v>6</v>
      </c>
      <c r="L138" t="n">
        <v>6</v>
      </c>
      <c r="M138">
        <f>IF(AND(L138&gt;=COMBINACIONES_NPH!$B$9,K138+L138-1&lt;=$J$2),1,0)</f>
        <v/>
      </c>
      <c r="N138">
        <f>IF(M138=1,_xlfn.STDEV.S(INDEX($J$5:$J$34,K138):INDEX($J$5:$J$34,K138+L138-1))/AVERAGE(INDEX($J$5:$J$34,K138):INDEX($J$5:$J$34,K138+L138-1)),"")</f>
        <v/>
      </c>
      <c r="O138">
        <f>IF(M138=1,IF(N138&lt;=COMBINACIONES_NPH!$B$5,1,0),"")</f>
        <v/>
      </c>
      <c r="P138">
        <f>IF(M138=1,IF(O138=1,-L138,100)+N138+ROW()*0.000000000001,"")</f>
        <v/>
      </c>
    </row>
    <row r="139">
      <c r="K139" t="n">
        <v>6</v>
      </c>
      <c r="L139" t="n">
        <v>7</v>
      </c>
      <c r="M139">
        <f>IF(AND(L139&gt;=COMBINACIONES_NPH!$B$9,K139+L139-1&lt;=$J$2),1,0)</f>
        <v/>
      </c>
      <c r="N139">
        <f>IF(M139=1,_xlfn.STDEV.S(INDEX($J$5:$J$34,K139):INDEX($J$5:$J$34,K139+L139-1))/AVERAGE(INDEX($J$5:$J$34,K139):INDEX($J$5:$J$34,K139+L139-1)),"")</f>
        <v/>
      </c>
      <c r="O139">
        <f>IF(M139=1,IF(N139&lt;=COMBINACIONES_NPH!$B$5,1,0),"")</f>
        <v/>
      </c>
      <c r="P139">
        <f>IF(M139=1,IF(O139=1,-L139,100)+N139+ROW()*0.000000000001,"")</f>
        <v/>
      </c>
    </row>
    <row r="140">
      <c r="K140" t="n">
        <v>6</v>
      </c>
      <c r="L140" t="n">
        <v>8</v>
      </c>
      <c r="M140">
        <f>IF(AND(L140&gt;=COMBINACIONES_NPH!$B$9,K140+L140-1&lt;=$J$2),1,0)</f>
        <v/>
      </c>
      <c r="N140">
        <f>IF(M140=1,_xlfn.STDEV.S(INDEX($J$5:$J$34,K140):INDEX($J$5:$J$34,K140+L140-1))/AVERAGE(INDEX($J$5:$J$34,K140):INDEX($J$5:$J$34,K140+L140-1)),"")</f>
        <v/>
      </c>
      <c r="O140">
        <f>IF(M140=1,IF(N140&lt;=COMBINACIONES_NPH!$B$5,1,0),"")</f>
        <v/>
      </c>
      <c r="P140">
        <f>IF(M140=1,IF(O140=1,-L140,100)+N140+ROW()*0.000000000001,"")</f>
        <v/>
      </c>
    </row>
    <row r="141">
      <c r="K141" t="n">
        <v>6</v>
      </c>
      <c r="L141" t="n">
        <v>9</v>
      </c>
      <c r="M141">
        <f>IF(AND(L141&gt;=COMBINACIONES_NPH!$B$9,K141+L141-1&lt;=$J$2),1,0)</f>
        <v/>
      </c>
      <c r="N141">
        <f>IF(M141=1,_xlfn.STDEV.S(INDEX($J$5:$J$34,K141):INDEX($J$5:$J$34,K141+L141-1))/AVERAGE(INDEX($J$5:$J$34,K141):INDEX($J$5:$J$34,K141+L141-1)),"")</f>
        <v/>
      </c>
      <c r="O141">
        <f>IF(M141=1,IF(N141&lt;=COMBINACIONES_NPH!$B$5,1,0),"")</f>
        <v/>
      </c>
      <c r="P141">
        <f>IF(M141=1,IF(O141=1,-L141,100)+N141+ROW()*0.000000000001,"")</f>
        <v/>
      </c>
    </row>
    <row r="142">
      <c r="K142" t="n">
        <v>6</v>
      </c>
      <c r="L142" t="n">
        <v>10</v>
      </c>
      <c r="M142">
        <f>IF(AND(L142&gt;=COMBINACIONES_NPH!$B$9,K142+L142-1&lt;=$J$2),1,0)</f>
        <v/>
      </c>
      <c r="N142">
        <f>IF(M142=1,_xlfn.STDEV.S(INDEX($J$5:$J$34,K142):INDEX($J$5:$J$34,K142+L142-1))/AVERAGE(INDEX($J$5:$J$34,K142):INDEX($J$5:$J$34,K142+L142-1)),"")</f>
        <v/>
      </c>
      <c r="O142">
        <f>IF(M142=1,IF(N142&lt;=COMBINACIONES_NPH!$B$5,1,0),"")</f>
        <v/>
      </c>
      <c r="P142">
        <f>IF(M142=1,IF(O142=1,-L142,100)+N142+ROW()*0.000000000001,"")</f>
        <v/>
      </c>
    </row>
    <row r="143">
      <c r="K143" t="n">
        <v>6</v>
      </c>
      <c r="L143" t="n">
        <v>11</v>
      </c>
      <c r="M143">
        <f>IF(AND(L143&gt;=COMBINACIONES_NPH!$B$9,K143+L143-1&lt;=$J$2),1,0)</f>
        <v/>
      </c>
      <c r="N143">
        <f>IF(M143=1,_xlfn.STDEV.S(INDEX($J$5:$J$34,K143):INDEX($J$5:$J$34,K143+L143-1))/AVERAGE(INDEX($J$5:$J$34,K143):INDEX($J$5:$J$34,K143+L143-1)),"")</f>
        <v/>
      </c>
      <c r="O143">
        <f>IF(M143=1,IF(N143&lt;=COMBINACIONES_NPH!$B$5,1,0),"")</f>
        <v/>
      </c>
      <c r="P143">
        <f>IF(M143=1,IF(O143=1,-L143,100)+N143+ROW()*0.000000000001,"")</f>
        <v/>
      </c>
    </row>
    <row r="144">
      <c r="K144" t="n">
        <v>6</v>
      </c>
      <c r="L144" t="n">
        <v>12</v>
      </c>
      <c r="M144">
        <f>IF(AND(L144&gt;=COMBINACIONES_NPH!$B$9,K144+L144-1&lt;=$J$2),1,0)</f>
        <v/>
      </c>
      <c r="N144">
        <f>IF(M144=1,_xlfn.STDEV.S(INDEX($J$5:$J$34,K144):INDEX($J$5:$J$34,K144+L144-1))/AVERAGE(INDEX($J$5:$J$34,K144):INDEX($J$5:$J$34,K144+L144-1)),"")</f>
        <v/>
      </c>
      <c r="O144">
        <f>IF(M144=1,IF(N144&lt;=COMBINACIONES_NPH!$B$5,1,0),"")</f>
        <v/>
      </c>
      <c r="P144">
        <f>IF(M144=1,IF(O144=1,-L144,100)+N144+ROW()*0.000000000001,"")</f>
        <v/>
      </c>
    </row>
    <row r="145">
      <c r="K145" t="n">
        <v>6</v>
      </c>
      <c r="L145" t="n">
        <v>13</v>
      </c>
      <c r="M145">
        <f>IF(AND(L145&gt;=COMBINACIONES_NPH!$B$9,K145+L145-1&lt;=$J$2),1,0)</f>
        <v/>
      </c>
      <c r="N145">
        <f>IF(M145=1,_xlfn.STDEV.S(INDEX($J$5:$J$34,K145):INDEX($J$5:$J$34,K145+L145-1))/AVERAGE(INDEX($J$5:$J$34,K145):INDEX($J$5:$J$34,K145+L145-1)),"")</f>
        <v/>
      </c>
      <c r="O145">
        <f>IF(M145=1,IF(N145&lt;=COMBINACIONES_NPH!$B$5,1,0),"")</f>
        <v/>
      </c>
      <c r="P145">
        <f>IF(M145=1,IF(O145=1,-L145,100)+N145+ROW()*0.000000000001,"")</f>
        <v/>
      </c>
    </row>
    <row r="146">
      <c r="K146" t="n">
        <v>6</v>
      </c>
      <c r="L146" t="n">
        <v>14</v>
      </c>
      <c r="M146">
        <f>IF(AND(L146&gt;=COMBINACIONES_NPH!$B$9,K146+L146-1&lt;=$J$2),1,0)</f>
        <v/>
      </c>
      <c r="N146">
        <f>IF(M146=1,_xlfn.STDEV.S(INDEX($J$5:$J$34,K146):INDEX($J$5:$J$34,K146+L146-1))/AVERAGE(INDEX($J$5:$J$34,K146):INDEX($J$5:$J$34,K146+L146-1)),"")</f>
        <v/>
      </c>
      <c r="O146">
        <f>IF(M146=1,IF(N146&lt;=COMBINACIONES_NPH!$B$5,1,0),"")</f>
        <v/>
      </c>
      <c r="P146">
        <f>IF(M146=1,IF(O146=1,-L146,100)+N146+ROW()*0.000000000001,"")</f>
        <v/>
      </c>
    </row>
    <row r="147">
      <c r="K147" t="n">
        <v>6</v>
      </c>
      <c r="L147" t="n">
        <v>15</v>
      </c>
      <c r="M147">
        <f>IF(AND(L147&gt;=COMBINACIONES_NPH!$B$9,K147+L147-1&lt;=$J$2),1,0)</f>
        <v/>
      </c>
      <c r="N147">
        <f>IF(M147=1,_xlfn.STDEV.S(INDEX($J$5:$J$34,K147):INDEX($J$5:$J$34,K147+L147-1))/AVERAGE(INDEX($J$5:$J$34,K147):INDEX($J$5:$J$34,K147+L147-1)),"")</f>
        <v/>
      </c>
      <c r="O147">
        <f>IF(M147=1,IF(N147&lt;=COMBINACIONES_NPH!$B$5,1,0),"")</f>
        <v/>
      </c>
      <c r="P147">
        <f>IF(M147=1,IF(O147=1,-L147,100)+N147+ROW()*0.000000000001,"")</f>
        <v/>
      </c>
    </row>
    <row r="148">
      <c r="K148" t="n">
        <v>6</v>
      </c>
      <c r="L148" t="n">
        <v>16</v>
      </c>
      <c r="M148">
        <f>IF(AND(L148&gt;=COMBINACIONES_NPH!$B$9,K148+L148-1&lt;=$J$2),1,0)</f>
        <v/>
      </c>
      <c r="N148">
        <f>IF(M148=1,_xlfn.STDEV.S(INDEX($J$5:$J$34,K148):INDEX($J$5:$J$34,K148+L148-1))/AVERAGE(INDEX($J$5:$J$34,K148):INDEX($J$5:$J$34,K148+L148-1)),"")</f>
        <v/>
      </c>
      <c r="O148">
        <f>IF(M148=1,IF(N148&lt;=COMBINACIONES_NPH!$B$5,1,0),"")</f>
        <v/>
      </c>
      <c r="P148">
        <f>IF(M148=1,IF(O148=1,-L148,100)+N148+ROW()*0.000000000001,"")</f>
        <v/>
      </c>
    </row>
    <row r="149">
      <c r="K149" t="n">
        <v>6</v>
      </c>
      <c r="L149" t="n">
        <v>17</v>
      </c>
      <c r="M149">
        <f>IF(AND(L149&gt;=COMBINACIONES_NPH!$B$9,K149+L149-1&lt;=$J$2),1,0)</f>
        <v/>
      </c>
      <c r="N149">
        <f>IF(M149=1,_xlfn.STDEV.S(INDEX($J$5:$J$34,K149):INDEX($J$5:$J$34,K149+L149-1))/AVERAGE(INDEX($J$5:$J$34,K149):INDEX($J$5:$J$34,K149+L149-1)),"")</f>
        <v/>
      </c>
      <c r="O149">
        <f>IF(M149=1,IF(N149&lt;=COMBINACIONES_NPH!$B$5,1,0),"")</f>
        <v/>
      </c>
      <c r="P149">
        <f>IF(M149=1,IF(O149=1,-L149,100)+N149+ROW()*0.000000000001,"")</f>
        <v/>
      </c>
    </row>
    <row r="150">
      <c r="K150" t="n">
        <v>6</v>
      </c>
      <c r="L150" t="n">
        <v>18</v>
      </c>
      <c r="M150">
        <f>IF(AND(L150&gt;=COMBINACIONES_NPH!$B$9,K150+L150-1&lt;=$J$2),1,0)</f>
        <v/>
      </c>
      <c r="N150">
        <f>IF(M150=1,_xlfn.STDEV.S(INDEX($J$5:$J$34,K150):INDEX($J$5:$J$34,K150+L150-1))/AVERAGE(INDEX($J$5:$J$34,K150):INDEX($J$5:$J$34,K150+L150-1)),"")</f>
        <v/>
      </c>
      <c r="O150">
        <f>IF(M150=1,IF(N150&lt;=COMBINACIONES_NPH!$B$5,1,0),"")</f>
        <v/>
      </c>
      <c r="P150">
        <f>IF(M150=1,IF(O150=1,-L150,100)+N150+ROW()*0.000000000001,"")</f>
        <v/>
      </c>
    </row>
    <row r="151">
      <c r="K151" t="n">
        <v>6</v>
      </c>
      <c r="L151" t="n">
        <v>19</v>
      </c>
      <c r="M151">
        <f>IF(AND(L151&gt;=COMBINACIONES_NPH!$B$9,K151+L151-1&lt;=$J$2),1,0)</f>
        <v/>
      </c>
      <c r="N151">
        <f>IF(M151=1,_xlfn.STDEV.S(INDEX($J$5:$J$34,K151):INDEX($J$5:$J$34,K151+L151-1))/AVERAGE(INDEX($J$5:$J$34,K151):INDEX($J$5:$J$34,K151+L151-1)),"")</f>
        <v/>
      </c>
      <c r="O151">
        <f>IF(M151=1,IF(N151&lt;=COMBINACIONES_NPH!$B$5,1,0),"")</f>
        <v/>
      </c>
      <c r="P151">
        <f>IF(M151=1,IF(O151=1,-L151,100)+N151+ROW()*0.000000000001,"")</f>
        <v/>
      </c>
    </row>
    <row r="152">
      <c r="K152" t="n">
        <v>6</v>
      </c>
      <c r="L152" t="n">
        <v>20</v>
      </c>
      <c r="M152">
        <f>IF(AND(L152&gt;=COMBINACIONES_NPH!$B$9,K152+L152-1&lt;=$J$2),1,0)</f>
        <v/>
      </c>
      <c r="N152">
        <f>IF(M152=1,_xlfn.STDEV.S(INDEX($J$5:$J$34,K152):INDEX($J$5:$J$34,K152+L152-1))/AVERAGE(INDEX($J$5:$J$34,K152):INDEX($J$5:$J$34,K152+L152-1)),"")</f>
        <v/>
      </c>
      <c r="O152">
        <f>IF(M152=1,IF(N152&lt;=COMBINACIONES_NPH!$B$5,1,0),"")</f>
        <v/>
      </c>
      <c r="P152">
        <f>IF(M152=1,IF(O152=1,-L152,100)+N152+ROW()*0.000000000001,"")</f>
        <v/>
      </c>
    </row>
    <row r="153">
      <c r="K153" t="n">
        <v>6</v>
      </c>
      <c r="L153" t="n">
        <v>21</v>
      </c>
      <c r="M153">
        <f>IF(AND(L153&gt;=COMBINACIONES_NPH!$B$9,K153+L153-1&lt;=$J$2),1,0)</f>
        <v/>
      </c>
      <c r="N153">
        <f>IF(M153=1,_xlfn.STDEV.S(INDEX($J$5:$J$34,K153):INDEX($J$5:$J$34,K153+L153-1))/AVERAGE(INDEX($J$5:$J$34,K153):INDEX($J$5:$J$34,K153+L153-1)),"")</f>
        <v/>
      </c>
      <c r="O153">
        <f>IF(M153=1,IF(N153&lt;=COMBINACIONES_NPH!$B$5,1,0),"")</f>
        <v/>
      </c>
      <c r="P153">
        <f>IF(M153=1,IF(O153=1,-L153,100)+N153+ROW()*0.000000000001,"")</f>
        <v/>
      </c>
    </row>
    <row r="154">
      <c r="K154" t="n">
        <v>6</v>
      </c>
      <c r="L154" t="n">
        <v>22</v>
      </c>
      <c r="M154">
        <f>IF(AND(L154&gt;=COMBINACIONES_NPH!$B$9,K154+L154-1&lt;=$J$2),1,0)</f>
        <v/>
      </c>
      <c r="N154">
        <f>IF(M154=1,_xlfn.STDEV.S(INDEX($J$5:$J$34,K154):INDEX($J$5:$J$34,K154+L154-1))/AVERAGE(INDEX($J$5:$J$34,K154):INDEX($J$5:$J$34,K154+L154-1)),"")</f>
        <v/>
      </c>
      <c r="O154">
        <f>IF(M154=1,IF(N154&lt;=COMBINACIONES_NPH!$B$5,1,0),"")</f>
        <v/>
      </c>
      <c r="P154">
        <f>IF(M154=1,IF(O154=1,-L154,100)+N154+ROW()*0.000000000001,"")</f>
        <v/>
      </c>
    </row>
    <row r="155">
      <c r="K155" t="n">
        <v>6</v>
      </c>
      <c r="L155" t="n">
        <v>23</v>
      </c>
      <c r="M155">
        <f>IF(AND(L155&gt;=COMBINACIONES_NPH!$B$9,K155+L155-1&lt;=$J$2),1,0)</f>
        <v/>
      </c>
      <c r="N155">
        <f>IF(M155=1,_xlfn.STDEV.S(INDEX($J$5:$J$34,K155):INDEX($J$5:$J$34,K155+L155-1))/AVERAGE(INDEX($J$5:$J$34,K155):INDEX($J$5:$J$34,K155+L155-1)),"")</f>
        <v/>
      </c>
      <c r="O155">
        <f>IF(M155=1,IF(N155&lt;=COMBINACIONES_NPH!$B$5,1,0),"")</f>
        <v/>
      </c>
      <c r="P155">
        <f>IF(M155=1,IF(O155=1,-L155,100)+N155+ROW()*0.000000000001,"")</f>
        <v/>
      </c>
    </row>
    <row r="156">
      <c r="K156" t="n">
        <v>6</v>
      </c>
      <c r="L156" t="n">
        <v>24</v>
      </c>
      <c r="M156">
        <f>IF(AND(L156&gt;=COMBINACIONES_NPH!$B$9,K156+L156-1&lt;=$J$2),1,0)</f>
        <v/>
      </c>
      <c r="N156">
        <f>IF(M156=1,_xlfn.STDEV.S(INDEX($J$5:$J$34,K156):INDEX($J$5:$J$34,K156+L156-1))/AVERAGE(INDEX($J$5:$J$34,K156):INDEX($J$5:$J$34,K156+L156-1)),"")</f>
        <v/>
      </c>
      <c r="O156">
        <f>IF(M156=1,IF(N156&lt;=COMBINACIONES_NPH!$B$5,1,0),"")</f>
        <v/>
      </c>
      <c r="P156">
        <f>IF(M156=1,IF(O156=1,-L156,100)+N156+ROW()*0.000000000001,"")</f>
        <v/>
      </c>
    </row>
    <row r="157">
      <c r="K157" t="n">
        <v>6</v>
      </c>
      <c r="L157" t="n">
        <v>25</v>
      </c>
      <c r="M157">
        <f>IF(AND(L157&gt;=COMBINACIONES_NPH!$B$9,K157+L157-1&lt;=$J$2),1,0)</f>
        <v/>
      </c>
      <c r="N157">
        <f>IF(M157=1,_xlfn.STDEV.S(INDEX($J$5:$J$34,K157):INDEX($J$5:$J$34,K157+L157-1))/AVERAGE(INDEX($J$5:$J$34,K157):INDEX($J$5:$J$34,K157+L157-1)),"")</f>
        <v/>
      </c>
      <c r="O157">
        <f>IF(M157=1,IF(N157&lt;=COMBINACIONES_NPH!$B$5,1,0),"")</f>
        <v/>
      </c>
      <c r="P157">
        <f>IF(M157=1,IF(O157=1,-L157,100)+N157+ROW()*0.000000000001,"")</f>
        <v/>
      </c>
    </row>
    <row r="158">
      <c r="K158" t="n">
        <v>7</v>
      </c>
      <c r="L158" t="n">
        <v>3</v>
      </c>
      <c r="M158">
        <f>IF(AND(L158&gt;=COMBINACIONES_NPH!$B$9,K158+L158-1&lt;=$J$2),1,0)</f>
        <v/>
      </c>
      <c r="N158">
        <f>IF(M158=1,_xlfn.STDEV.S(INDEX($J$5:$J$34,K158):INDEX($J$5:$J$34,K158+L158-1))/AVERAGE(INDEX($J$5:$J$34,K158):INDEX($J$5:$J$34,K158+L158-1)),"")</f>
        <v/>
      </c>
      <c r="O158">
        <f>IF(M158=1,IF(N158&lt;=COMBINACIONES_NPH!$B$5,1,0),"")</f>
        <v/>
      </c>
      <c r="P158">
        <f>IF(M158=1,IF(O158=1,-L158,100)+N158+ROW()*0.000000000001,"")</f>
        <v/>
      </c>
    </row>
    <row r="159">
      <c r="K159" t="n">
        <v>7</v>
      </c>
      <c r="L159" t="n">
        <v>4</v>
      </c>
      <c r="M159">
        <f>IF(AND(L159&gt;=COMBINACIONES_NPH!$B$9,K159+L159-1&lt;=$J$2),1,0)</f>
        <v/>
      </c>
      <c r="N159">
        <f>IF(M159=1,_xlfn.STDEV.S(INDEX($J$5:$J$34,K159):INDEX($J$5:$J$34,K159+L159-1))/AVERAGE(INDEX($J$5:$J$34,K159):INDEX($J$5:$J$34,K159+L159-1)),"")</f>
        <v/>
      </c>
      <c r="O159">
        <f>IF(M159=1,IF(N159&lt;=COMBINACIONES_NPH!$B$5,1,0),"")</f>
        <v/>
      </c>
      <c r="P159">
        <f>IF(M159=1,IF(O159=1,-L159,100)+N159+ROW()*0.000000000001,"")</f>
        <v/>
      </c>
    </row>
    <row r="160">
      <c r="K160" t="n">
        <v>7</v>
      </c>
      <c r="L160" t="n">
        <v>5</v>
      </c>
      <c r="M160">
        <f>IF(AND(L160&gt;=COMBINACIONES_NPH!$B$9,K160+L160-1&lt;=$J$2),1,0)</f>
        <v/>
      </c>
      <c r="N160">
        <f>IF(M160=1,_xlfn.STDEV.S(INDEX($J$5:$J$34,K160):INDEX($J$5:$J$34,K160+L160-1))/AVERAGE(INDEX($J$5:$J$34,K160):INDEX($J$5:$J$34,K160+L160-1)),"")</f>
        <v/>
      </c>
      <c r="O160">
        <f>IF(M160=1,IF(N160&lt;=COMBINACIONES_NPH!$B$5,1,0),"")</f>
        <v/>
      </c>
      <c r="P160">
        <f>IF(M160=1,IF(O160=1,-L160,100)+N160+ROW()*0.000000000001,"")</f>
        <v/>
      </c>
    </row>
    <row r="161">
      <c r="K161" t="n">
        <v>7</v>
      </c>
      <c r="L161" t="n">
        <v>6</v>
      </c>
      <c r="M161">
        <f>IF(AND(L161&gt;=COMBINACIONES_NPH!$B$9,K161+L161-1&lt;=$J$2),1,0)</f>
        <v/>
      </c>
      <c r="N161">
        <f>IF(M161=1,_xlfn.STDEV.S(INDEX($J$5:$J$34,K161):INDEX($J$5:$J$34,K161+L161-1))/AVERAGE(INDEX($J$5:$J$34,K161):INDEX($J$5:$J$34,K161+L161-1)),"")</f>
        <v/>
      </c>
      <c r="O161">
        <f>IF(M161=1,IF(N161&lt;=COMBINACIONES_NPH!$B$5,1,0),"")</f>
        <v/>
      </c>
      <c r="P161">
        <f>IF(M161=1,IF(O161=1,-L161,100)+N161+ROW()*0.000000000001,"")</f>
        <v/>
      </c>
    </row>
    <row r="162">
      <c r="K162" t="n">
        <v>7</v>
      </c>
      <c r="L162" t="n">
        <v>7</v>
      </c>
      <c r="M162">
        <f>IF(AND(L162&gt;=COMBINACIONES_NPH!$B$9,K162+L162-1&lt;=$J$2),1,0)</f>
        <v/>
      </c>
      <c r="N162">
        <f>IF(M162=1,_xlfn.STDEV.S(INDEX($J$5:$J$34,K162):INDEX($J$5:$J$34,K162+L162-1))/AVERAGE(INDEX($J$5:$J$34,K162):INDEX($J$5:$J$34,K162+L162-1)),"")</f>
        <v/>
      </c>
      <c r="O162">
        <f>IF(M162=1,IF(N162&lt;=COMBINACIONES_NPH!$B$5,1,0),"")</f>
        <v/>
      </c>
      <c r="P162">
        <f>IF(M162=1,IF(O162=1,-L162,100)+N162+ROW()*0.000000000001,"")</f>
        <v/>
      </c>
    </row>
    <row r="163">
      <c r="K163" t="n">
        <v>7</v>
      </c>
      <c r="L163" t="n">
        <v>8</v>
      </c>
      <c r="M163">
        <f>IF(AND(L163&gt;=COMBINACIONES_NPH!$B$9,K163+L163-1&lt;=$J$2),1,0)</f>
        <v/>
      </c>
      <c r="N163">
        <f>IF(M163=1,_xlfn.STDEV.S(INDEX($J$5:$J$34,K163):INDEX($J$5:$J$34,K163+L163-1))/AVERAGE(INDEX($J$5:$J$34,K163):INDEX($J$5:$J$34,K163+L163-1)),"")</f>
        <v/>
      </c>
      <c r="O163">
        <f>IF(M163=1,IF(N163&lt;=COMBINACIONES_NPH!$B$5,1,0),"")</f>
        <v/>
      </c>
      <c r="P163">
        <f>IF(M163=1,IF(O163=1,-L163,100)+N163+ROW()*0.000000000001,"")</f>
        <v/>
      </c>
    </row>
    <row r="164">
      <c r="K164" t="n">
        <v>7</v>
      </c>
      <c r="L164" t="n">
        <v>9</v>
      </c>
      <c r="M164">
        <f>IF(AND(L164&gt;=COMBINACIONES_NPH!$B$9,K164+L164-1&lt;=$J$2),1,0)</f>
        <v/>
      </c>
      <c r="N164">
        <f>IF(M164=1,_xlfn.STDEV.S(INDEX($J$5:$J$34,K164):INDEX($J$5:$J$34,K164+L164-1))/AVERAGE(INDEX($J$5:$J$34,K164):INDEX($J$5:$J$34,K164+L164-1)),"")</f>
        <v/>
      </c>
      <c r="O164">
        <f>IF(M164=1,IF(N164&lt;=COMBINACIONES_NPH!$B$5,1,0),"")</f>
        <v/>
      </c>
      <c r="P164">
        <f>IF(M164=1,IF(O164=1,-L164,100)+N164+ROW()*0.000000000001,"")</f>
        <v/>
      </c>
    </row>
    <row r="165">
      <c r="K165" t="n">
        <v>7</v>
      </c>
      <c r="L165" t="n">
        <v>10</v>
      </c>
      <c r="M165">
        <f>IF(AND(L165&gt;=COMBINACIONES_NPH!$B$9,K165+L165-1&lt;=$J$2),1,0)</f>
        <v/>
      </c>
      <c r="N165">
        <f>IF(M165=1,_xlfn.STDEV.S(INDEX($J$5:$J$34,K165):INDEX($J$5:$J$34,K165+L165-1))/AVERAGE(INDEX($J$5:$J$34,K165):INDEX($J$5:$J$34,K165+L165-1)),"")</f>
        <v/>
      </c>
      <c r="O165">
        <f>IF(M165=1,IF(N165&lt;=COMBINACIONES_NPH!$B$5,1,0),"")</f>
        <v/>
      </c>
      <c r="P165">
        <f>IF(M165=1,IF(O165=1,-L165,100)+N165+ROW()*0.000000000001,"")</f>
        <v/>
      </c>
    </row>
    <row r="166">
      <c r="K166" t="n">
        <v>7</v>
      </c>
      <c r="L166" t="n">
        <v>11</v>
      </c>
      <c r="M166">
        <f>IF(AND(L166&gt;=COMBINACIONES_NPH!$B$9,K166+L166-1&lt;=$J$2),1,0)</f>
        <v/>
      </c>
      <c r="N166">
        <f>IF(M166=1,_xlfn.STDEV.S(INDEX($J$5:$J$34,K166):INDEX($J$5:$J$34,K166+L166-1))/AVERAGE(INDEX($J$5:$J$34,K166):INDEX($J$5:$J$34,K166+L166-1)),"")</f>
        <v/>
      </c>
      <c r="O166">
        <f>IF(M166=1,IF(N166&lt;=COMBINACIONES_NPH!$B$5,1,0),"")</f>
        <v/>
      </c>
      <c r="P166">
        <f>IF(M166=1,IF(O166=1,-L166,100)+N166+ROW()*0.000000000001,"")</f>
        <v/>
      </c>
    </row>
    <row r="167">
      <c r="K167" t="n">
        <v>7</v>
      </c>
      <c r="L167" t="n">
        <v>12</v>
      </c>
      <c r="M167">
        <f>IF(AND(L167&gt;=COMBINACIONES_NPH!$B$9,K167+L167-1&lt;=$J$2),1,0)</f>
        <v/>
      </c>
      <c r="N167">
        <f>IF(M167=1,_xlfn.STDEV.S(INDEX($J$5:$J$34,K167):INDEX($J$5:$J$34,K167+L167-1))/AVERAGE(INDEX($J$5:$J$34,K167):INDEX($J$5:$J$34,K167+L167-1)),"")</f>
        <v/>
      </c>
      <c r="O167">
        <f>IF(M167=1,IF(N167&lt;=COMBINACIONES_NPH!$B$5,1,0),"")</f>
        <v/>
      </c>
      <c r="P167">
        <f>IF(M167=1,IF(O167=1,-L167,100)+N167+ROW()*0.000000000001,"")</f>
        <v/>
      </c>
    </row>
    <row r="168">
      <c r="K168" t="n">
        <v>7</v>
      </c>
      <c r="L168" t="n">
        <v>13</v>
      </c>
      <c r="M168">
        <f>IF(AND(L168&gt;=COMBINACIONES_NPH!$B$9,K168+L168-1&lt;=$J$2),1,0)</f>
        <v/>
      </c>
      <c r="N168">
        <f>IF(M168=1,_xlfn.STDEV.S(INDEX($J$5:$J$34,K168):INDEX($J$5:$J$34,K168+L168-1))/AVERAGE(INDEX($J$5:$J$34,K168):INDEX($J$5:$J$34,K168+L168-1)),"")</f>
        <v/>
      </c>
      <c r="O168">
        <f>IF(M168=1,IF(N168&lt;=COMBINACIONES_NPH!$B$5,1,0),"")</f>
        <v/>
      </c>
      <c r="P168">
        <f>IF(M168=1,IF(O168=1,-L168,100)+N168+ROW()*0.000000000001,"")</f>
        <v/>
      </c>
    </row>
    <row r="169">
      <c r="K169" t="n">
        <v>7</v>
      </c>
      <c r="L169" t="n">
        <v>14</v>
      </c>
      <c r="M169">
        <f>IF(AND(L169&gt;=COMBINACIONES_NPH!$B$9,K169+L169-1&lt;=$J$2),1,0)</f>
        <v/>
      </c>
      <c r="N169">
        <f>IF(M169=1,_xlfn.STDEV.S(INDEX($J$5:$J$34,K169):INDEX($J$5:$J$34,K169+L169-1))/AVERAGE(INDEX($J$5:$J$34,K169):INDEX($J$5:$J$34,K169+L169-1)),"")</f>
        <v/>
      </c>
      <c r="O169">
        <f>IF(M169=1,IF(N169&lt;=COMBINACIONES_NPH!$B$5,1,0),"")</f>
        <v/>
      </c>
      <c r="P169">
        <f>IF(M169=1,IF(O169=1,-L169,100)+N169+ROW()*0.000000000001,"")</f>
        <v/>
      </c>
    </row>
    <row r="170">
      <c r="K170" t="n">
        <v>7</v>
      </c>
      <c r="L170" t="n">
        <v>15</v>
      </c>
      <c r="M170">
        <f>IF(AND(L170&gt;=COMBINACIONES_NPH!$B$9,K170+L170-1&lt;=$J$2),1,0)</f>
        <v/>
      </c>
      <c r="N170">
        <f>IF(M170=1,_xlfn.STDEV.S(INDEX($J$5:$J$34,K170):INDEX($J$5:$J$34,K170+L170-1))/AVERAGE(INDEX($J$5:$J$34,K170):INDEX($J$5:$J$34,K170+L170-1)),"")</f>
        <v/>
      </c>
      <c r="O170">
        <f>IF(M170=1,IF(N170&lt;=COMBINACIONES_NPH!$B$5,1,0),"")</f>
        <v/>
      </c>
      <c r="P170">
        <f>IF(M170=1,IF(O170=1,-L170,100)+N170+ROW()*0.000000000001,"")</f>
        <v/>
      </c>
    </row>
    <row r="171">
      <c r="K171" t="n">
        <v>7</v>
      </c>
      <c r="L171" t="n">
        <v>16</v>
      </c>
      <c r="M171">
        <f>IF(AND(L171&gt;=COMBINACIONES_NPH!$B$9,K171+L171-1&lt;=$J$2),1,0)</f>
        <v/>
      </c>
      <c r="N171">
        <f>IF(M171=1,_xlfn.STDEV.S(INDEX($J$5:$J$34,K171):INDEX($J$5:$J$34,K171+L171-1))/AVERAGE(INDEX($J$5:$J$34,K171):INDEX($J$5:$J$34,K171+L171-1)),"")</f>
        <v/>
      </c>
      <c r="O171">
        <f>IF(M171=1,IF(N171&lt;=COMBINACIONES_NPH!$B$5,1,0),"")</f>
        <v/>
      </c>
      <c r="P171">
        <f>IF(M171=1,IF(O171=1,-L171,100)+N171+ROW()*0.000000000001,"")</f>
        <v/>
      </c>
    </row>
    <row r="172">
      <c r="K172" t="n">
        <v>7</v>
      </c>
      <c r="L172" t="n">
        <v>17</v>
      </c>
      <c r="M172">
        <f>IF(AND(L172&gt;=COMBINACIONES_NPH!$B$9,K172+L172-1&lt;=$J$2),1,0)</f>
        <v/>
      </c>
      <c r="N172">
        <f>IF(M172=1,_xlfn.STDEV.S(INDEX($J$5:$J$34,K172):INDEX($J$5:$J$34,K172+L172-1))/AVERAGE(INDEX($J$5:$J$34,K172):INDEX($J$5:$J$34,K172+L172-1)),"")</f>
        <v/>
      </c>
      <c r="O172">
        <f>IF(M172=1,IF(N172&lt;=COMBINACIONES_NPH!$B$5,1,0),"")</f>
        <v/>
      </c>
      <c r="P172">
        <f>IF(M172=1,IF(O172=1,-L172,100)+N172+ROW()*0.000000000001,"")</f>
        <v/>
      </c>
    </row>
    <row r="173">
      <c r="K173" t="n">
        <v>7</v>
      </c>
      <c r="L173" t="n">
        <v>18</v>
      </c>
      <c r="M173">
        <f>IF(AND(L173&gt;=COMBINACIONES_NPH!$B$9,K173+L173-1&lt;=$J$2),1,0)</f>
        <v/>
      </c>
      <c r="N173">
        <f>IF(M173=1,_xlfn.STDEV.S(INDEX($J$5:$J$34,K173):INDEX($J$5:$J$34,K173+L173-1))/AVERAGE(INDEX($J$5:$J$34,K173):INDEX($J$5:$J$34,K173+L173-1)),"")</f>
        <v/>
      </c>
      <c r="O173">
        <f>IF(M173=1,IF(N173&lt;=COMBINACIONES_NPH!$B$5,1,0),"")</f>
        <v/>
      </c>
      <c r="P173">
        <f>IF(M173=1,IF(O173=1,-L173,100)+N173+ROW()*0.000000000001,"")</f>
        <v/>
      </c>
    </row>
    <row r="174">
      <c r="K174" t="n">
        <v>7</v>
      </c>
      <c r="L174" t="n">
        <v>19</v>
      </c>
      <c r="M174">
        <f>IF(AND(L174&gt;=COMBINACIONES_NPH!$B$9,K174+L174-1&lt;=$J$2),1,0)</f>
        <v/>
      </c>
      <c r="N174">
        <f>IF(M174=1,_xlfn.STDEV.S(INDEX($J$5:$J$34,K174):INDEX($J$5:$J$34,K174+L174-1))/AVERAGE(INDEX($J$5:$J$34,K174):INDEX($J$5:$J$34,K174+L174-1)),"")</f>
        <v/>
      </c>
      <c r="O174">
        <f>IF(M174=1,IF(N174&lt;=COMBINACIONES_NPH!$B$5,1,0),"")</f>
        <v/>
      </c>
      <c r="P174">
        <f>IF(M174=1,IF(O174=1,-L174,100)+N174+ROW()*0.000000000001,"")</f>
        <v/>
      </c>
    </row>
    <row r="175">
      <c r="K175" t="n">
        <v>7</v>
      </c>
      <c r="L175" t="n">
        <v>20</v>
      </c>
      <c r="M175">
        <f>IF(AND(L175&gt;=COMBINACIONES_NPH!$B$9,K175+L175-1&lt;=$J$2),1,0)</f>
        <v/>
      </c>
      <c r="N175">
        <f>IF(M175=1,_xlfn.STDEV.S(INDEX($J$5:$J$34,K175):INDEX($J$5:$J$34,K175+L175-1))/AVERAGE(INDEX($J$5:$J$34,K175):INDEX($J$5:$J$34,K175+L175-1)),"")</f>
        <v/>
      </c>
      <c r="O175">
        <f>IF(M175=1,IF(N175&lt;=COMBINACIONES_NPH!$B$5,1,0),"")</f>
        <v/>
      </c>
      <c r="P175">
        <f>IF(M175=1,IF(O175=1,-L175,100)+N175+ROW()*0.000000000001,"")</f>
        <v/>
      </c>
    </row>
    <row r="176">
      <c r="K176" t="n">
        <v>7</v>
      </c>
      <c r="L176" t="n">
        <v>21</v>
      </c>
      <c r="M176">
        <f>IF(AND(L176&gt;=COMBINACIONES_NPH!$B$9,K176+L176-1&lt;=$J$2),1,0)</f>
        <v/>
      </c>
      <c r="N176">
        <f>IF(M176=1,_xlfn.STDEV.S(INDEX($J$5:$J$34,K176):INDEX($J$5:$J$34,K176+L176-1))/AVERAGE(INDEX($J$5:$J$34,K176):INDEX($J$5:$J$34,K176+L176-1)),"")</f>
        <v/>
      </c>
      <c r="O176">
        <f>IF(M176=1,IF(N176&lt;=COMBINACIONES_NPH!$B$5,1,0),"")</f>
        <v/>
      </c>
      <c r="P176">
        <f>IF(M176=1,IF(O176=1,-L176,100)+N176+ROW()*0.000000000001,"")</f>
        <v/>
      </c>
    </row>
    <row r="177">
      <c r="K177" t="n">
        <v>7</v>
      </c>
      <c r="L177" t="n">
        <v>22</v>
      </c>
      <c r="M177">
        <f>IF(AND(L177&gt;=COMBINACIONES_NPH!$B$9,K177+L177-1&lt;=$J$2),1,0)</f>
        <v/>
      </c>
      <c r="N177">
        <f>IF(M177=1,_xlfn.STDEV.S(INDEX($J$5:$J$34,K177):INDEX($J$5:$J$34,K177+L177-1))/AVERAGE(INDEX($J$5:$J$34,K177):INDEX($J$5:$J$34,K177+L177-1)),"")</f>
        <v/>
      </c>
      <c r="O177">
        <f>IF(M177=1,IF(N177&lt;=COMBINACIONES_NPH!$B$5,1,0),"")</f>
        <v/>
      </c>
      <c r="P177">
        <f>IF(M177=1,IF(O177=1,-L177,100)+N177+ROW()*0.000000000001,"")</f>
        <v/>
      </c>
    </row>
    <row r="178">
      <c r="K178" t="n">
        <v>7</v>
      </c>
      <c r="L178" t="n">
        <v>23</v>
      </c>
      <c r="M178">
        <f>IF(AND(L178&gt;=COMBINACIONES_NPH!$B$9,K178+L178-1&lt;=$J$2),1,0)</f>
        <v/>
      </c>
      <c r="N178">
        <f>IF(M178=1,_xlfn.STDEV.S(INDEX($J$5:$J$34,K178):INDEX($J$5:$J$34,K178+L178-1))/AVERAGE(INDEX($J$5:$J$34,K178):INDEX($J$5:$J$34,K178+L178-1)),"")</f>
        <v/>
      </c>
      <c r="O178">
        <f>IF(M178=1,IF(N178&lt;=COMBINACIONES_NPH!$B$5,1,0),"")</f>
        <v/>
      </c>
      <c r="P178">
        <f>IF(M178=1,IF(O178=1,-L178,100)+N178+ROW()*0.000000000001,"")</f>
        <v/>
      </c>
    </row>
    <row r="179">
      <c r="K179" t="n">
        <v>7</v>
      </c>
      <c r="L179" t="n">
        <v>24</v>
      </c>
      <c r="M179">
        <f>IF(AND(L179&gt;=COMBINACIONES_NPH!$B$9,K179+L179-1&lt;=$J$2),1,0)</f>
        <v/>
      </c>
      <c r="N179">
        <f>IF(M179=1,_xlfn.STDEV.S(INDEX($J$5:$J$34,K179):INDEX($J$5:$J$34,K179+L179-1))/AVERAGE(INDEX($J$5:$J$34,K179):INDEX($J$5:$J$34,K179+L179-1)),"")</f>
        <v/>
      </c>
      <c r="O179">
        <f>IF(M179=1,IF(N179&lt;=COMBINACIONES_NPH!$B$5,1,0),"")</f>
        <v/>
      </c>
      <c r="P179">
        <f>IF(M179=1,IF(O179=1,-L179,100)+N179+ROW()*0.000000000001,"")</f>
        <v/>
      </c>
    </row>
    <row r="180">
      <c r="K180" t="n">
        <v>8</v>
      </c>
      <c r="L180" t="n">
        <v>3</v>
      </c>
      <c r="M180">
        <f>IF(AND(L180&gt;=COMBINACIONES_NPH!$B$9,K180+L180-1&lt;=$J$2),1,0)</f>
        <v/>
      </c>
      <c r="N180">
        <f>IF(M180=1,_xlfn.STDEV.S(INDEX($J$5:$J$34,K180):INDEX($J$5:$J$34,K180+L180-1))/AVERAGE(INDEX($J$5:$J$34,K180):INDEX($J$5:$J$34,K180+L180-1)),"")</f>
        <v/>
      </c>
      <c r="O180">
        <f>IF(M180=1,IF(N180&lt;=COMBINACIONES_NPH!$B$5,1,0),"")</f>
        <v/>
      </c>
      <c r="P180">
        <f>IF(M180=1,IF(O180=1,-L180,100)+N180+ROW()*0.000000000001,"")</f>
        <v/>
      </c>
    </row>
    <row r="181">
      <c r="K181" t="n">
        <v>8</v>
      </c>
      <c r="L181" t="n">
        <v>4</v>
      </c>
      <c r="M181">
        <f>IF(AND(L181&gt;=COMBINACIONES_NPH!$B$9,K181+L181-1&lt;=$J$2),1,0)</f>
        <v/>
      </c>
      <c r="N181">
        <f>IF(M181=1,_xlfn.STDEV.S(INDEX($J$5:$J$34,K181):INDEX($J$5:$J$34,K181+L181-1))/AVERAGE(INDEX($J$5:$J$34,K181):INDEX($J$5:$J$34,K181+L181-1)),"")</f>
        <v/>
      </c>
      <c r="O181">
        <f>IF(M181=1,IF(N181&lt;=COMBINACIONES_NPH!$B$5,1,0),"")</f>
        <v/>
      </c>
      <c r="P181">
        <f>IF(M181=1,IF(O181=1,-L181,100)+N181+ROW()*0.000000000001,"")</f>
        <v/>
      </c>
    </row>
    <row r="182">
      <c r="K182" t="n">
        <v>8</v>
      </c>
      <c r="L182" t="n">
        <v>5</v>
      </c>
      <c r="M182">
        <f>IF(AND(L182&gt;=COMBINACIONES_NPH!$B$9,K182+L182-1&lt;=$J$2),1,0)</f>
        <v/>
      </c>
      <c r="N182">
        <f>IF(M182=1,_xlfn.STDEV.S(INDEX($J$5:$J$34,K182):INDEX($J$5:$J$34,K182+L182-1))/AVERAGE(INDEX($J$5:$J$34,K182):INDEX($J$5:$J$34,K182+L182-1)),"")</f>
        <v/>
      </c>
      <c r="O182">
        <f>IF(M182=1,IF(N182&lt;=COMBINACIONES_NPH!$B$5,1,0),"")</f>
        <v/>
      </c>
      <c r="P182">
        <f>IF(M182=1,IF(O182=1,-L182,100)+N182+ROW()*0.000000000001,"")</f>
        <v/>
      </c>
    </row>
    <row r="183">
      <c r="K183" t="n">
        <v>8</v>
      </c>
      <c r="L183" t="n">
        <v>6</v>
      </c>
      <c r="M183">
        <f>IF(AND(L183&gt;=COMBINACIONES_NPH!$B$9,K183+L183-1&lt;=$J$2),1,0)</f>
        <v/>
      </c>
      <c r="N183">
        <f>IF(M183=1,_xlfn.STDEV.S(INDEX($J$5:$J$34,K183):INDEX($J$5:$J$34,K183+L183-1))/AVERAGE(INDEX($J$5:$J$34,K183):INDEX($J$5:$J$34,K183+L183-1)),"")</f>
        <v/>
      </c>
      <c r="O183">
        <f>IF(M183=1,IF(N183&lt;=COMBINACIONES_NPH!$B$5,1,0),"")</f>
        <v/>
      </c>
      <c r="P183">
        <f>IF(M183=1,IF(O183=1,-L183,100)+N183+ROW()*0.000000000001,"")</f>
        <v/>
      </c>
    </row>
    <row r="184">
      <c r="K184" t="n">
        <v>8</v>
      </c>
      <c r="L184" t="n">
        <v>7</v>
      </c>
      <c r="M184">
        <f>IF(AND(L184&gt;=COMBINACIONES_NPH!$B$9,K184+L184-1&lt;=$J$2),1,0)</f>
        <v/>
      </c>
      <c r="N184">
        <f>IF(M184=1,_xlfn.STDEV.S(INDEX($J$5:$J$34,K184):INDEX($J$5:$J$34,K184+L184-1))/AVERAGE(INDEX($J$5:$J$34,K184):INDEX($J$5:$J$34,K184+L184-1)),"")</f>
        <v/>
      </c>
      <c r="O184">
        <f>IF(M184=1,IF(N184&lt;=COMBINACIONES_NPH!$B$5,1,0),"")</f>
        <v/>
      </c>
      <c r="P184">
        <f>IF(M184=1,IF(O184=1,-L184,100)+N184+ROW()*0.000000000001,"")</f>
        <v/>
      </c>
    </row>
    <row r="185">
      <c r="K185" t="n">
        <v>8</v>
      </c>
      <c r="L185" t="n">
        <v>8</v>
      </c>
      <c r="M185">
        <f>IF(AND(L185&gt;=COMBINACIONES_NPH!$B$9,K185+L185-1&lt;=$J$2),1,0)</f>
        <v/>
      </c>
      <c r="N185">
        <f>IF(M185=1,_xlfn.STDEV.S(INDEX($J$5:$J$34,K185):INDEX($J$5:$J$34,K185+L185-1))/AVERAGE(INDEX($J$5:$J$34,K185):INDEX($J$5:$J$34,K185+L185-1)),"")</f>
        <v/>
      </c>
      <c r="O185">
        <f>IF(M185=1,IF(N185&lt;=COMBINACIONES_NPH!$B$5,1,0),"")</f>
        <v/>
      </c>
      <c r="P185">
        <f>IF(M185=1,IF(O185=1,-L185,100)+N185+ROW()*0.000000000001,"")</f>
        <v/>
      </c>
    </row>
    <row r="186">
      <c r="K186" t="n">
        <v>8</v>
      </c>
      <c r="L186" t="n">
        <v>9</v>
      </c>
      <c r="M186">
        <f>IF(AND(L186&gt;=COMBINACIONES_NPH!$B$9,K186+L186-1&lt;=$J$2),1,0)</f>
        <v/>
      </c>
      <c r="N186">
        <f>IF(M186=1,_xlfn.STDEV.S(INDEX($J$5:$J$34,K186):INDEX($J$5:$J$34,K186+L186-1))/AVERAGE(INDEX($J$5:$J$34,K186):INDEX($J$5:$J$34,K186+L186-1)),"")</f>
        <v/>
      </c>
      <c r="O186">
        <f>IF(M186=1,IF(N186&lt;=COMBINACIONES_NPH!$B$5,1,0),"")</f>
        <v/>
      </c>
      <c r="P186">
        <f>IF(M186=1,IF(O186=1,-L186,100)+N186+ROW()*0.000000000001,"")</f>
        <v/>
      </c>
    </row>
    <row r="187">
      <c r="K187" t="n">
        <v>8</v>
      </c>
      <c r="L187" t="n">
        <v>10</v>
      </c>
      <c r="M187">
        <f>IF(AND(L187&gt;=COMBINACIONES_NPH!$B$9,K187+L187-1&lt;=$J$2),1,0)</f>
        <v/>
      </c>
      <c r="N187">
        <f>IF(M187=1,_xlfn.STDEV.S(INDEX($J$5:$J$34,K187):INDEX($J$5:$J$34,K187+L187-1))/AVERAGE(INDEX($J$5:$J$34,K187):INDEX($J$5:$J$34,K187+L187-1)),"")</f>
        <v/>
      </c>
      <c r="O187">
        <f>IF(M187=1,IF(N187&lt;=COMBINACIONES_NPH!$B$5,1,0),"")</f>
        <v/>
      </c>
      <c r="P187">
        <f>IF(M187=1,IF(O187=1,-L187,100)+N187+ROW()*0.000000000001,"")</f>
        <v/>
      </c>
    </row>
    <row r="188">
      <c r="K188" t="n">
        <v>8</v>
      </c>
      <c r="L188" t="n">
        <v>11</v>
      </c>
      <c r="M188">
        <f>IF(AND(L188&gt;=COMBINACIONES_NPH!$B$9,K188+L188-1&lt;=$J$2),1,0)</f>
        <v/>
      </c>
      <c r="N188">
        <f>IF(M188=1,_xlfn.STDEV.S(INDEX($J$5:$J$34,K188):INDEX($J$5:$J$34,K188+L188-1))/AVERAGE(INDEX($J$5:$J$34,K188):INDEX($J$5:$J$34,K188+L188-1)),"")</f>
        <v/>
      </c>
      <c r="O188">
        <f>IF(M188=1,IF(N188&lt;=COMBINACIONES_NPH!$B$5,1,0),"")</f>
        <v/>
      </c>
      <c r="P188">
        <f>IF(M188=1,IF(O188=1,-L188,100)+N188+ROW()*0.000000000001,"")</f>
        <v/>
      </c>
    </row>
    <row r="189">
      <c r="K189" t="n">
        <v>8</v>
      </c>
      <c r="L189" t="n">
        <v>12</v>
      </c>
      <c r="M189">
        <f>IF(AND(L189&gt;=COMBINACIONES_NPH!$B$9,K189+L189-1&lt;=$J$2),1,0)</f>
        <v/>
      </c>
      <c r="N189">
        <f>IF(M189=1,_xlfn.STDEV.S(INDEX($J$5:$J$34,K189):INDEX($J$5:$J$34,K189+L189-1))/AVERAGE(INDEX($J$5:$J$34,K189):INDEX($J$5:$J$34,K189+L189-1)),"")</f>
        <v/>
      </c>
      <c r="O189">
        <f>IF(M189=1,IF(N189&lt;=COMBINACIONES_NPH!$B$5,1,0),"")</f>
        <v/>
      </c>
      <c r="P189">
        <f>IF(M189=1,IF(O189=1,-L189,100)+N189+ROW()*0.000000000001,"")</f>
        <v/>
      </c>
    </row>
    <row r="190">
      <c r="K190" t="n">
        <v>8</v>
      </c>
      <c r="L190" t="n">
        <v>13</v>
      </c>
      <c r="M190">
        <f>IF(AND(L190&gt;=COMBINACIONES_NPH!$B$9,K190+L190-1&lt;=$J$2),1,0)</f>
        <v/>
      </c>
      <c r="N190">
        <f>IF(M190=1,_xlfn.STDEV.S(INDEX($J$5:$J$34,K190):INDEX($J$5:$J$34,K190+L190-1))/AVERAGE(INDEX($J$5:$J$34,K190):INDEX($J$5:$J$34,K190+L190-1)),"")</f>
        <v/>
      </c>
      <c r="O190">
        <f>IF(M190=1,IF(N190&lt;=COMBINACIONES_NPH!$B$5,1,0),"")</f>
        <v/>
      </c>
      <c r="P190">
        <f>IF(M190=1,IF(O190=1,-L190,100)+N190+ROW()*0.000000000001,"")</f>
        <v/>
      </c>
    </row>
    <row r="191">
      <c r="K191" t="n">
        <v>8</v>
      </c>
      <c r="L191" t="n">
        <v>14</v>
      </c>
      <c r="M191">
        <f>IF(AND(L191&gt;=COMBINACIONES_NPH!$B$9,K191+L191-1&lt;=$J$2),1,0)</f>
        <v/>
      </c>
      <c r="N191">
        <f>IF(M191=1,_xlfn.STDEV.S(INDEX($J$5:$J$34,K191):INDEX($J$5:$J$34,K191+L191-1))/AVERAGE(INDEX($J$5:$J$34,K191):INDEX($J$5:$J$34,K191+L191-1)),"")</f>
        <v/>
      </c>
      <c r="O191">
        <f>IF(M191=1,IF(N191&lt;=COMBINACIONES_NPH!$B$5,1,0),"")</f>
        <v/>
      </c>
      <c r="P191">
        <f>IF(M191=1,IF(O191=1,-L191,100)+N191+ROW()*0.000000000001,"")</f>
        <v/>
      </c>
    </row>
    <row r="192">
      <c r="K192" t="n">
        <v>8</v>
      </c>
      <c r="L192" t="n">
        <v>15</v>
      </c>
      <c r="M192">
        <f>IF(AND(L192&gt;=COMBINACIONES_NPH!$B$9,K192+L192-1&lt;=$J$2),1,0)</f>
        <v/>
      </c>
      <c r="N192">
        <f>IF(M192=1,_xlfn.STDEV.S(INDEX($J$5:$J$34,K192):INDEX($J$5:$J$34,K192+L192-1))/AVERAGE(INDEX($J$5:$J$34,K192):INDEX($J$5:$J$34,K192+L192-1)),"")</f>
        <v/>
      </c>
      <c r="O192">
        <f>IF(M192=1,IF(N192&lt;=COMBINACIONES_NPH!$B$5,1,0),"")</f>
        <v/>
      </c>
      <c r="P192">
        <f>IF(M192=1,IF(O192=1,-L192,100)+N192+ROW()*0.000000000001,"")</f>
        <v/>
      </c>
    </row>
    <row r="193">
      <c r="K193" t="n">
        <v>8</v>
      </c>
      <c r="L193" t="n">
        <v>16</v>
      </c>
      <c r="M193">
        <f>IF(AND(L193&gt;=COMBINACIONES_NPH!$B$9,K193+L193-1&lt;=$J$2),1,0)</f>
        <v/>
      </c>
      <c r="N193">
        <f>IF(M193=1,_xlfn.STDEV.S(INDEX($J$5:$J$34,K193):INDEX($J$5:$J$34,K193+L193-1))/AVERAGE(INDEX($J$5:$J$34,K193):INDEX($J$5:$J$34,K193+L193-1)),"")</f>
        <v/>
      </c>
      <c r="O193">
        <f>IF(M193=1,IF(N193&lt;=COMBINACIONES_NPH!$B$5,1,0),"")</f>
        <v/>
      </c>
      <c r="P193">
        <f>IF(M193=1,IF(O193=1,-L193,100)+N193+ROW()*0.000000000001,"")</f>
        <v/>
      </c>
    </row>
    <row r="194">
      <c r="K194" t="n">
        <v>8</v>
      </c>
      <c r="L194" t="n">
        <v>17</v>
      </c>
      <c r="M194">
        <f>IF(AND(L194&gt;=COMBINACIONES_NPH!$B$9,K194+L194-1&lt;=$J$2),1,0)</f>
        <v/>
      </c>
      <c r="N194">
        <f>IF(M194=1,_xlfn.STDEV.S(INDEX($J$5:$J$34,K194):INDEX($J$5:$J$34,K194+L194-1))/AVERAGE(INDEX($J$5:$J$34,K194):INDEX($J$5:$J$34,K194+L194-1)),"")</f>
        <v/>
      </c>
      <c r="O194">
        <f>IF(M194=1,IF(N194&lt;=COMBINACIONES_NPH!$B$5,1,0),"")</f>
        <v/>
      </c>
      <c r="P194">
        <f>IF(M194=1,IF(O194=1,-L194,100)+N194+ROW()*0.000000000001,"")</f>
        <v/>
      </c>
    </row>
    <row r="195">
      <c r="K195" t="n">
        <v>8</v>
      </c>
      <c r="L195" t="n">
        <v>18</v>
      </c>
      <c r="M195">
        <f>IF(AND(L195&gt;=COMBINACIONES_NPH!$B$9,K195+L195-1&lt;=$J$2),1,0)</f>
        <v/>
      </c>
      <c r="N195">
        <f>IF(M195=1,_xlfn.STDEV.S(INDEX($J$5:$J$34,K195):INDEX($J$5:$J$34,K195+L195-1))/AVERAGE(INDEX($J$5:$J$34,K195):INDEX($J$5:$J$34,K195+L195-1)),"")</f>
        <v/>
      </c>
      <c r="O195">
        <f>IF(M195=1,IF(N195&lt;=COMBINACIONES_NPH!$B$5,1,0),"")</f>
        <v/>
      </c>
      <c r="P195">
        <f>IF(M195=1,IF(O195=1,-L195,100)+N195+ROW()*0.000000000001,"")</f>
        <v/>
      </c>
    </row>
    <row r="196">
      <c r="K196" t="n">
        <v>8</v>
      </c>
      <c r="L196" t="n">
        <v>19</v>
      </c>
      <c r="M196">
        <f>IF(AND(L196&gt;=COMBINACIONES_NPH!$B$9,K196+L196-1&lt;=$J$2),1,0)</f>
        <v/>
      </c>
      <c r="N196">
        <f>IF(M196=1,_xlfn.STDEV.S(INDEX($J$5:$J$34,K196):INDEX($J$5:$J$34,K196+L196-1))/AVERAGE(INDEX($J$5:$J$34,K196):INDEX($J$5:$J$34,K196+L196-1)),"")</f>
        <v/>
      </c>
      <c r="O196">
        <f>IF(M196=1,IF(N196&lt;=COMBINACIONES_NPH!$B$5,1,0),"")</f>
        <v/>
      </c>
      <c r="P196">
        <f>IF(M196=1,IF(O196=1,-L196,100)+N196+ROW()*0.000000000001,"")</f>
        <v/>
      </c>
    </row>
    <row r="197">
      <c r="K197" t="n">
        <v>8</v>
      </c>
      <c r="L197" t="n">
        <v>20</v>
      </c>
      <c r="M197">
        <f>IF(AND(L197&gt;=COMBINACIONES_NPH!$B$9,K197+L197-1&lt;=$J$2),1,0)</f>
        <v/>
      </c>
      <c r="N197">
        <f>IF(M197=1,_xlfn.STDEV.S(INDEX($J$5:$J$34,K197):INDEX($J$5:$J$34,K197+L197-1))/AVERAGE(INDEX($J$5:$J$34,K197):INDEX($J$5:$J$34,K197+L197-1)),"")</f>
        <v/>
      </c>
      <c r="O197">
        <f>IF(M197=1,IF(N197&lt;=COMBINACIONES_NPH!$B$5,1,0),"")</f>
        <v/>
      </c>
      <c r="P197">
        <f>IF(M197=1,IF(O197=1,-L197,100)+N197+ROW()*0.000000000001,"")</f>
        <v/>
      </c>
    </row>
    <row r="198">
      <c r="K198" t="n">
        <v>8</v>
      </c>
      <c r="L198" t="n">
        <v>21</v>
      </c>
      <c r="M198">
        <f>IF(AND(L198&gt;=COMBINACIONES_NPH!$B$9,K198+L198-1&lt;=$J$2),1,0)</f>
        <v/>
      </c>
      <c r="N198">
        <f>IF(M198=1,_xlfn.STDEV.S(INDEX($J$5:$J$34,K198):INDEX($J$5:$J$34,K198+L198-1))/AVERAGE(INDEX($J$5:$J$34,K198):INDEX($J$5:$J$34,K198+L198-1)),"")</f>
        <v/>
      </c>
      <c r="O198">
        <f>IF(M198=1,IF(N198&lt;=COMBINACIONES_NPH!$B$5,1,0),"")</f>
        <v/>
      </c>
      <c r="P198">
        <f>IF(M198=1,IF(O198=1,-L198,100)+N198+ROW()*0.000000000001,"")</f>
        <v/>
      </c>
    </row>
    <row r="199">
      <c r="K199" t="n">
        <v>8</v>
      </c>
      <c r="L199" t="n">
        <v>22</v>
      </c>
      <c r="M199">
        <f>IF(AND(L199&gt;=COMBINACIONES_NPH!$B$9,K199+L199-1&lt;=$J$2),1,0)</f>
        <v/>
      </c>
      <c r="N199">
        <f>IF(M199=1,_xlfn.STDEV.S(INDEX($J$5:$J$34,K199):INDEX($J$5:$J$34,K199+L199-1))/AVERAGE(INDEX($J$5:$J$34,K199):INDEX($J$5:$J$34,K199+L199-1)),"")</f>
        <v/>
      </c>
      <c r="O199">
        <f>IF(M199=1,IF(N199&lt;=COMBINACIONES_NPH!$B$5,1,0),"")</f>
        <v/>
      </c>
      <c r="P199">
        <f>IF(M199=1,IF(O199=1,-L199,100)+N199+ROW()*0.000000000001,"")</f>
        <v/>
      </c>
    </row>
    <row r="200">
      <c r="K200" t="n">
        <v>8</v>
      </c>
      <c r="L200" t="n">
        <v>23</v>
      </c>
      <c r="M200">
        <f>IF(AND(L200&gt;=COMBINACIONES_NPH!$B$9,K200+L200-1&lt;=$J$2),1,0)</f>
        <v/>
      </c>
      <c r="N200">
        <f>IF(M200=1,_xlfn.STDEV.S(INDEX($J$5:$J$34,K200):INDEX($J$5:$J$34,K200+L200-1))/AVERAGE(INDEX($J$5:$J$34,K200):INDEX($J$5:$J$34,K200+L200-1)),"")</f>
        <v/>
      </c>
      <c r="O200">
        <f>IF(M200=1,IF(N200&lt;=COMBINACIONES_NPH!$B$5,1,0),"")</f>
        <v/>
      </c>
      <c r="P200">
        <f>IF(M200=1,IF(O200=1,-L200,100)+N200+ROW()*0.000000000001,"")</f>
        <v/>
      </c>
    </row>
    <row r="201">
      <c r="K201" t="n">
        <v>9</v>
      </c>
      <c r="L201" t="n">
        <v>3</v>
      </c>
      <c r="M201">
        <f>IF(AND(L201&gt;=COMBINACIONES_NPH!$B$9,K201+L201-1&lt;=$J$2),1,0)</f>
        <v/>
      </c>
      <c r="N201">
        <f>IF(M201=1,_xlfn.STDEV.S(INDEX($J$5:$J$34,K201):INDEX($J$5:$J$34,K201+L201-1))/AVERAGE(INDEX($J$5:$J$34,K201):INDEX($J$5:$J$34,K201+L201-1)),"")</f>
        <v/>
      </c>
      <c r="O201">
        <f>IF(M201=1,IF(N201&lt;=COMBINACIONES_NPH!$B$5,1,0),"")</f>
        <v/>
      </c>
      <c r="P201">
        <f>IF(M201=1,IF(O201=1,-L201,100)+N201+ROW()*0.000000000001,"")</f>
        <v/>
      </c>
    </row>
    <row r="202">
      <c r="K202" t="n">
        <v>9</v>
      </c>
      <c r="L202" t="n">
        <v>4</v>
      </c>
      <c r="M202">
        <f>IF(AND(L202&gt;=COMBINACIONES_NPH!$B$9,K202+L202-1&lt;=$J$2),1,0)</f>
        <v/>
      </c>
      <c r="N202">
        <f>IF(M202=1,_xlfn.STDEV.S(INDEX($J$5:$J$34,K202):INDEX($J$5:$J$34,K202+L202-1))/AVERAGE(INDEX($J$5:$J$34,K202):INDEX($J$5:$J$34,K202+L202-1)),"")</f>
        <v/>
      </c>
      <c r="O202">
        <f>IF(M202=1,IF(N202&lt;=COMBINACIONES_NPH!$B$5,1,0),"")</f>
        <v/>
      </c>
      <c r="P202">
        <f>IF(M202=1,IF(O202=1,-L202,100)+N202+ROW()*0.000000000001,"")</f>
        <v/>
      </c>
    </row>
    <row r="203">
      <c r="K203" t="n">
        <v>9</v>
      </c>
      <c r="L203" t="n">
        <v>5</v>
      </c>
      <c r="M203">
        <f>IF(AND(L203&gt;=COMBINACIONES_NPH!$B$9,K203+L203-1&lt;=$J$2),1,0)</f>
        <v/>
      </c>
      <c r="N203">
        <f>IF(M203=1,_xlfn.STDEV.S(INDEX($J$5:$J$34,K203):INDEX($J$5:$J$34,K203+L203-1))/AVERAGE(INDEX($J$5:$J$34,K203):INDEX($J$5:$J$34,K203+L203-1)),"")</f>
        <v/>
      </c>
      <c r="O203">
        <f>IF(M203=1,IF(N203&lt;=COMBINACIONES_NPH!$B$5,1,0),"")</f>
        <v/>
      </c>
      <c r="P203">
        <f>IF(M203=1,IF(O203=1,-L203,100)+N203+ROW()*0.000000000001,"")</f>
        <v/>
      </c>
    </row>
    <row r="204">
      <c r="K204" t="n">
        <v>9</v>
      </c>
      <c r="L204" t="n">
        <v>6</v>
      </c>
      <c r="M204">
        <f>IF(AND(L204&gt;=COMBINACIONES_NPH!$B$9,K204+L204-1&lt;=$J$2),1,0)</f>
        <v/>
      </c>
      <c r="N204">
        <f>IF(M204=1,_xlfn.STDEV.S(INDEX($J$5:$J$34,K204):INDEX($J$5:$J$34,K204+L204-1))/AVERAGE(INDEX($J$5:$J$34,K204):INDEX($J$5:$J$34,K204+L204-1)),"")</f>
        <v/>
      </c>
      <c r="O204">
        <f>IF(M204=1,IF(N204&lt;=COMBINACIONES_NPH!$B$5,1,0),"")</f>
        <v/>
      </c>
      <c r="P204">
        <f>IF(M204=1,IF(O204=1,-L204,100)+N204+ROW()*0.000000000001,"")</f>
        <v/>
      </c>
    </row>
    <row r="205">
      <c r="K205" t="n">
        <v>9</v>
      </c>
      <c r="L205" t="n">
        <v>7</v>
      </c>
      <c r="M205">
        <f>IF(AND(L205&gt;=COMBINACIONES_NPH!$B$9,K205+L205-1&lt;=$J$2),1,0)</f>
        <v/>
      </c>
      <c r="N205">
        <f>IF(M205=1,_xlfn.STDEV.S(INDEX($J$5:$J$34,K205):INDEX($J$5:$J$34,K205+L205-1))/AVERAGE(INDEX($J$5:$J$34,K205):INDEX($J$5:$J$34,K205+L205-1)),"")</f>
        <v/>
      </c>
      <c r="O205">
        <f>IF(M205=1,IF(N205&lt;=COMBINACIONES_NPH!$B$5,1,0),"")</f>
        <v/>
      </c>
      <c r="P205">
        <f>IF(M205=1,IF(O205=1,-L205,100)+N205+ROW()*0.000000000001,"")</f>
        <v/>
      </c>
    </row>
    <row r="206">
      <c r="K206" t="n">
        <v>9</v>
      </c>
      <c r="L206" t="n">
        <v>8</v>
      </c>
      <c r="M206">
        <f>IF(AND(L206&gt;=COMBINACIONES_NPH!$B$9,K206+L206-1&lt;=$J$2),1,0)</f>
        <v/>
      </c>
      <c r="N206">
        <f>IF(M206=1,_xlfn.STDEV.S(INDEX($J$5:$J$34,K206):INDEX($J$5:$J$34,K206+L206-1))/AVERAGE(INDEX($J$5:$J$34,K206):INDEX($J$5:$J$34,K206+L206-1)),"")</f>
        <v/>
      </c>
      <c r="O206">
        <f>IF(M206=1,IF(N206&lt;=COMBINACIONES_NPH!$B$5,1,0),"")</f>
        <v/>
      </c>
      <c r="P206">
        <f>IF(M206=1,IF(O206=1,-L206,100)+N206+ROW()*0.000000000001,"")</f>
        <v/>
      </c>
    </row>
    <row r="207">
      <c r="K207" t="n">
        <v>9</v>
      </c>
      <c r="L207" t="n">
        <v>9</v>
      </c>
      <c r="M207">
        <f>IF(AND(L207&gt;=COMBINACIONES_NPH!$B$9,K207+L207-1&lt;=$J$2),1,0)</f>
        <v/>
      </c>
      <c r="N207">
        <f>IF(M207=1,_xlfn.STDEV.S(INDEX($J$5:$J$34,K207):INDEX($J$5:$J$34,K207+L207-1))/AVERAGE(INDEX($J$5:$J$34,K207):INDEX($J$5:$J$34,K207+L207-1)),"")</f>
        <v/>
      </c>
      <c r="O207">
        <f>IF(M207=1,IF(N207&lt;=COMBINACIONES_NPH!$B$5,1,0),"")</f>
        <v/>
      </c>
      <c r="P207">
        <f>IF(M207=1,IF(O207=1,-L207,100)+N207+ROW()*0.000000000001,"")</f>
        <v/>
      </c>
    </row>
    <row r="208">
      <c r="K208" t="n">
        <v>9</v>
      </c>
      <c r="L208" t="n">
        <v>10</v>
      </c>
      <c r="M208">
        <f>IF(AND(L208&gt;=COMBINACIONES_NPH!$B$9,K208+L208-1&lt;=$J$2),1,0)</f>
        <v/>
      </c>
      <c r="N208">
        <f>IF(M208=1,_xlfn.STDEV.S(INDEX($J$5:$J$34,K208):INDEX($J$5:$J$34,K208+L208-1))/AVERAGE(INDEX($J$5:$J$34,K208):INDEX($J$5:$J$34,K208+L208-1)),"")</f>
        <v/>
      </c>
      <c r="O208">
        <f>IF(M208=1,IF(N208&lt;=COMBINACIONES_NPH!$B$5,1,0),"")</f>
        <v/>
      </c>
      <c r="P208">
        <f>IF(M208=1,IF(O208=1,-L208,100)+N208+ROW()*0.000000000001,"")</f>
        <v/>
      </c>
    </row>
    <row r="209">
      <c r="K209" t="n">
        <v>9</v>
      </c>
      <c r="L209" t="n">
        <v>11</v>
      </c>
      <c r="M209">
        <f>IF(AND(L209&gt;=COMBINACIONES_NPH!$B$9,K209+L209-1&lt;=$J$2),1,0)</f>
        <v/>
      </c>
      <c r="N209">
        <f>IF(M209=1,_xlfn.STDEV.S(INDEX($J$5:$J$34,K209):INDEX($J$5:$J$34,K209+L209-1))/AVERAGE(INDEX($J$5:$J$34,K209):INDEX($J$5:$J$34,K209+L209-1)),"")</f>
        <v/>
      </c>
      <c r="O209">
        <f>IF(M209=1,IF(N209&lt;=COMBINACIONES_NPH!$B$5,1,0),"")</f>
        <v/>
      </c>
      <c r="P209">
        <f>IF(M209=1,IF(O209=1,-L209,100)+N209+ROW()*0.000000000001,"")</f>
        <v/>
      </c>
    </row>
    <row r="210">
      <c r="K210" t="n">
        <v>9</v>
      </c>
      <c r="L210" t="n">
        <v>12</v>
      </c>
      <c r="M210">
        <f>IF(AND(L210&gt;=COMBINACIONES_NPH!$B$9,K210+L210-1&lt;=$J$2),1,0)</f>
        <v/>
      </c>
      <c r="N210">
        <f>IF(M210=1,_xlfn.STDEV.S(INDEX($J$5:$J$34,K210):INDEX($J$5:$J$34,K210+L210-1))/AVERAGE(INDEX($J$5:$J$34,K210):INDEX($J$5:$J$34,K210+L210-1)),"")</f>
        <v/>
      </c>
      <c r="O210">
        <f>IF(M210=1,IF(N210&lt;=COMBINACIONES_NPH!$B$5,1,0),"")</f>
        <v/>
      </c>
      <c r="P210">
        <f>IF(M210=1,IF(O210=1,-L210,100)+N210+ROW()*0.000000000001,"")</f>
        <v/>
      </c>
    </row>
    <row r="211">
      <c r="K211" t="n">
        <v>9</v>
      </c>
      <c r="L211" t="n">
        <v>13</v>
      </c>
      <c r="M211">
        <f>IF(AND(L211&gt;=COMBINACIONES_NPH!$B$9,K211+L211-1&lt;=$J$2),1,0)</f>
        <v/>
      </c>
      <c r="N211">
        <f>IF(M211=1,_xlfn.STDEV.S(INDEX($J$5:$J$34,K211):INDEX($J$5:$J$34,K211+L211-1))/AVERAGE(INDEX($J$5:$J$34,K211):INDEX($J$5:$J$34,K211+L211-1)),"")</f>
        <v/>
      </c>
      <c r="O211">
        <f>IF(M211=1,IF(N211&lt;=COMBINACIONES_NPH!$B$5,1,0),"")</f>
        <v/>
      </c>
      <c r="P211">
        <f>IF(M211=1,IF(O211=1,-L211,100)+N211+ROW()*0.000000000001,"")</f>
        <v/>
      </c>
    </row>
    <row r="212">
      <c r="K212" t="n">
        <v>9</v>
      </c>
      <c r="L212" t="n">
        <v>14</v>
      </c>
      <c r="M212">
        <f>IF(AND(L212&gt;=COMBINACIONES_NPH!$B$9,K212+L212-1&lt;=$J$2),1,0)</f>
        <v/>
      </c>
      <c r="N212">
        <f>IF(M212=1,_xlfn.STDEV.S(INDEX($J$5:$J$34,K212):INDEX($J$5:$J$34,K212+L212-1))/AVERAGE(INDEX($J$5:$J$34,K212):INDEX($J$5:$J$34,K212+L212-1)),"")</f>
        <v/>
      </c>
      <c r="O212">
        <f>IF(M212=1,IF(N212&lt;=COMBINACIONES_NPH!$B$5,1,0),"")</f>
        <v/>
      </c>
      <c r="P212">
        <f>IF(M212=1,IF(O212=1,-L212,100)+N212+ROW()*0.000000000001,"")</f>
        <v/>
      </c>
    </row>
    <row r="213">
      <c r="K213" t="n">
        <v>9</v>
      </c>
      <c r="L213" t="n">
        <v>15</v>
      </c>
      <c r="M213">
        <f>IF(AND(L213&gt;=COMBINACIONES_NPH!$B$9,K213+L213-1&lt;=$J$2),1,0)</f>
        <v/>
      </c>
      <c r="N213">
        <f>IF(M213=1,_xlfn.STDEV.S(INDEX($J$5:$J$34,K213):INDEX($J$5:$J$34,K213+L213-1))/AVERAGE(INDEX($J$5:$J$34,K213):INDEX($J$5:$J$34,K213+L213-1)),"")</f>
        <v/>
      </c>
      <c r="O213">
        <f>IF(M213=1,IF(N213&lt;=COMBINACIONES_NPH!$B$5,1,0),"")</f>
        <v/>
      </c>
      <c r="P213">
        <f>IF(M213=1,IF(O213=1,-L213,100)+N213+ROW()*0.000000000001,"")</f>
        <v/>
      </c>
    </row>
    <row r="214">
      <c r="K214" t="n">
        <v>9</v>
      </c>
      <c r="L214" t="n">
        <v>16</v>
      </c>
      <c r="M214">
        <f>IF(AND(L214&gt;=COMBINACIONES_NPH!$B$9,K214+L214-1&lt;=$J$2),1,0)</f>
        <v/>
      </c>
      <c r="N214">
        <f>IF(M214=1,_xlfn.STDEV.S(INDEX($J$5:$J$34,K214):INDEX($J$5:$J$34,K214+L214-1))/AVERAGE(INDEX($J$5:$J$34,K214):INDEX($J$5:$J$34,K214+L214-1)),"")</f>
        <v/>
      </c>
      <c r="O214">
        <f>IF(M214=1,IF(N214&lt;=COMBINACIONES_NPH!$B$5,1,0),"")</f>
        <v/>
      </c>
      <c r="P214">
        <f>IF(M214=1,IF(O214=1,-L214,100)+N214+ROW()*0.000000000001,"")</f>
        <v/>
      </c>
    </row>
    <row r="215">
      <c r="K215" t="n">
        <v>9</v>
      </c>
      <c r="L215" t="n">
        <v>17</v>
      </c>
      <c r="M215">
        <f>IF(AND(L215&gt;=COMBINACIONES_NPH!$B$9,K215+L215-1&lt;=$J$2),1,0)</f>
        <v/>
      </c>
      <c r="N215">
        <f>IF(M215=1,_xlfn.STDEV.S(INDEX($J$5:$J$34,K215):INDEX($J$5:$J$34,K215+L215-1))/AVERAGE(INDEX($J$5:$J$34,K215):INDEX($J$5:$J$34,K215+L215-1)),"")</f>
        <v/>
      </c>
      <c r="O215">
        <f>IF(M215=1,IF(N215&lt;=COMBINACIONES_NPH!$B$5,1,0),"")</f>
        <v/>
      </c>
      <c r="P215">
        <f>IF(M215=1,IF(O215=1,-L215,100)+N215+ROW()*0.000000000001,"")</f>
        <v/>
      </c>
    </row>
    <row r="216">
      <c r="K216" t="n">
        <v>9</v>
      </c>
      <c r="L216" t="n">
        <v>18</v>
      </c>
      <c r="M216">
        <f>IF(AND(L216&gt;=COMBINACIONES_NPH!$B$9,K216+L216-1&lt;=$J$2),1,0)</f>
        <v/>
      </c>
      <c r="N216">
        <f>IF(M216=1,_xlfn.STDEV.S(INDEX($J$5:$J$34,K216):INDEX($J$5:$J$34,K216+L216-1))/AVERAGE(INDEX($J$5:$J$34,K216):INDEX($J$5:$J$34,K216+L216-1)),"")</f>
        <v/>
      </c>
      <c r="O216">
        <f>IF(M216=1,IF(N216&lt;=COMBINACIONES_NPH!$B$5,1,0),"")</f>
        <v/>
      </c>
      <c r="P216">
        <f>IF(M216=1,IF(O216=1,-L216,100)+N216+ROW()*0.000000000001,"")</f>
        <v/>
      </c>
    </row>
    <row r="217">
      <c r="K217" t="n">
        <v>9</v>
      </c>
      <c r="L217" t="n">
        <v>19</v>
      </c>
      <c r="M217">
        <f>IF(AND(L217&gt;=COMBINACIONES_NPH!$B$9,K217+L217-1&lt;=$J$2),1,0)</f>
        <v/>
      </c>
      <c r="N217">
        <f>IF(M217=1,_xlfn.STDEV.S(INDEX($J$5:$J$34,K217):INDEX($J$5:$J$34,K217+L217-1))/AVERAGE(INDEX($J$5:$J$34,K217):INDEX($J$5:$J$34,K217+L217-1)),"")</f>
        <v/>
      </c>
      <c r="O217">
        <f>IF(M217=1,IF(N217&lt;=COMBINACIONES_NPH!$B$5,1,0),"")</f>
        <v/>
      </c>
      <c r="P217">
        <f>IF(M217=1,IF(O217=1,-L217,100)+N217+ROW()*0.000000000001,"")</f>
        <v/>
      </c>
    </row>
    <row r="218">
      <c r="K218" t="n">
        <v>9</v>
      </c>
      <c r="L218" t="n">
        <v>20</v>
      </c>
      <c r="M218">
        <f>IF(AND(L218&gt;=COMBINACIONES_NPH!$B$9,K218+L218-1&lt;=$J$2),1,0)</f>
        <v/>
      </c>
      <c r="N218">
        <f>IF(M218=1,_xlfn.STDEV.S(INDEX($J$5:$J$34,K218):INDEX($J$5:$J$34,K218+L218-1))/AVERAGE(INDEX($J$5:$J$34,K218):INDEX($J$5:$J$34,K218+L218-1)),"")</f>
        <v/>
      </c>
      <c r="O218">
        <f>IF(M218=1,IF(N218&lt;=COMBINACIONES_NPH!$B$5,1,0),"")</f>
        <v/>
      </c>
      <c r="P218">
        <f>IF(M218=1,IF(O218=1,-L218,100)+N218+ROW()*0.000000000001,"")</f>
        <v/>
      </c>
    </row>
    <row r="219">
      <c r="K219" t="n">
        <v>9</v>
      </c>
      <c r="L219" t="n">
        <v>21</v>
      </c>
      <c r="M219">
        <f>IF(AND(L219&gt;=COMBINACIONES_NPH!$B$9,K219+L219-1&lt;=$J$2),1,0)</f>
        <v/>
      </c>
      <c r="N219">
        <f>IF(M219=1,_xlfn.STDEV.S(INDEX($J$5:$J$34,K219):INDEX($J$5:$J$34,K219+L219-1))/AVERAGE(INDEX($J$5:$J$34,K219):INDEX($J$5:$J$34,K219+L219-1)),"")</f>
        <v/>
      </c>
      <c r="O219">
        <f>IF(M219=1,IF(N219&lt;=COMBINACIONES_NPH!$B$5,1,0),"")</f>
        <v/>
      </c>
      <c r="P219">
        <f>IF(M219=1,IF(O219=1,-L219,100)+N219+ROW()*0.000000000001,"")</f>
        <v/>
      </c>
    </row>
    <row r="220">
      <c r="K220" t="n">
        <v>9</v>
      </c>
      <c r="L220" t="n">
        <v>22</v>
      </c>
      <c r="M220">
        <f>IF(AND(L220&gt;=COMBINACIONES_NPH!$B$9,K220+L220-1&lt;=$J$2),1,0)</f>
        <v/>
      </c>
      <c r="N220">
        <f>IF(M220=1,_xlfn.STDEV.S(INDEX($J$5:$J$34,K220):INDEX($J$5:$J$34,K220+L220-1))/AVERAGE(INDEX($J$5:$J$34,K220):INDEX($J$5:$J$34,K220+L220-1)),"")</f>
        <v/>
      </c>
      <c r="O220">
        <f>IF(M220=1,IF(N220&lt;=COMBINACIONES_NPH!$B$5,1,0),"")</f>
        <v/>
      </c>
      <c r="P220">
        <f>IF(M220=1,IF(O220=1,-L220,100)+N220+ROW()*0.000000000001,"")</f>
        <v/>
      </c>
    </row>
    <row r="221">
      <c r="K221" t="n">
        <v>10</v>
      </c>
      <c r="L221" t="n">
        <v>3</v>
      </c>
      <c r="M221">
        <f>IF(AND(L221&gt;=COMBINACIONES_NPH!$B$9,K221+L221-1&lt;=$J$2),1,0)</f>
        <v/>
      </c>
      <c r="N221">
        <f>IF(M221=1,_xlfn.STDEV.S(INDEX($J$5:$J$34,K221):INDEX($J$5:$J$34,K221+L221-1))/AVERAGE(INDEX($J$5:$J$34,K221):INDEX($J$5:$J$34,K221+L221-1)),"")</f>
        <v/>
      </c>
      <c r="O221">
        <f>IF(M221=1,IF(N221&lt;=COMBINACIONES_NPH!$B$5,1,0),"")</f>
        <v/>
      </c>
      <c r="P221">
        <f>IF(M221=1,IF(O221=1,-L221,100)+N221+ROW()*0.000000000001,"")</f>
        <v/>
      </c>
    </row>
    <row r="222">
      <c r="K222" t="n">
        <v>10</v>
      </c>
      <c r="L222" t="n">
        <v>4</v>
      </c>
      <c r="M222">
        <f>IF(AND(L222&gt;=COMBINACIONES_NPH!$B$9,K222+L222-1&lt;=$J$2),1,0)</f>
        <v/>
      </c>
      <c r="N222">
        <f>IF(M222=1,_xlfn.STDEV.S(INDEX($J$5:$J$34,K222):INDEX($J$5:$J$34,K222+L222-1))/AVERAGE(INDEX($J$5:$J$34,K222):INDEX($J$5:$J$34,K222+L222-1)),"")</f>
        <v/>
      </c>
      <c r="O222">
        <f>IF(M222=1,IF(N222&lt;=COMBINACIONES_NPH!$B$5,1,0),"")</f>
        <v/>
      </c>
      <c r="P222">
        <f>IF(M222=1,IF(O222=1,-L222,100)+N222+ROW()*0.000000000001,"")</f>
        <v/>
      </c>
    </row>
    <row r="223">
      <c r="K223" t="n">
        <v>10</v>
      </c>
      <c r="L223" t="n">
        <v>5</v>
      </c>
      <c r="M223">
        <f>IF(AND(L223&gt;=COMBINACIONES_NPH!$B$9,K223+L223-1&lt;=$J$2),1,0)</f>
        <v/>
      </c>
      <c r="N223">
        <f>IF(M223=1,_xlfn.STDEV.S(INDEX($J$5:$J$34,K223):INDEX($J$5:$J$34,K223+L223-1))/AVERAGE(INDEX($J$5:$J$34,K223):INDEX($J$5:$J$34,K223+L223-1)),"")</f>
        <v/>
      </c>
      <c r="O223">
        <f>IF(M223=1,IF(N223&lt;=COMBINACIONES_NPH!$B$5,1,0),"")</f>
        <v/>
      </c>
      <c r="P223">
        <f>IF(M223=1,IF(O223=1,-L223,100)+N223+ROW()*0.000000000001,"")</f>
        <v/>
      </c>
    </row>
    <row r="224">
      <c r="K224" t="n">
        <v>10</v>
      </c>
      <c r="L224" t="n">
        <v>6</v>
      </c>
      <c r="M224">
        <f>IF(AND(L224&gt;=COMBINACIONES_NPH!$B$9,K224+L224-1&lt;=$J$2),1,0)</f>
        <v/>
      </c>
      <c r="N224">
        <f>IF(M224=1,_xlfn.STDEV.S(INDEX($J$5:$J$34,K224):INDEX($J$5:$J$34,K224+L224-1))/AVERAGE(INDEX($J$5:$J$34,K224):INDEX($J$5:$J$34,K224+L224-1)),"")</f>
        <v/>
      </c>
      <c r="O224">
        <f>IF(M224=1,IF(N224&lt;=COMBINACIONES_NPH!$B$5,1,0),"")</f>
        <v/>
      </c>
      <c r="P224">
        <f>IF(M224=1,IF(O224=1,-L224,100)+N224+ROW()*0.000000000001,"")</f>
        <v/>
      </c>
    </row>
    <row r="225">
      <c r="K225" t="n">
        <v>10</v>
      </c>
      <c r="L225" t="n">
        <v>7</v>
      </c>
      <c r="M225">
        <f>IF(AND(L225&gt;=COMBINACIONES_NPH!$B$9,K225+L225-1&lt;=$J$2),1,0)</f>
        <v/>
      </c>
      <c r="N225">
        <f>IF(M225=1,_xlfn.STDEV.S(INDEX($J$5:$J$34,K225):INDEX($J$5:$J$34,K225+L225-1))/AVERAGE(INDEX($J$5:$J$34,K225):INDEX($J$5:$J$34,K225+L225-1)),"")</f>
        <v/>
      </c>
      <c r="O225">
        <f>IF(M225=1,IF(N225&lt;=COMBINACIONES_NPH!$B$5,1,0),"")</f>
        <v/>
      </c>
      <c r="P225">
        <f>IF(M225=1,IF(O225=1,-L225,100)+N225+ROW()*0.000000000001,"")</f>
        <v/>
      </c>
    </row>
    <row r="226">
      <c r="K226" t="n">
        <v>10</v>
      </c>
      <c r="L226" t="n">
        <v>8</v>
      </c>
      <c r="M226">
        <f>IF(AND(L226&gt;=COMBINACIONES_NPH!$B$9,K226+L226-1&lt;=$J$2),1,0)</f>
        <v/>
      </c>
      <c r="N226">
        <f>IF(M226=1,_xlfn.STDEV.S(INDEX($J$5:$J$34,K226):INDEX($J$5:$J$34,K226+L226-1))/AVERAGE(INDEX($J$5:$J$34,K226):INDEX($J$5:$J$34,K226+L226-1)),"")</f>
        <v/>
      </c>
      <c r="O226">
        <f>IF(M226=1,IF(N226&lt;=COMBINACIONES_NPH!$B$5,1,0),"")</f>
        <v/>
      </c>
      <c r="P226">
        <f>IF(M226=1,IF(O226=1,-L226,100)+N226+ROW()*0.000000000001,"")</f>
        <v/>
      </c>
    </row>
    <row r="227">
      <c r="K227" t="n">
        <v>10</v>
      </c>
      <c r="L227" t="n">
        <v>9</v>
      </c>
      <c r="M227">
        <f>IF(AND(L227&gt;=COMBINACIONES_NPH!$B$9,K227+L227-1&lt;=$J$2),1,0)</f>
        <v/>
      </c>
      <c r="N227">
        <f>IF(M227=1,_xlfn.STDEV.S(INDEX($J$5:$J$34,K227):INDEX($J$5:$J$34,K227+L227-1))/AVERAGE(INDEX($J$5:$J$34,K227):INDEX($J$5:$J$34,K227+L227-1)),"")</f>
        <v/>
      </c>
      <c r="O227">
        <f>IF(M227=1,IF(N227&lt;=COMBINACIONES_NPH!$B$5,1,0),"")</f>
        <v/>
      </c>
      <c r="P227">
        <f>IF(M227=1,IF(O227=1,-L227,100)+N227+ROW()*0.000000000001,"")</f>
        <v/>
      </c>
    </row>
    <row r="228">
      <c r="K228" t="n">
        <v>10</v>
      </c>
      <c r="L228" t="n">
        <v>10</v>
      </c>
      <c r="M228">
        <f>IF(AND(L228&gt;=COMBINACIONES_NPH!$B$9,K228+L228-1&lt;=$J$2),1,0)</f>
        <v/>
      </c>
      <c r="N228">
        <f>IF(M228=1,_xlfn.STDEV.S(INDEX($J$5:$J$34,K228):INDEX($J$5:$J$34,K228+L228-1))/AVERAGE(INDEX($J$5:$J$34,K228):INDEX($J$5:$J$34,K228+L228-1)),"")</f>
        <v/>
      </c>
      <c r="O228">
        <f>IF(M228=1,IF(N228&lt;=COMBINACIONES_NPH!$B$5,1,0),"")</f>
        <v/>
      </c>
      <c r="P228">
        <f>IF(M228=1,IF(O228=1,-L228,100)+N228+ROW()*0.000000000001,"")</f>
        <v/>
      </c>
    </row>
    <row r="229">
      <c r="K229" t="n">
        <v>10</v>
      </c>
      <c r="L229" t="n">
        <v>11</v>
      </c>
      <c r="M229">
        <f>IF(AND(L229&gt;=COMBINACIONES_NPH!$B$9,K229+L229-1&lt;=$J$2),1,0)</f>
        <v/>
      </c>
      <c r="N229">
        <f>IF(M229=1,_xlfn.STDEV.S(INDEX($J$5:$J$34,K229):INDEX($J$5:$J$34,K229+L229-1))/AVERAGE(INDEX($J$5:$J$34,K229):INDEX($J$5:$J$34,K229+L229-1)),"")</f>
        <v/>
      </c>
      <c r="O229">
        <f>IF(M229=1,IF(N229&lt;=COMBINACIONES_NPH!$B$5,1,0),"")</f>
        <v/>
      </c>
      <c r="P229">
        <f>IF(M229=1,IF(O229=1,-L229,100)+N229+ROW()*0.000000000001,"")</f>
        <v/>
      </c>
    </row>
    <row r="230">
      <c r="K230" t="n">
        <v>10</v>
      </c>
      <c r="L230" t="n">
        <v>12</v>
      </c>
      <c r="M230">
        <f>IF(AND(L230&gt;=COMBINACIONES_NPH!$B$9,K230+L230-1&lt;=$J$2),1,0)</f>
        <v/>
      </c>
      <c r="N230">
        <f>IF(M230=1,_xlfn.STDEV.S(INDEX($J$5:$J$34,K230):INDEX($J$5:$J$34,K230+L230-1))/AVERAGE(INDEX($J$5:$J$34,K230):INDEX($J$5:$J$34,K230+L230-1)),"")</f>
        <v/>
      </c>
      <c r="O230">
        <f>IF(M230=1,IF(N230&lt;=COMBINACIONES_NPH!$B$5,1,0),"")</f>
        <v/>
      </c>
      <c r="P230">
        <f>IF(M230=1,IF(O230=1,-L230,100)+N230+ROW()*0.000000000001,"")</f>
        <v/>
      </c>
    </row>
    <row r="231">
      <c r="K231" t="n">
        <v>10</v>
      </c>
      <c r="L231" t="n">
        <v>13</v>
      </c>
      <c r="M231">
        <f>IF(AND(L231&gt;=COMBINACIONES_NPH!$B$9,K231+L231-1&lt;=$J$2),1,0)</f>
        <v/>
      </c>
      <c r="N231">
        <f>IF(M231=1,_xlfn.STDEV.S(INDEX($J$5:$J$34,K231):INDEX($J$5:$J$34,K231+L231-1))/AVERAGE(INDEX($J$5:$J$34,K231):INDEX($J$5:$J$34,K231+L231-1)),"")</f>
        <v/>
      </c>
      <c r="O231">
        <f>IF(M231=1,IF(N231&lt;=COMBINACIONES_NPH!$B$5,1,0),"")</f>
        <v/>
      </c>
      <c r="P231">
        <f>IF(M231=1,IF(O231=1,-L231,100)+N231+ROW()*0.000000000001,"")</f>
        <v/>
      </c>
    </row>
    <row r="232">
      <c r="K232" t="n">
        <v>10</v>
      </c>
      <c r="L232" t="n">
        <v>14</v>
      </c>
      <c r="M232">
        <f>IF(AND(L232&gt;=COMBINACIONES_NPH!$B$9,K232+L232-1&lt;=$J$2),1,0)</f>
        <v/>
      </c>
      <c r="N232">
        <f>IF(M232=1,_xlfn.STDEV.S(INDEX($J$5:$J$34,K232):INDEX($J$5:$J$34,K232+L232-1))/AVERAGE(INDEX($J$5:$J$34,K232):INDEX($J$5:$J$34,K232+L232-1)),"")</f>
        <v/>
      </c>
      <c r="O232">
        <f>IF(M232=1,IF(N232&lt;=COMBINACIONES_NPH!$B$5,1,0),"")</f>
        <v/>
      </c>
      <c r="P232">
        <f>IF(M232=1,IF(O232=1,-L232,100)+N232+ROW()*0.000000000001,"")</f>
        <v/>
      </c>
    </row>
    <row r="233">
      <c r="K233" t="n">
        <v>10</v>
      </c>
      <c r="L233" t="n">
        <v>15</v>
      </c>
      <c r="M233">
        <f>IF(AND(L233&gt;=COMBINACIONES_NPH!$B$9,K233+L233-1&lt;=$J$2),1,0)</f>
        <v/>
      </c>
      <c r="N233">
        <f>IF(M233=1,_xlfn.STDEV.S(INDEX($J$5:$J$34,K233):INDEX($J$5:$J$34,K233+L233-1))/AVERAGE(INDEX($J$5:$J$34,K233):INDEX($J$5:$J$34,K233+L233-1)),"")</f>
        <v/>
      </c>
      <c r="O233">
        <f>IF(M233=1,IF(N233&lt;=COMBINACIONES_NPH!$B$5,1,0),"")</f>
        <v/>
      </c>
      <c r="P233">
        <f>IF(M233=1,IF(O233=1,-L233,100)+N233+ROW()*0.000000000001,"")</f>
        <v/>
      </c>
    </row>
    <row r="234">
      <c r="K234" t="n">
        <v>10</v>
      </c>
      <c r="L234" t="n">
        <v>16</v>
      </c>
      <c r="M234">
        <f>IF(AND(L234&gt;=COMBINACIONES_NPH!$B$9,K234+L234-1&lt;=$J$2),1,0)</f>
        <v/>
      </c>
      <c r="N234">
        <f>IF(M234=1,_xlfn.STDEV.S(INDEX($J$5:$J$34,K234):INDEX($J$5:$J$34,K234+L234-1))/AVERAGE(INDEX($J$5:$J$34,K234):INDEX($J$5:$J$34,K234+L234-1)),"")</f>
        <v/>
      </c>
      <c r="O234">
        <f>IF(M234=1,IF(N234&lt;=COMBINACIONES_NPH!$B$5,1,0),"")</f>
        <v/>
      </c>
      <c r="P234">
        <f>IF(M234=1,IF(O234=1,-L234,100)+N234+ROW()*0.000000000001,"")</f>
        <v/>
      </c>
    </row>
    <row r="235">
      <c r="K235" t="n">
        <v>10</v>
      </c>
      <c r="L235" t="n">
        <v>17</v>
      </c>
      <c r="M235">
        <f>IF(AND(L235&gt;=COMBINACIONES_NPH!$B$9,K235+L235-1&lt;=$J$2),1,0)</f>
        <v/>
      </c>
      <c r="N235">
        <f>IF(M235=1,_xlfn.STDEV.S(INDEX($J$5:$J$34,K235):INDEX($J$5:$J$34,K235+L235-1))/AVERAGE(INDEX($J$5:$J$34,K235):INDEX($J$5:$J$34,K235+L235-1)),"")</f>
        <v/>
      </c>
      <c r="O235">
        <f>IF(M235=1,IF(N235&lt;=COMBINACIONES_NPH!$B$5,1,0),"")</f>
        <v/>
      </c>
      <c r="P235">
        <f>IF(M235=1,IF(O235=1,-L235,100)+N235+ROW()*0.000000000001,"")</f>
        <v/>
      </c>
    </row>
    <row r="236">
      <c r="K236" t="n">
        <v>10</v>
      </c>
      <c r="L236" t="n">
        <v>18</v>
      </c>
      <c r="M236">
        <f>IF(AND(L236&gt;=COMBINACIONES_NPH!$B$9,K236+L236-1&lt;=$J$2),1,0)</f>
        <v/>
      </c>
      <c r="N236">
        <f>IF(M236=1,_xlfn.STDEV.S(INDEX($J$5:$J$34,K236):INDEX($J$5:$J$34,K236+L236-1))/AVERAGE(INDEX($J$5:$J$34,K236):INDEX($J$5:$J$34,K236+L236-1)),"")</f>
        <v/>
      </c>
      <c r="O236">
        <f>IF(M236=1,IF(N236&lt;=COMBINACIONES_NPH!$B$5,1,0),"")</f>
        <v/>
      </c>
      <c r="P236">
        <f>IF(M236=1,IF(O236=1,-L236,100)+N236+ROW()*0.000000000001,"")</f>
        <v/>
      </c>
    </row>
    <row r="237">
      <c r="K237" t="n">
        <v>10</v>
      </c>
      <c r="L237" t="n">
        <v>19</v>
      </c>
      <c r="M237">
        <f>IF(AND(L237&gt;=COMBINACIONES_NPH!$B$9,K237+L237-1&lt;=$J$2),1,0)</f>
        <v/>
      </c>
      <c r="N237">
        <f>IF(M237=1,_xlfn.STDEV.S(INDEX($J$5:$J$34,K237):INDEX($J$5:$J$34,K237+L237-1))/AVERAGE(INDEX($J$5:$J$34,K237):INDEX($J$5:$J$34,K237+L237-1)),"")</f>
        <v/>
      </c>
      <c r="O237">
        <f>IF(M237=1,IF(N237&lt;=COMBINACIONES_NPH!$B$5,1,0),"")</f>
        <v/>
      </c>
      <c r="P237">
        <f>IF(M237=1,IF(O237=1,-L237,100)+N237+ROW()*0.000000000001,"")</f>
        <v/>
      </c>
    </row>
    <row r="238">
      <c r="K238" t="n">
        <v>10</v>
      </c>
      <c r="L238" t="n">
        <v>20</v>
      </c>
      <c r="M238">
        <f>IF(AND(L238&gt;=COMBINACIONES_NPH!$B$9,K238+L238-1&lt;=$J$2),1,0)</f>
        <v/>
      </c>
      <c r="N238">
        <f>IF(M238=1,_xlfn.STDEV.S(INDEX($J$5:$J$34,K238):INDEX($J$5:$J$34,K238+L238-1))/AVERAGE(INDEX($J$5:$J$34,K238):INDEX($J$5:$J$34,K238+L238-1)),"")</f>
        <v/>
      </c>
      <c r="O238">
        <f>IF(M238=1,IF(N238&lt;=COMBINACIONES_NPH!$B$5,1,0),"")</f>
        <v/>
      </c>
      <c r="P238">
        <f>IF(M238=1,IF(O238=1,-L238,100)+N238+ROW()*0.000000000001,"")</f>
        <v/>
      </c>
    </row>
    <row r="239">
      <c r="K239" t="n">
        <v>10</v>
      </c>
      <c r="L239" t="n">
        <v>21</v>
      </c>
      <c r="M239">
        <f>IF(AND(L239&gt;=COMBINACIONES_NPH!$B$9,K239+L239-1&lt;=$J$2),1,0)</f>
        <v/>
      </c>
      <c r="N239">
        <f>IF(M239=1,_xlfn.STDEV.S(INDEX($J$5:$J$34,K239):INDEX($J$5:$J$34,K239+L239-1))/AVERAGE(INDEX($J$5:$J$34,K239):INDEX($J$5:$J$34,K239+L239-1)),"")</f>
        <v/>
      </c>
      <c r="O239">
        <f>IF(M239=1,IF(N239&lt;=COMBINACIONES_NPH!$B$5,1,0),"")</f>
        <v/>
      </c>
      <c r="P239">
        <f>IF(M239=1,IF(O239=1,-L239,100)+N239+ROW()*0.000000000001,"")</f>
        <v/>
      </c>
    </row>
    <row r="240">
      <c r="K240" t="n">
        <v>11</v>
      </c>
      <c r="L240" t="n">
        <v>3</v>
      </c>
      <c r="M240">
        <f>IF(AND(L240&gt;=COMBINACIONES_NPH!$B$9,K240+L240-1&lt;=$J$2),1,0)</f>
        <v/>
      </c>
      <c r="N240">
        <f>IF(M240=1,_xlfn.STDEV.S(INDEX($J$5:$J$34,K240):INDEX($J$5:$J$34,K240+L240-1))/AVERAGE(INDEX($J$5:$J$34,K240):INDEX($J$5:$J$34,K240+L240-1)),"")</f>
        <v/>
      </c>
      <c r="O240">
        <f>IF(M240=1,IF(N240&lt;=COMBINACIONES_NPH!$B$5,1,0),"")</f>
        <v/>
      </c>
      <c r="P240">
        <f>IF(M240=1,IF(O240=1,-L240,100)+N240+ROW()*0.000000000001,"")</f>
        <v/>
      </c>
    </row>
    <row r="241">
      <c r="K241" t="n">
        <v>11</v>
      </c>
      <c r="L241" t="n">
        <v>4</v>
      </c>
      <c r="M241">
        <f>IF(AND(L241&gt;=COMBINACIONES_NPH!$B$9,K241+L241-1&lt;=$J$2),1,0)</f>
        <v/>
      </c>
      <c r="N241">
        <f>IF(M241=1,_xlfn.STDEV.S(INDEX($J$5:$J$34,K241):INDEX($J$5:$J$34,K241+L241-1))/AVERAGE(INDEX($J$5:$J$34,K241):INDEX($J$5:$J$34,K241+L241-1)),"")</f>
        <v/>
      </c>
      <c r="O241">
        <f>IF(M241=1,IF(N241&lt;=COMBINACIONES_NPH!$B$5,1,0),"")</f>
        <v/>
      </c>
      <c r="P241">
        <f>IF(M241=1,IF(O241=1,-L241,100)+N241+ROW()*0.000000000001,"")</f>
        <v/>
      </c>
    </row>
    <row r="242">
      <c r="K242" t="n">
        <v>11</v>
      </c>
      <c r="L242" t="n">
        <v>5</v>
      </c>
      <c r="M242">
        <f>IF(AND(L242&gt;=COMBINACIONES_NPH!$B$9,K242+L242-1&lt;=$J$2),1,0)</f>
        <v/>
      </c>
      <c r="N242">
        <f>IF(M242=1,_xlfn.STDEV.S(INDEX($J$5:$J$34,K242):INDEX($J$5:$J$34,K242+L242-1))/AVERAGE(INDEX($J$5:$J$34,K242):INDEX($J$5:$J$34,K242+L242-1)),"")</f>
        <v/>
      </c>
      <c r="O242">
        <f>IF(M242=1,IF(N242&lt;=COMBINACIONES_NPH!$B$5,1,0),"")</f>
        <v/>
      </c>
      <c r="P242">
        <f>IF(M242=1,IF(O242=1,-L242,100)+N242+ROW()*0.000000000001,"")</f>
        <v/>
      </c>
    </row>
    <row r="243">
      <c r="K243" t="n">
        <v>11</v>
      </c>
      <c r="L243" t="n">
        <v>6</v>
      </c>
      <c r="M243">
        <f>IF(AND(L243&gt;=COMBINACIONES_NPH!$B$9,K243+L243-1&lt;=$J$2),1,0)</f>
        <v/>
      </c>
      <c r="N243">
        <f>IF(M243=1,_xlfn.STDEV.S(INDEX($J$5:$J$34,K243):INDEX($J$5:$J$34,K243+L243-1))/AVERAGE(INDEX($J$5:$J$34,K243):INDEX($J$5:$J$34,K243+L243-1)),"")</f>
        <v/>
      </c>
      <c r="O243">
        <f>IF(M243=1,IF(N243&lt;=COMBINACIONES_NPH!$B$5,1,0),"")</f>
        <v/>
      </c>
      <c r="P243">
        <f>IF(M243=1,IF(O243=1,-L243,100)+N243+ROW()*0.000000000001,"")</f>
        <v/>
      </c>
    </row>
    <row r="244">
      <c r="K244" t="n">
        <v>11</v>
      </c>
      <c r="L244" t="n">
        <v>7</v>
      </c>
      <c r="M244">
        <f>IF(AND(L244&gt;=COMBINACIONES_NPH!$B$9,K244+L244-1&lt;=$J$2),1,0)</f>
        <v/>
      </c>
      <c r="N244">
        <f>IF(M244=1,_xlfn.STDEV.S(INDEX($J$5:$J$34,K244):INDEX($J$5:$J$34,K244+L244-1))/AVERAGE(INDEX($J$5:$J$34,K244):INDEX($J$5:$J$34,K244+L244-1)),"")</f>
        <v/>
      </c>
      <c r="O244">
        <f>IF(M244=1,IF(N244&lt;=COMBINACIONES_NPH!$B$5,1,0),"")</f>
        <v/>
      </c>
      <c r="P244">
        <f>IF(M244=1,IF(O244=1,-L244,100)+N244+ROW()*0.000000000001,"")</f>
        <v/>
      </c>
    </row>
    <row r="245">
      <c r="K245" t="n">
        <v>11</v>
      </c>
      <c r="L245" t="n">
        <v>8</v>
      </c>
      <c r="M245">
        <f>IF(AND(L245&gt;=COMBINACIONES_NPH!$B$9,K245+L245-1&lt;=$J$2),1,0)</f>
        <v/>
      </c>
      <c r="N245">
        <f>IF(M245=1,_xlfn.STDEV.S(INDEX($J$5:$J$34,K245):INDEX($J$5:$J$34,K245+L245-1))/AVERAGE(INDEX($J$5:$J$34,K245):INDEX($J$5:$J$34,K245+L245-1)),"")</f>
        <v/>
      </c>
      <c r="O245">
        <f>IF(M245=1,IF(N245&lt;=COMBINACIONES_NPH!$B$5,1,0),"")</f>
        <v/>
      </c>
      <c r="P245">
        <f>IF(M245=1,IF(O245=1,-L245,100)+N245+ROW()*0.000000000001,"")</f>
        <v/>
      </c>
    </row>
    <row r="246">
      <c r="K246" t="n">
        <v>11</v>
      </c>
      <c r="L246" t="n">
        <v>9</v>
      </c>
      <c r="M246">
        <f>IF(AND(L246&gt;=COMBINACIONES_NPH!$B$9,K246+L246-1&lt;=$J$2),1,0)</f>
        <v/>
      </c>
      <c r="N246">
        <f>IF(M246=1,_xlfn.STDEV.S(INDEX($J$5:$J$34,K246):INDEX($J$5:$J$34,K246+L246-1))/AVERAGE(INDEX($J$5:$J$34,K246):INDEX($J$5:$J$34,K246+L246-1)),"")</f>
        <v/>
      </c>
      <c r="O246">
        <f>IF(M246=1,IF(N246&lt;=COMBINACIONES_NPH!$B$5,1,0),"")</f>
        <v/>
      </c>
      <c r="P246">
        <f>IF(M246=1,IF(O246=1,-L246,100)+N246+ROW()*0.000000000001,"")</f>
        <v/>
      </c>
    </row>
    <row r="247">
      <c r="K247" t="n">
        <v>11</v>
      </c>
      <c r="L247" t="n">
        <v>10</v>
      </c>
      <c r="M247">
        <f>IF(AND(L247&gt;=COMBINACIONES_NPH!$B$9,K247+L247-1&lt;=$J$2),1,0)</f>
        <v/>
      </c>
      <c r="N247">
        <f>IF(M247=1,_xlfn.STDEV.S(INDEX($J$5:$J$34,K247):INDEX($J$5:$J$34,K247+L247-1))/AVERAGE(INDEX($J$5:$J$34,K247):INDEX($J$5:$J$34,K247+L247-1)),"")</f>
        <v/>
      </c>
      <c r="O247">
        <f>IF(M247=1,IF(N247&lt;=COMBINACIONES_NPH!$B$5,1,0),"")</f>
        <v/>
      </c>
      <c r="P247">
        <f>IF(M247=1,IF(O247=1,-L247,100)+N247+ROW()*0.000000000001,"")</f>
        <v/>
      </c>
    </row>
    <row r="248">
      <c r="K248" t="n">
        <v>11</v>
      </c>
      <c r="L248" t="n">
        <v>11</v>
      </c>
      <c r="M248">
        <f>IF(AND(L248&gt;=COMBINACIONES_NPH!$B$9,K248+L248-1&lt;=$J$2),1,0)</f>
        <v/>
      </c>
      <c r="N248">
        <f>IF(M248=1,_xlfn.STDEV.S(INDEX($J$5:$J$34,K248):INDEX($J$5:$J$34,K248+L248-1))/AVERAGE(INDEX($J$5:$J$34,K248):INDEX($J$5:$J$34,K248+L248-1)),"")</f>
        <v/>
      </c>
      <c r="O248">
        <f>IF(M248=1,IF(N248&lt;=COMBINACIONES_NPH!$B$5,1,0),"")</f>
        <v/>
      </c>
      <c r="P248">
        <f>IF(M248=1,IF(O248=1,-L248,100)+N248+ROW()*0.000000000001,"")</f>
        <v/>
      </c>
    </row>
    <row r="249">
      <c r="K249" t="n">
        <v>11</v>
      </c>
      <c r="L249" t="n">
        <v>12</v>
      </c>
      <c r="M249">
        <f>IF(AND(L249&gt;=COMBINACIONES_NPH!$B$9,K249+L249-1&lt;=$J$2),1,0)</f>
        <v/>
      </c>
      <c r="N249">
        <f>IF(M249=1,_xlfn.STDEV.S(INDEX($J$5:$J$34,K249):INDEX($J$5:$J$34,K249+L249-1))/AVERAGE(INDEX($J$5:$J$34,K249):INDEX($J$5:$J$34,K249+L249-1)),"")</f>
        <v/>
      </c>
      <c r="O249">
        <f>IF(M249=1,IF(N249&lt;=COMBINACIONES_NPH!$B$5,1,0),"")</f>
        <v/>
      </c>
      <c r="P249">
        <f>IF(M249=1,IF(O249=1,-L249,100)+N249+ROW()*0.000000000001,"")</f>
        <v/>
      </c>
    </row>
    <row r="250">
      <c r="K250" t="n">
        <v>11</v>
      </c>
      <c r="L250" t="n">
        <v>13</v>
      </c>
      <c r="M250">
        <f>IF(AND(L250&gt;=COMBINACIONES_NPH!$B$9,K250+L250-1&lt;=$J$2),1,0)</f>
        <v/>
      </c>
      <c r="N250">
        <f>IF(M250=1,_xlfn.STDEV.S(INDEX($J$5:$J$34,K250):INDEX($J$5:$J$34,K250+L250-1))/AVERAGE(INDEX($J$5:$J$34,K250):INDEX($J$5:$J$34,K250+L250-1)),"")</f>
        <v/>
      </c>
      <c r="O250">
        <f>IF(M250=1,IF(N250&lt;=COMBINACIONES_NPH!$B$5,1,0),"")</f>
        <v/>
      </c>
      <c r="P250">
        <f>IF(M250=1,IF(O250=1,-L250,100)+N250+ROW()*0.000000000001,"")</f>
        <v/>
      </c>
    </row>
    <row r="251">
      <c r="K251" t="n">
        <v>11</v>
      </c>
      <c r="L251" t="n">
        <v>14</v>
      </c>
      <c r="M251">
        <f>IF(AND(L251&gt;=COMBINACIONES_NPH!$B$9,K251+L251-1&lt;=$J$2),1,0)</f>
        <v/>
      </c>
      <c r="N251">
        <f>IF(M251=1,_xlfn.STDEV.S(INDEX($J$5:$J$34,K251):INDEX($J$5:$J$34,K251+L251-1))/AVERAGE(INDEX($J$5:$J$34,K251):INDEX($J$5:$J$34,K251+L251-1)),"")</f>
        <v/>
      </c>
      <c r="O251">
        <f>IF(M251=1,IF(N251&lt;=COMBINACIONES_NPH!$B$5,1,0),"")</f>
        <v/>
      </c>
      <c r="P251">
        <f>IF(M251=1,IF(O251=1,-L251,100)+N251+ROW()*0.000000000001,"")</f>
        <v/>
      </c>
    </row>
    <row r="252">
      <c r="K252" t="n">
        <v>11</v>
      </c>
      <c r="L252" t="n">
        <v>15</v>
      </c>
      <c r="M252">
        <f>IF(AND(L252&gt;=COMBINACIONES_NPH!$B$9,K252+L252-1&lt;=$J$2),1,0)</f>
        <v/>
      </c>
      <c r="N252">
        <f>IF(M252=1,_xlfn.STDEV.S(INDEX($J$5:$J$34,K252):INDEX($J$5:$J$34,K252+L252-1))/AVERAGE(INDEX($J$5:$J$34,K252):INDEX($J$5:$J$34,K252+L252-1)),"")</f>
        <v/>
      </c>
      <c r="O252">
        <f>IF(M252=1,IF(N252&lt;=COMBINACIONES_NPH!$B$5,1,0),"")</f>
        <v/>
      </c>
      <c r="P252">
        <f>IF(M252=1,IF(O252=1,-L252,100)+N252+ROW()*0.000000000001,"")</f>
        <v/>
      </c>
    </row>
    <row r="253">
      <c r="K253" t="n">
        <v>11</v>
      </c>
      <c r="L253" t="n">
        <v>16</v>
      </c>
      <c r="M253">
        <f>IF(AND(L253&gt;=COMBINACIONES_NPH!$B$9,K253+L253-1&lt;=$J$2),1,0)</f>
        <v/>
      </c>
      <c r="N253">
        <f>IF(M253=1,_xlfn.STDEV.S(INDEX($J$5:$J$34,K253):INDEX($J$5:$J$34,K253+L253-1))/AVERAGE(INDEX($J$5:$J$34,K253):INDEX($J$5:$J$34,K253+L253-1)),"")</f>
        <v/>
      </c>
      <c r="O253">
        <f>IF(M253=1,IF(N253&lt;=COMBINACIONES_NPH!$B$5,1,0),"")</f>
        <v/>
      </c>
      <c r="P253">
        <f>IF(M253=1,IF(O253=1,-L253,100)+N253+ROW()*0.000000000001,"")</f>
        <v/>
      </c>
    </row>
    <row r="254">
      <c r="K254" t="n">
        <v>11</v>
      </c>
      <c r="L254" t="n">
        <v>17</v>
      </c>
      <c r="M254">
        <f>IF(AND(L254&gt;=COMBINACIONES_NPH!$B$9,K254+L254-1&lt;=$J$2),1,0)</f>
        <v/>
      </c>
      <c r="N254">
        <f>IF(M254=1,_xlfn.STDEV.S(INDEX($J$5:$J$34,K254):INDEX($J$5:$J$34,K254+L254-1))/AVERAGE(INDEX($J$5:$J$34,K254):INDEX($J$5:$J$34,K254+L254-1)),"")</f>
        <v/>
      </c>
      <c r="O254">
        <f>IF(M254=1,IF(N254&lt;=COMBINACIONES_NPH!$B$5,1,0),"")</f>
        <v/>
      </c>
      <c r="P254">
        <f>IF(M254=1,IF(O254=1,-L254,100)+N254+ROW()*0.000000000001,"")</f>
        <v/>
      </c>
    </row>
    <row r="255">
      <c r="K255" t="n">
        <v>11</v>
      </c>
      <c r="L255" t="n">
        <v>18</v>
      </c>
      <c r="M255">
        <f>IF(AND(L255&gt;=COMBINACIONES_NPH!$B$9,K255+L255-1&lt;=$J$2),1,0)</f>
        <v/>
      </c>
      <c r="N255">
        <f>IF(M255=1,_xlfn.STDEV.S(INDEX($J$5:$J$34,K255):INDEX($J$5:$J$34,K255+L255-1))/AVERAGE(INDEX($J$5:$J$34,K255):INDEX($J$5:$J$34,K255+L255-1)),"")</f>
        <v/>
      </c>
      <c r="O255">
        <f>IF(M255=1,IF(N255&lt;=COMBINACIONES_NPH!$B$5,1,0),"")</f>
        <v/>
      </c>
      <c r="P255">
        <f>IF(M255=1,IF(O255=1,-L255,100)+N255+ROW()*0.000000000001,"")</f>
        <v/>
      </c>
    </row>
    <row r="256">
      <c r="K256" t="n">
        <v>11</v>
      </c>
      <c r="L256" t="n">
        <v>19</v>
      </c>
      <c r="M256">
        <f>IF(AND(L256&gt;=COMBINACIONES_NPH!$B$9,K256+L256-1&lt;=$J$2),1,0)</f>
        <v/>
      </c>
      <c r="N256">
        <f>IF(M256=1,_xlfn.STDEV.S(INDEX($J$5:$J$34,K256):INDEX($J$5:$J$34,K256+L256-1))/AVERAGE(INDEX($J$5:$J$34,K256):INDEX($J$5:$J$34,K256+L256-1)),"")</f>
        <v/>
      </c>
      <c r="O256">
        <f>IF(M256=1,IF(N256&lt;=COMBINACIONES_NPH!$B$5,1,0),"")</f>
        <v/>
      </c>
      <c r="P256">
        <f>IF(M256=1,IF(O256=1,-L256,100)+N256+ROW()*0.000000000001,"")</f>
        <v/>
      </c>
    </row>
    <row r="257">
      <c r="K257" t="n">
        <v>11</v>
      </c>
      <c r="L257" t="n">
        <v>20</v>
      </c>
      <c r="M257">
        <f>IF(AND(L257&gt;=COMBINACIONES_NPH!$B$9,K257+L257-1&lt;=$J$2),1,0)</f>
        <v/>
      </c>
      <c r="N257">
        <f>IF(M257=1,_xlfn.STDEV.S(INDEX($J$5:$J$34,K257):INDEX($J$5:$J$34,K257+L257-1))/AVERAGE(INDEX($J$5:$J$34,K257):INDEX($J$5:$J$34,K257+L257-1)),"")</f>
        <v/>
      </c>
      <c r="O257">
        <f>IF(M257=1,IF(N257&lt;=COMBINACIONES_NPH!$B$5,1,0),"")</f>
        <v/>
      </c>
      <c r="P257">
        <f>IF(M257=1,IF(O257=1,-L257,100)+N257+ROW()*0.000000000001,"")</f>
        <v/>
      </c>
    </row>
    <row r="258">
      <c r="K258" t="n">
        <v>12</v>
      </c>
      <c r="L258" t="n">
        <v>3</v>
      </c>
      <c r="M258">
        <f>IF(AND(L258&gt;=COMBINACIONES_NPH!$B$9,K258+L258-1&lt;=$J$2),1,0)</f>
        <v/>
      </c>
      <c r="N258">
        <f>IF(M258=1,_xlfn.STDEV.S(INDEX($J$5:$J$34,K258):INDEX($J$5:$J$34,K258+L258-1))/AVERAGE(INDEX($J$5:$J$34,K258):INDEX($J$5:$J$34,K258+L258-1)),"")</f>
        <v/>
      </c>
      <c r="O258">
        <f>IF(M258=1,IF(N258&lt;=COMBINACIONES_NPH!$B$5,1,0),"")</f>
        <v/>
      </c>
      <c r="P258">
        <f>IF(M258=1,IF(O258=1,-L258,100)+N258+ROW()*0.000000000001,"")</f>
        <v/>
      </c>
    </row>
    <row r="259">
      <c r="K259" t="n">
        <v>12</v>
      </c>
      <c r="L259" t="n">
        <v>4</v>
      </c>
      <c r="M259">
        <f>IF(AND(L259&gt;=COMBINACIONES_NPH!$B$9,K259+L259-1&lt;=$J$2),1,0)</f>
        <v/>
      </c>
      <c r="N259">
        <f>IF(M259=1,_xlfn.STDEV.S(INDEX($J$5:$J$34,K259):INDEX($J$5:$J$34,K259+L259-1))/AVERAGE(INDEX($J$5:$J$34,K259):INDEX($J$5:$J$34,K259+L259-1)),"")</f>
        <v/>
      </c>
      <c r="O259">
        <f>IF(M259=1,IF(N259&lt;=COMBINACIONES_NPH!$B$5,1,0),"")</f>
        <v/>
      </c>
      <c r="P259">
        <f>IF(M259=1,IF(O259=1,-L259,100)+N259+ROW()*0.000000000001,"")</f>
        <v/>
      </c>
    </row>
    <row r="260">
      <c r="K260" t="n">
        <v>12</v>
      </c>
      <c r="L260" t="n">
        <v>5</v>
      </c>
      <c r="M260">
        <f>IF(AND(L260&gt;=COMBINACIONES_NPH!$B$9,K260+L260-1&lt;=$J$2),1,0)</f>
        <v/>
      </c>
      <c r="N260">
        <f>IF(M260=1,_xlfn.STDEV.S(INDEX($J$5:$J$34,K260):INDEX($J$5:$J$34,K260+L260-1))/AVERAGE(INDEX($J$5:$J$34,K260):INDEX($J$5:$J$34,K260+L260-1)),"")</f>
        <v/>
      </c>
      <c r="O260">
        <f>IF(M260=1,IF(N260&lt;=COMBINACIONES_NPH!$B$5,1,0),"")</f>
        <v/>
      </c>
      <c r="P260">
        <f>IF(M260=1,IF(O260=1,-L260,100)+N260+ROW()*0.000000000001,"")</f>
        <v/>
      </c>
    </row>
    <row r="261">
      <c r="K261" t="n">
        <v>12</v>
      </c>
      <c r="L261" t="n">
        <v>6</v>
      </c>
      <c r="M261">
        <f>IF(AND(L261&gt;=COMBINACIONES_NPH!$B$9,K261+L261-1&lt;=$J$2),1,0)</f>
        <v/>
      </c>
      <c r="N261">
        <f>IF(M261=1,_xlfn.STDEV.S(INDEX($J$5:$J$34,K261):INDEX($J$5:$J$34,K261+L261-1))/AVERAGE(INDEX($J$5:$J$34,K261):INDEX($J$5:$J$34,K261+L261-1)),"")</f>
        <v/>
      </c>
      <c r="O261">
        <f>IF(M261=1,IF(N261&lt;=COMBINACIONES_NPH!$B$5,1,0),"")</f>
        <v/>
      </c>
      <c r="P261">
        <f>IF(M261=1,IF(O261=1,-L261,100)+N261+ROW()*0.000000000001,"")</f>
        <v/>
      </c>
    </row>
    <row r="262">
      <c r="K262" t="n">
        <v>12</v>
      </c>
      <c r="L262" t="n">
        <v>7</v>
      </c>
      <c r="M262">
        <f>IF(AND(L262&gt;=COMBINACIONES_NPH!$B$9,K262+L262-1&lt;=$J$2),1,0)</f>
        <v/>
      </c>
      <c r="N262">
        <f>IF(M262=1,_xlfn.STDEV.S(INDEX($J$5:$J$34,K262):INDEX($J$5:$J$34,K262+L262-1))/AVERAGE(INDEX($J$5:$J$34,K262):INDEX($J$5:$J$34,K262+L262-1)),"")</f>
        <v/>
      </c>
      <c r="O262">
        <f>IF(M262=1,IF(N262&lt;=COMBINACIONES_NPH!$B$5,1,0),"")</f>
        <v/>
      </c>
      <c r="P262">
        <f>IF(M262=1,IF(O262=1,-L262,100)+N262+ROW()*0.000000000001,"")</f>
        <v/>
      </c>
    </row>
    <row r="263">
      <c r="K263" t="n">
        <v>12</v>
      </c>
      <c r="L263" t="n">
        <v>8</v>
      </c>
      <c r="M263">
        <f>IF(AND(L263&gt;=COMBINACIONES_NPH!$B$9,K263+L263-1&lt;=$J$2),1,0)</f>
        <v/>
      </c>
      <c r="N263">
        <f>IF(M263=1,_xlfn.STDEV.S(INDEX($J$5:$J$34,K263):INDEX($J$5:$J$34,K263+L263-1))/AVERAGE(INDEX($J$5:$J$34,K263):INDEX($J$5:$J$34,K263+L263-1)),"")</f>
        <v/>
      </c>
      <c r="O263">
        <f>IF(M263=1,IF(N263&lt;=COMBINACIONES_NPH!$B$5,1,0),"")</f>
        <v/>
      </c>
      <c r="P263">
        <f>IF(M263=1,IF(O263=1,-L263,100)+N263+ROW()*0.000000000001,"")</f>
        <v/>
      </c>
    </row>
    <row r="264">
      <c r="K264" t="n">
        <v>12</v>
      </c>
      <c r="L264" t="n">
        <v>9</v>
      </c>
      <c r="M264">
        <f>IF(AND(L264&gt;=COMBINACIONES_NPH!$B$9,K264+L264-1&lt;=$J$2),1,0)</f>
        <v/>
      </c>
      <c r="N264">
        <f>IF(M264=1,_xlfn.STDEV.S(INDEX($J$5:$J$34,K264):INDEX($J$5:$J$34,K264+L264-1))/AVERAGE(INDEX($J$5:$J$34,K264):INDEX($J$5:$J$34,K264+L264-1)),"")</f>
        <v/>
      </c>
      <c r="O264">
        <f>IF(M264=1,IF(N264&lt;=COMBINACIONES_NPH!$B$5,1,0),"")</f>
        <v/>
      </c>
      <c r="P264">
        <f>IF(M264=1,IF(O264=1,-L264,100)+N264+ROW()*0.000000000001,"")</f>
        <v/>
      </c>
    </row>
    <row r="265">
      <c r="K265" t="n">
        <v>12</v>
      </c>
      <c r="L265" t="n">
        <v>10</v>
      </c>
      <c r="M265">
        <f>IF(AND(L265&gt;=COMBINACIONES_NPH!$B$9,K265+L265-1&lt;=$J$2),1,0)</f>
        <v/>
      </c>
      <c r="N265">
        <f>IF(M265=1,_xlfn.STDEV.S(INDEX($J$5:$J$34,K265):INDEX($J$5:$J$34,K265+L265-1))/AVERAGE(INDEX($J$5:$J$34,K265):INDEX($J$5:$J$34,K265+L265-1)),"")</f>
        <v/>
      </c>
      <c r="O265">
        <f>IF(M265=1,IF(N265&lt;=COMBINACIONES_NPH!$B$5,1,0),"")</f>
        <v/>
      </c>
      <c r="P265">
        <f>IF(M265=1,IF(O265=1,-L265,100)+N265+ROW()*0.000000000001,"")</f>
        <v/>
      </c>
    </row>
    <row r="266">
      <c r="K266" t="n">
        <v>12</v>
      </c>
      <c r="L266" t="n">
        <v>11</v>
      </c>
      <c r="M266">
        <f>IF(AND(L266&gt;=COMBINACIONES_NPH!$B$9,K266+L266-1&lt;=$J$2),1,0)</f>
        <v/>
      </c>
      <c r="N266">
        <f>IF(M266=1,_xlfn.STDEV.S(INDEX($J$5:$J$34,K266):INDEX($J$5:$J$34,K266+L266-1))/AVERAGE(INDEX($J$5:$J$34,K266):INDEX($J$5:$J$34,K266+L266-1)),"")</f>
        <v/>
      </c>
      <c r="O266">
        <f>IF(M266=1,IF(N266&lt;=COMBINACIONES_NPH!$B$5,1,0),"")</f>
        <v/>
      </c>
      <c r="P266">
        <f>IF(M266=1,IF(O266=1,-L266,100)+N266+ROW()*0.000000000001,"")</f>
        <v/>
      </c>
    </row>
    <row r="267">
      <c r="K267" t="n">
        <v>12</v>
      </c>
      <c r="L267" t="n">
        <v>12</v>
      </c>
      <c r="M267">
        <f>IF(AND(L267&gt;=COMBINACIONES_NPH!$B$9,K267+L267-1&lt;=$J$2),1,0)</f>
        <v/>
      </c>
      <c r="N267">
        <f>IF(M267=1,_xlfn.STDEV.S(INDEX($J$5:$J$34,K267):INDEX($J$5:$J$34,K267+L267-1))/AVERAGE(INDEX($J$5:$J$34,K267):INDEX($J$5:$J$34,K267+L267-1)),"")</f>
        <v/>
      </c>
      <c r="O267">
        <f>IF(M267=1,IF(N267&lt;=COMBINACIONES_NPH!$B$5,1,0),"")</f>
        <v/>
      </c>
      <c r="P267">
        <f>IF(M267=1,IF(O267=1,-L267,100)+N267+ROW()*0.000000000001,"")</f>
        <v/>
      </c>
    </row>
    <row r="268">
      <c r="K268" t="n">
        <v>12</v>
      </c>
      <c r="L268" t="n">
        <v>13</v>
      </c>
      <c r="M268">
        <f>IF(AND(L268&gt;=COMBINACIONES_NPH!$B$9,K268+L268-1&lt;=$J$2),1,0)</f>
        <v/>
      </c>
      <c r="N268">
        <f>IF(M268=1,_xlfn.STDEV.S(INDEX($J$5:$J$34,K268):INDEX($J$5:$J$34,K268+L268-1))/AVERAGE(INDEX($J$5:$J$34,K268):INDEX($J$5:$J$34,K268+L268-1)),"")</f>
        <v/>
      </c>
      <c r="O268">
        <f>IF(M268=1,IF(N268&lt;=COMBINACIONES_NPH!$B$5,1,0),"")</f>
        <v/>
      </c>
      <c r="P268">
        <f>IF(M268=1,IF(O268=1,-L268,100)+N268+ROW()*0.000000000001,"")</f>
        <v/>
      </c>
    </row>
    <row r="269">
      <c r="K269" t="n">
        <v>12</v>
      </c>
      <c r="L269" t="n">
        <v>14</v>
      </c>
      <c r="M269">
        <f>IF(AND(L269&gt;=COMBINACIONES_NPH!$B$9,K269+L269-1&lt;=$J$2),1,0)</f>
        <v/>
      </c>
      <c r="N269">
        <f>IF(M269=1,_xlfn.STDEV.S(INDEX($J$5:$J$34,K269):INDEX($J$5:$J$34,K269+L269-1))/AVERAGE(INDEX($J$5:$J$34,K269):INDEX($J$5:$J$34,K269+L269-1)),"")</f>
        <v/>
      </c>
      <c r="O269">
        <f>IF(M269=1,IF(N269&lt;=COMBINACIONES_NPH!$B$5,1,0),"")</f>
        <v/>
      </c>
      <c r="P269">
        <f>IF(M269=1,IF(O269=1,-L269,100)+N269+ROW()*0.000000000001,"")</f>
        <v/>
      </c>
    </row>
    <row r="270">
      <c r="K270" t="n">
        <v>12</v>
      </c>
      <c r="L270" t="n">
        <v>15</v>
      </c>
      <c r="M270">
        <f>IF(AND(L270&gt;=COMBINACIONES_NPH!$B$9,K270+L270-1&lt;=$J$2),1,0)</f>
        <v/>
      </c>
      <c r="N270">
        <f>IF(M270=1,_xlfn.STDEV.S(INDEX($J$5:$J$34,K270):INDEX($J$5:$J$34,K270+L270-1))/AVERAGE(INDEX($J$5:$J$34,K270):INDEX($J$5:$J$34,K270+L270-1)),"")</f>
        <v/>
      </c>
      <c r="O270">
        <f>IF(M270=1,IF(N270&lt;=COMBINACIONES_NPH!$B$5,1,0),"")</f>
        <v/>
      </c>
      <c r="P270">
        <f>IF(M270=1,IF(O270=1,-L270,100)+N270+ROW()*0.000000000001,"")</f>
        <v/>
      </c>
    </row>
    <row r="271">
      <c r="K271" t="n">
        <v>12</v>
      </c>
      <c r="L271" t="n">
        <v>16</v>
      </c>
      <c r="M271">
        <f>IF(AND(L271&gt;=COMBINACIONES_NPH!$B$9,K271+L271-1&lt;=$J$2),1,0)</f>
        <v/>
      </c>
      <c r="N271">
        <f>IF(M271=1,_xlfn.STDEV.S(INDEX($J$5:$J$34,K271):INDEX($J$5:$J$34,K271+L271-1))/AVERAGE(INDEX($J$5:$J$34,K271):INDEX($J$5:$J$34,K271+L271-1)),"")</f>
        <v/>
      </c>
      <c r="O271">
        <f>IF(M271=1,IF(N271&lt;=COMBINACIONES_NPH!$B$5,1,0),"")</f>
        <v/>
      </c>
      <c r="P271">
        <f>IF(M271=1,IF(O271=1,-L271,100)+N271+ROW()*0.000000000001,"")</f>
        <v/>
      </c>
    </row>
    <row r="272">
      <c r="K272" t="n">
        <v>12</v>
      </c>
      <c r="L272" t="n">
        <v>17</v>
      </c>
      <c r="M272">
        <f>IF(AND(L272&gt;=COMBINACIONES_NPH!$B$9,K272+L272-1&lt;=$J$2),1,0)</f>
        <v/>
      </c>
      <c r="N272">
        <f>IF(M272=1,_xlfn.STDEV.S(INDEX($J$5:$J$34,K272):INDEX($J$5:$J$34,K272+L272-1))/AVERAGE(INDEX($J$5:$J$34,K272):INDEX($J$5:$J$34,K272+L272-1)),"")</f>
        <v/>
      </c>
      <c r="O272">
        <f>IF(M272=1,IF(N272&lt;=COMBINACIONES_NPH!$B$5,1,0),"")</f>
        <v/>
      </c>
      <c r="P272">
        <f>IF(M272=1,IF(O272=1,-L272,100)+N272+ROW()*0.000000000001,"")</f>
        <v/>
      </c>
    </row>
    <row r="273">
      <c r="K273" t="n">
        <v>12</v>
      </c>
      <c r="L273" t="n">
        <v>18</v>
      </c>
      <c r="M273">
        <f>IF(AND(L273&gt;=COMBINACIONES_NPH!$B$9,K273+L273-1&lt;=$J$2),1,0)</f>
        <v/>
      </c>
      <c r="N273">
        <f>IF(M273=1,_xlfn.STDEV.S(INDEX($J$5:$J$34,K273):INDEX($J$5:$J$34,K273+L273-1))/AVERAGE(INDEX($J$5:$J$34,K273):INDEX($J$5:$J$34,K273+L273-1)),"")</f>
        <v/>
      </c>
      <c r="O273">
        <f>IF(M273=1,IF(N273&lt;=COMBINACIONES_NPH!$B$5,1,0),"")</f>
        <v/>
      </c>
      <c r="P273">
        <f>IF(M273=1,IF(O273=1,-L273,100)+N273+ROW()*0.000000000001,"")</f>
        <v/>
      </c>
    </row>
    <row r="274">
      <c r="K274" t="n">
        <v>12</v>
      </c>
      <c r="L274" t="n">
        <v>19</v>
      </c>
      <c r="M274">
        <f>IF(AND(L274&gt;=COMBINACIONES_NPH!$B$9,K274+L274-1&lt;=$J$2),1,0)</f>
        <v/>
      </c>
      <c r="N274">
        <f>IF(M274=1,_xlfn.STDEV.S(INDEX($J$5:$J$34,K274):INDEX($J$5:$J$34,K274+L274-1))/AVERAGE(INDEX($J$5:$J$34,K274):INDEX($J$5:$J$34,K274+L274-1)),"")</f>
        <v/>
      </c>
      <c r="O274">
        <f>IF(M274=1,IF(N274&lt;=COMBINACIONES_NPH!$B$5,1,0),"")</f>
        <v/>
      </c>
      <c r="P274">
        <f>IF(M274=1,IF(O274=1,-L274,100)+N274+ROW()*0.000000000001,"")</f>
        <v/>
      </c>
    </row>
    <row r="275">
      <c r="K275" t="n">
        <v>13</v>
      </c>
      <c r="L275" t="n">
        <v>3</v>
      </c>
      <c r="M275">
        <f>IF(AND(L275&gt;=COMBINACIONES_NPH!$B$9,K275+L275-1&lt;=$J$2),1,0)</f>
        <v/>
      </c>
      <c r="N275">
        <f>IF(M275=1,_xlfn.STDEV.S(INDEX($J$5:$J$34,K275):INDEX($J$5:$J$34,K275+L275-1))/AVERAGE(INDEX($J$5:$J$34,K275):INDEX($J$5:$J$34,K275+L275-1)),"")</f>
        <v/>
      </c>
      <c r="O275">
        <f>IF(M275=1,IF(N275&lt;=COMBINACIONES_NPH!$B$5,1,0),"")</f>
        <v/>
      </c>
      <c r="P275">
        <f>IF(M275=1,IF(O275=1,-L275,100)+N275+ROW()*0.000000000001,"")</f>
        <v/>
      </c>
    </row>
    <row r="276">
      <c r="K276" t="n">
        <v>13</v>
      </c>
      <c r="L276" t="n">
        <v>4</v>
      </c>
      <c r="M276">
        <f>IF(AND(L276&gt;=COMBINACIONES_NPH!$B$9,K276+L276-1&lt;=$J$2),1,0)</f>
        <v/>
      </c>
      <c r="N276">
        <f>IF(M276=1,_xlfn.STDEV.S(INDEX($J$5:$J$34,K276):INDEX($J$5:$J$34,K276+L276-1))/AVERAGE(INDEX($J$5:$J$34,K276):INDEX($J$5:$J$34,K276+L276-1)),"")</f>
        <v/>
      </c>
      <c r="O276">
        <f>IF(M276=1,IF(N276&lt;=COMBINACIONES_NPH!$B$5,1,0),"")</f>
        <v/>
      </c>
      <c r="P276">
        <f>IF(M276=1,IF(O276=1,-L276,100)+N276+ROW()*0.000000000001,"")</f>
        <v/>
      </c>
    </row>
    <row r="277">
      <c r="K277" t="n">
        <v>13</v>
      </c>
      <c r="L277" t="n">
        <v>5</v>
      </c>
      <c r="M277">
        <f>IF(AND(L277&gt;=COMBINACIONES_NPH!$B$9,K277+L277-1&lt;=$J$2),1,0)</f>
        <v/>
      </c>
      <c r="N277">
        <f>IF(M277=1,_xlfn.STDEV.S(INDEX($J$5:$J$34,K277):INDEX($J$5:$J$34,K277+L277-1))/AVERAGE(INDEX($J$5:$J$34,K277):INDEX($J$5:$J$34,K277+L277-1)),"")</f>
        <v/>
      </c>
      <c r="O277">
        <f>IF(M277=1,IF(N277&lt;=COMBINACIONES_NPH!$B$5,1,0),"")</f>
        <v/>
      </c>
      <c r="P277">
        <f>IF(M277=1,IF(O277=1,-L277,100)+N277+ROW()*0.000000000001,"")</f>
        <v/>
      </c>
    </row>
    <row r="278">
      <c r="K278" t="n">
        <v>13</v>
      </c>
      <c r="L278" t="n">
        <v>6</v>
      </c>
      <c r="M278">
        <f>IF(AND(L278&gt;=COMBINACIONES_NPH!$B$9,K278+L278-1&lt;=$J$2),1,0)</f>
        <v/>
      </c>
      <c r="N278">
        <f>IF(M278=1,_xlfn.STDEV.S(INDEX($J$5:$J$34,K278):INDEX($J$5:$J$34,K278+L278-1))/AVERAGE(INDEX($J$5:$J$34,K278):INDEX($J$5:$J$34,K278+L278-1)),"")</f>
        <v/>
      </c>
      <c r="O278">
        <f>IF(M278=1,IF(N278&lt;=COMBINACIONES_NPH!$B$5,1,0),"")</f>
        <v/>
      </c>
      <c r="P278">
        <f>IF(M278=1,IF(O278=1,-L278,100)+N278+ROW()*0.000000000001,"")</f>
        <v/>
      </c>
    </row>
    <row r="279">
      <c r="K279" t="n">
        <v>13</v>
      </c>
      <c r="L279" t="n">
        <v>7</v>
      </c>
      <c r="M279">
        <f>IF(AND(L279&gt;=COMBINACIONES_NPH!$B$9,K279+L279-1&lt;=$J$2),1,0)</f>
        <v/>
      </c>
      <c r="N279">
        <f>IF(M279=1,_xlfn.STDEV.S(INDEX($J$5:$J$34,K279):INDEX($J$5:$J$34,K279+L279-1))/AVERAGE(INDEX($J$5:$J$34,K279):INDEX($J$5:$J$34,K279+L279-1)),"")</f>
        <v/>
      </c>
      <c r="O279">
        <f>IF(M279=1,IF(N279&lt;=COMBINACIONES_NPH!$B$5,1,0),"")</f>
        <v/>
      </c>
      <c r="P279">
        <f>IF(M279=1,IF(O279=1,-L279,100)+N279+ROW()*0.000000000001,"")</f>
        <v/>
      </c>
    </row>
    <row r="280">
      <c r="K280" t="n">
        <v>13</v>
      </c>
      <c r="L280" t="n">
        <v>8</v>
      </c>
      <c r="M280">
        <f>IF(AND(L280&gt;=COMBINACIONES_NPH!$B$9,K280+L280-1&lt;=$J$2),1,0)</f>
        <v/>
      </c>
      <c r="N280">
        <f>IF(M280=1,_xlfn.STDEV.S(INDEX($J$5:$J$34,K280):INDEX($J$5:$J$34,K280+L280-1))/AVERAGE(INDEX($J$5:$J$34,K280):INDEX($J$5:$J$34,K280+L280-1)),"")</f>
        <v/>
      </c>
      <c r="O280">
        <f>IF(M280=1,IF(N280&lt;=COMBINACIONES_NPH!$B$5,1,0),"")</f>
        <v/>
      </c>
      <c r="P280">
        <f>IF(M280=1,IF(O280=1,-L280,100)+N280+ROW()*0.000000000001,"")</f>
        <v/>
      </c>
    </row>
    <row r="281">
      <c r="K281" t="n">
        <v>13</v>
      </c>
      <c r="L281" t="n">
        <v>9</v>
      </c>
      <c r="M281">
        <f>IF(AND(L281&gt;=COMBINACIONES_NPH!$B$9,K281+L281-1&lt;=$J$2),1,0)</f>
        <v/>
      </c>
      <c r="N281">
        <f>IF(M281=1,_xlfn.STDEV.S(INDEX($J$5:$J$34,K281):INDEX($J$5:$J$34,K281+L281-1))/AVERAGE(INDEX($J$5:$J$34,K281):INDEX($J$5:$J$34,K281+L281-1)),"")</f>
        <v/>
      </c>
      <c r="O281">
        <f>IF(M281=1,IF(N281&lt;=COMBINACIONES_NPH!$B$5,1,0),"")</f>
        <v/>
      </c>
      <c r="P281">
        <f>IF(M281=1,IF(O281=1,-L281,100)+N281+ROW()*0.000000000001,"")</f>
        <v/>
      </c>
    </row>
    <row r="282">
      <c r="K282" t="n">
        <v>13</v>
      </c>
      <c r="L282" t="n">
        <v>10</v>
      </c>
      <c r="M282">
        <f>IF(AND(L282&gt;=COMBINACIONES_NPH!$B$9,K282+L282-1&lt;=$J$2),1,0)</f>
        <v/>
      </c>
      <c r="N282">
        <f>IF(M282=1,_xlfn.STDEV.S(INDEX($J$5:$J$34,K282):INDEX($J$5:$J$34,K282+L282-1))/AVERAGE(INDEX($J$5:$J$34,K282):INDEX($J$5:$J$34,K282+L282-1)),"")</f>
        <v/>
      </c>
      <c r="O282">
        <f>IF(M282=1,IF(N282&lt;=COMBINACIONES_NPH!$B$5,1,0),"")</f>
        <v/>
      </c>
      <c r="P282">
        <f>IF(M282=1,IF(O282=1,-L282,100)+N282+ROW()*0.000000000001,"")</f>
        <v/>
      </c>
    </row>
    <row r="283">
      <c r="K283" t="n">
        <v>13</v>
      </c>
      <c r="L283" t="n">
        <v>11</v>
      </c>
      <c r="M283">
        <f>IF(AND(L283&gt;=COMBINACIONES_NPH!$B$9,K283+L283-1&lt;=$J$2),1,0)</f>
        <v/>
      </c>
      <c r="N283">
        <f>IF(M283=1,_xlfn.STDEV.S(INDEX($J$5:$J$34,K283):INDEX($J$5:$J$34,K283+L283-1))/AVERAGE(INDEX($J$5:$J$34,K283):INDEX($J$5:$J$34,K283+L283-1)),"")</f>
        <v/>
      </c>
      <c r="O283">
        <f>IF(M283=1,IF(N283&lt;=COMBINACIONES_NPH!$B$5,1,0),"")</f>
        <v/>
      </c>
      <c r="P283">
        <f>IF(M283=1,IF(O283=1,-L283,100)+N283+ROW()*0.000000000001,"")</f>
        <v/>
      </c>
    </row>
    <row r="284">
      <c r="K284" t="n">
        <v>13</v>
      </c>
      <c r="L284" t="n">
        <v>12</v>
      </c>
      <c r="M284">
        <f>IF(AND(L284&gt;=COMBINACIONES_NPH!$B$9,K284+L284-1&lt;=$J$2),1,0)</f>
        <v/>
      </c>
      <c r="N284">
        <f>IF(M284=1,_xlfn.STDEV.S(INDEX($J$5:$J$34,K284):INDEX($J$5:$J$34,K284+L284-1))/AVERAGE(INDEX($J$5:$J$34,K284):INDEX($J$5:$J$34,K284+L284-1)),"")</f>
        <v/>
      </c>
      <c r="O284">
        <f>IF(M284=1,IF(N284&lt;=COMBINACIONES_NPH!$B$5,1,0),"")</f>
        <v/>
      </c>
      <c r="P284">
        <f>IF(M284=1,IF(O284=1,-L284,100)+N284+ROW()*0.000000000001,"")</f>
        <v/>
      </c>
    </row>
    <row r="285">
      <c r="K285" t="n">
        <v>13</v>
      </c>
      <c r="L285" t="n">
        <v>13</v>
      </c>
      <c r="M285">
        <f>IF(AND(L285&gt;=COMBINACIONES_NPH!$B$9,K285+L285-1&lt;=$J$2),1,0)</f>
        <v/>
      </c>
      <c r="N285">
        <f>IF(M285=1,_xlfn.STDEV.S(INDEX($J$5:$J$34,K285):INDEX($J$5:$J$34,K285+L285-1))/AVERAGE(INDEX($J$5:$J$34,K285):INDEX($J$5:$J$34,K285+L285-1)),"")</f>
        <v/>
      </c>
      <c r="O285">
        <f>IF(M285=1,IF(N285&lt;=COMBINACIONES_NPH!$B$5,1,0),"")</f>
        <v/>
      </c>
      <c r="P285">
        <f>IF(M285=1,IF(O285=1,-L285,100)+N285+ROW()*0.000000000001,"")</f>
        <v/>
      </c>
    </row>
    <row r="286">
      <c r="K286" t="n">
        <v>13</v>
      </c>
      <c r="L286" t="n">
        <v>14</v>
      </c>
      <c r="M286">
        <f>IF(AND(L286&gt;=COMBINACIONES_NPH!$B$9,K286+L286-1&lt;=$J$2),1,0)</f>
        <v/>
      </c>
      <c r="N286">
        <f>IF(M286=1,_xlfn.STDEV.S(INDEX($J$5:$J$34,K286):INDEX($J$5:$J$34,K286+L286-1))/AVERAGE(INDEX($J$5:$J$34,K286):INDEX($J$5:$J$34,K286+L286-1)),"")</f>
        <v/>
      </c>
      <c r="O286">
        <f>IF(M286=1,IF(N286&lt;=COMBINACIONES_NPH!$B$5,1,0),"")</f>
        <v/>
      </c>
      <c r="P286">
        <f>IF(M286=1,IF(O286=1,-L286,100)+N286+ROW()*0.000000000001,"")</f>
        <v/>
      </c>
    </row>
    <row r="287">
      <c r="K287" t="n">
        <v>13</v>
      </c>
      <c r="L287" t="n">
        <v>15</v>
      </c>
      <c r="M287">
        <f>IF(AND(L287&gt;=COMBINACIONES_NPH!$B$9,K287+L287-1&lt;=$J$2),1,0)</f>
        <v/>
      </c>
      <c r="N287">
        <f>IF(M287=1,_xlfn.STDEV.S(INDEX($J$5:$J$34,K287):INDEX($J$5:$J$34,K287+L287-1))/AVERAGE(INDEX($J$5:$J$34,K287):INDEX($J$5:$J$34,K287+L287-1)),"")</f>
        <v/>
      </c>
      <c r="O287">
        <f>IF(M287=1,IF(N287&lt;=COMBINACIONES_NPH!$B$5,1,0),"")</f>
        <v/>
      </c>
      <c r="P287">
        <f>IF(M287=1,IF(O287=1,-L287,100)+N287+ROW()*0.000000000001,"")</f>
        <v/>
      </c>
    </row>
    <row r="288">
      <c r="K288" t="n">
        <v>13</v>
      </c>
      <c r="L288" t="n">
        <v>16</v>
      </c>
      <c r="M288">
        <f>IF(AND(L288&gt;=COMBINACIONES_NPH!$B$9,K288+L288-1&lt;=$J$2),1,0)</f>
        <v/>
      </c>
      <c r="N288">
        <f>IF(M288=1,_xlfn.STDEV.S(INDEX($J$5:$J$34,K288):INDEX($J$5:$J$34,K288+L288-1))/AVERAGE(INDEX($J$5:$J$34,K288):INDEX($J$5:$J$34,K288+L288-1)),"")</f>
        <v/>
      </c>
      <c r="O288">
        <f>IF(M288=1,IF(N288&lt;=COMBINACIONES_NPH!$B$5,1,0),"")</f>
        <v/>
      </c>
      <c r="P288">
        <f>IF(M288=1,IF(O288=1,-L288,100)+N288+ROW()*0.000000000001,"")</f>
        <v/>
      </c>
    </row>
    <row r="289">
      <c r="K289" t="n">
        <v>13</v>
      </c>
      <c r="L289" t="n">
        <v>17</v>
      </c>
      <c r="M289">
        <f>IF(AND(L289&gt;=COMBINACIONES_NPH!$B$9,K289+L289-1&lt;=$J$2),1,0)</f>
        <v/>
      </c>
      <c r="N289">
        <f>IF(M289=1,_xlfn.STDEV.S(INDEX($J$5:$J$34,K289):INDEX($J$5:$J$34,K289+L289-1))/AVERAGE(INDEX($J$5:$J$34,K289):INDEX($J$5:$J$34,K289+L289-1)),"")</f>
        <v/>
      </c>
      <c r="O289">
        <f>IF(M289=1,IF(N289&lt;=COMBINACIONES_NPH!$B$5,1,0),"")</f>
        <v/>
      </c>
      <c r="P289">
        <f>IF(M289=1,IF(O289=1,-L289,100)+N289+ROW()*0.000000000001,"")</f>
        <v/>
      </c>
    </row>
    <row r="290">
      <c r="K290" t="n">
        <v>13</v>
      </c>
      <c r="L290" t="n">
        <v>18</v>
      </c>
      <c r="M290">
        <f>IF(AND(L290&gt;=COMBINACIONES_NPH!$B$9,K290+L290-1&lt;=$J$2),1,0)</f>
        <v/>
      </c>
      <c r="N290">
        <f>IF(M290=1,_xlfn.STDEV.S(INDEX($J$5:$J$34,K290):INDEX($J$5:$J$34,K290+L290-1))/AVERAGE(INDEX($J$5:$J$34,K290):INDEX($J$5:$J$34,K290+L290-1)),"")</f>
        <v/>
      </c>
      <c r="O290">
        <f>IF(M290=1,IF(N290&lt;=COMBINACIONES_NPH!$B$5,1,0),"")</f>
        <v/>
      </c>
      <c r="P290">
        <f>IF(M290=1,IF(O290=1,-L290,100)+N290+ROW()*0.000000000001,"")</f>
        <v/>
      </c>
    </row>
    <row r="291">
      <c r="K291" t="n">
        <v>14</v>
      </c>
      <c r="L291" t="n">
        <v>3</v>
      </c>
      <c r="M291">
        <f>IF(AND(L291&gt;=COMBINACIONES_NPH!$B$9,K291+L291-1&lt;=$J$2),1,0)</f>
        <v/>
      </c>
      <c r="N291">
        <f>IF(M291=1,_xlfn.STDEV.S(INDEX($J$5:$J$34,K291):INDEX($J$5:$J$34,K291+L291-1))/AVERAGE(INDEX($J$5:$J$34,K291):INDEX($J$5:$J$34,K291+L291-1)),"")</f>
        <v/>
      </c>
      <c r="O291">
        <f>IF(M291=1,IF(N291&lt;=COMBINACIONES_NPH!$B$5,1,0),"")</f>
        <v/>
      </c>
      <c r="P291">
        <f>IF(M291=1,IF(O291=1,-L291,100)+N291+ROW()*0.000000000001,"")</f>
        <v/>
      </c>
    </row>
    <row r="292">
      <c r="K292" t="n">
        <v>14</v>
      </c>
      <c r="L292" t="n">
        <v>4</v>
      </c>
      <c r="M292">
        <f>IF(AND(L292&gt;=COMBINACIONES_NPH!$B$9,K292+L292-1&lt;=$J$2),1,0)</f>
        <v/>
      </c>
      <c r="N292">
        <f>IF(M292=1,_xlfn.STDEV.S(INDEX($J$5:$J$34,K292):INDEX($J$5:$J$34,K292+L292-1))/AVERAGE(INDEX($J$5:$J$34,K292):INDEX($J$5:$J$34,K292+L292-1)),"")</f>
        <v/>
      </c>
      <c r="O292">
        <f>IF(M292=1,IF(N292&lt;=COMBINACIONES_NPH!$B$5,1,0),"")</f>
        <v/>
      </c>
      <c r="P292">
        <f>IF(M292=1,IF(O292=1,-L292,100)+N292+ROW()*0.000000000001,"")</f>
        <v/>
      </c>
    </row>
    <row r="293">
      <c r="K293" t="n">
        <v>14</v>
      </c>
      <c r="L293" t="n">
        <v>5</v>
      </c>
      <c r="M293">
        <f>IF(AND(L293&gt;=COMBINACIONES_NPH!$B$9,K293+L293-1&lt;=$J$2),1,0)</f>
        <v/>
      </c>
      <c r="N293">
        <f>IF(M293=1,_xlfn.STDEV.S(INDEX($J$5:$J$34,K293):INDEX($J$5:$J$34,K293+L293-1))/AVERAGE(INDEX($J$5:$J$34,K293):INDEX($J$5:$J$34,K293+L293-1)),"")</f>
        <v/>
      </c>
      <c r="O293">
        <f>IF(M293=1,IF(N293&lt;=COMBINACIONES_NPH!$B$5,1,0),"")</f>
        <v/>
      </c>
      <c r="P293">
        <f>IF(M293=1,IF(O293=1,-L293,100)+N293+ROW()*0.000000000001,"")</f>
        <v/>
      </c>
    </row>
    <row r="294">
      <c r="K294" t="n">
        <v>14</v>
      </c>
      <c r="L294" t="n">
        <v>6</v>
      </c>
      <c r="M294">
        <f>IF(AND(L294&gt;=COMBINACIONES_NPH!$B$9,K294+L294-1&lt;=$J$2),1,0)</f>
        <v/>
      </c>
      <c r="N294">
        <f>IF(M294=1,_xlfn.STDEV.S(INDEX($J$5:$J$34,K294):INDEX($J$5:$J$34,K294+L294-1))/AVERAGE(INDEX($J$5:$J$34,K294):INDEX($J$5:$J$34,K294+L294-1)),"")</f>
        <v/>
      </c>
      <c r="O294">
        <f>IF(M294=1,IF(N294&lt;=COMBINACIONES_NPH!$B$5,1,0),"")</f>
        <v/>
      </c>
      <c r="P294">
        <f>IF(M294=1,IF(O294=1,-L294,100)+N294+ROW()*0.000000000001,"")</f>
        <v/>
      </c>
    </row>
    <row r="295">
      <c r="K295" t="n">
        <v>14</v>
      </c>
      <c r="L295" t="n">
        <v>7</v>
      </c>
      <c r="M295">
        <f>IF(AND(L295&gt;=COMBINACIONES_NPH!$B$9,K295+L295-1&lt;=$J$2),1,0)</f>
        <v/>
      </c>
      <c r="N295">
        <f>IF(M295=1,_xlfn.STDEV.S(INDEX($J$5:$J$34,K295):INDEX($J$5:$J$34,K295+L295-1))/AVERAGE(INDEX($J$5:$J$34,K295):INDEX($J$5:$J$34,K295+L295-1)),"")</f>
        <v/>
      </c>
      <c r="O295">
        <f>IF(M295=1,IF(N295&lt;=COMBINACIONES_NPH!$B$5,1,0),"")</f>
        <v/>
      </c>
      <c r="P295">
        <f>IF(M295=1,IF(O295=1,-L295,100)+N295+ROW()*0.000000000001,"")</f>
        <v/>
      </c>
    </row>
    <row r="296">
      <c r="K296" t="n">
        <v>14</v>
      </c>
      <c r="L296" t="n">
        <v>8</v>
      </c>
      <c r="M296">
        <f>IF(AND(L296&gt;=COMBINACIONES_NPH!$B$9,K296+L296-1&lt;=$J$2),1,0)</f>
        <v/>
      </c>
      <c r="N296">
        <f>IF(M296=1,_xlfn.STDEV.S(INDEX($J$5:$J$34,K296):INDEX($J$5:$J$34,K296+L296-1))/AVERAGE(INDEX($J$5:$J$34,K296):INDEX($J$5:$J$34,K296+L296-1)),"")</f>
        <v/>
      </c>
      <c r="O296">
        <f>IF(M296=1,IF(N296&lt;=COMBINACIONES_NPH!$B$5,1,0),"")</f>
        <v/>
      </c>
      <c r="P296">
        <f>IF(M296=1,IF(O296=1,-L296,100)+N296+ROW()*0.000000000001,"")</f>
        <v/>
      </c>
    </row>
    <row r="297">
      <c r="K297" t="n">
        <v>14</v>
      </c>
      <c r="L297" t="n">
        <v>9</v>
      </c>
      <c r="M297">
        <f>IF(AND(L297&gt;=COMBINACIONES_NPH!$B$9,K297+L297-1&lt;=$J$2),1,0)</f>
        <v/>
      </c>
      <c r="N297">
        <f>IF(M297=1,_xlfn.STDEV.S(INDEX($J$5:$J$34,K297):INDEX($J$5:$J$34,K297+L297-1))/AVERAGE(INDEX($J$5:$J$34,K297):INDEX($J$5:$J$34,K297+L297-1)),"")</f>
        <v/>
      </c>
      <c r="O297">
        <f>IF(M297=1,IF(N297&lt;=COMBINACIONES_NPH!$B$5,1,0),"")</f>
        <v/>
      </c>
      <c r="P297">
        <f>IF(M297=1,IF(O297=1,-L297,100)+N297+ROW()*0.000000000001,"")</f>
        <v/>
      </c>
    </row>
    <row r="298">
      <c r="K298" t="n">
        <v>14</v>
      </c>
      <c r="L298" t="n">
        <v>10</v>
      </c>
      <c r="M298">
        <f>IF(AND(L298&gt;=COMBINACIONES_NPH!$B$9,K298+L298-1&lt;=$J$2),1,0)</f>
        <v/>
      </c>
      <c r="N298">
        <f>IF(M298=1,_xlfn.STDEV.S(INDEX($J$5:$J$34,K298):INDEX($J$5:$J$34,K298+L298-1))/AVERAGE(INDEX($J$5:$J$34,K298):INDEX($J$5:$J$34,K298+L298-1)),"")</f>
        <v/>
      </c>
      <c r="O298">
        <f>IF(M298=1,IF(N298&lt;=COMBINACIONES_NPH!$B$5,1,0),"")</f>
        <v/>
      </c>
      <c r="P298">
        <f>IF(M298=1,IF(O298=1,-L298,100)+N298+ROW()*0.000000000001,"")</f>
        <v/>
      </c>
    </row>
    <row r="299">
      <c r="K299" t="n">
        <v>14</v>
      </c>
      <c r="L299" t="n">
        <v>11</v>
      </c>
      <c r="M299">
        <f>IF(AND(L299&gt;=COMBINACIONES_NPH!$B$9,K299+L299-1&lt;=$J$2),1,0)</f>
        <v/>
      </c>
      <c r="N299">
        <f>IF(M299=1,_xlfn.STDEV.S(INDEX($J$5:$J$34,K299):INDEX($J$5:$J$34,K299+L299-1))/AVERAGE(INDEX($J$5:$J$34,K299):INDEX($J$5:$J$34,K299+L299-1)),"")</f>
        <v/>
      </c>
      <c r="O299">
        <f>IF(M299=1,IF(N299&lt;=COMBINACIONES_NPH!$B$5,1,0),"")</f>
        <v/>
      </c>
      <c r="P299">
        <f>IF(M299=1,IF(O299=1,-L299,100)+N299+ROW()*0.000000000001,"")</f>
        <v/>
      </c>
    </row>
    <row r="300">
      <c r="K300" t="n">
        <v>14</v>
      </c>
      <c r="L300" t="n">
        <v>12</v>
      </c>
      <c r="M300">
        <f>IF(AND(L300&gt;=COMBINACIONES_NPH!$B$9,K300+L300-1&lt;=$J$2),1,0)</f>
        <v/>
      </c>
      <c r="N300">
        <f>IF(M300=1,_xlfn.STDEV.S(INDEX($J$5:$J$34,K300):INDEX($J$5:$J$34,K300+L300-1))/AVERAGE(INDEX($J$5:$J$34,K300):INDEX($J$5:$J$34,K300+L300-1)),"")</f>
        <v/>
      </c>
      <c r="O300">
        <f>IF(M300=1,IF(N300&lt;=COMBINACIONES_NPH!$B$5,1,0),"")</f>
        <v/>
      </c>
      <c r="P300">
        <f>IF(M300=1,IF(O300=1,-L300,100)+N300+ROW()*0.000000000001,"")</f>
        <v/>
      </c>
    </row>
    <row r="301">
      <c r="K301" t="n">
        <v>14</v>
      </c>
      <c r="L301" t="n">
        <v>13</v>
      </c>
      <c r="M301">
        <f>IF(AND(L301&gt;=COMBINACIONES_NPH!$B$9,K301+L301-1&lt;=$J$2),1,0)</f>
        <v/>
      </c>
      <c r="N301">
        <f>IF(M301=1,_xlfn.STDEV.S(INDEX($J$5:$J$34,K301):INDEX($J$5:$J$34,K301+L301-1))/AVERAGE(INDEX($J$5:$J$34,K301):INDEX($J$5:$J$34,K301+L301-1)),"")</f>
        <v/>
      </c>
      <c r="O301">
        <f>IF(M301=1,IF(N301&lt;=COMBINACIONES_NPH!$B$5,1,0),"")</f>
        <v/>
      </c>
      <c r="P301">
        <f>IF(M301=1,IF(O301=1,-L301,100)+N301+ROW()*0.000000000001,"")</f>
        <v/>
      </c>
    </row>
    <row r="302">
      <c r="K302" t="n">
        <v>14</v>
      </c>
      <c r="L302" t="n">
        <v>14</v>
      </c>
      <c r="M302">
        <f>IF(AND(L302&gt;=COMBINACIONES_NPH!$B$9,K302+L302-1&lt;=$J$2),1,0)</f>
        <v/>
      </c>
      <c r="N302">
        <f>IF(M302=1,_xlfn.STDEV.S(INDEX($J$5:$J$34,K302):INDEX($J$5:$J$34,K302+L302-1))/AVERAGE(INDEX($J$5:$J$34,K302):INDEX($J$5:$J$34,K302+L302-1)),"")</f>
        <v/>
      </c>
      <c r="O302">
        <f>IF(M302=1,IF(N302&lt;=COMBINACIONES_NPH!$B$5,1,0),"")</f>
        <v/>
      </c>
      <c r="P302">
        <f>IF(M302=1,IF(O302=1,-L302,100)+N302+ROW()*0.000000000001,"")</f>
        <v/>
      </c>
    </row>
    <row r="303">
      <c r="K303" t="n">
        <v>14</v>
      </c>
      <c r="L303" t="n">
        <v>15</v>
      </c>
      <c r="M303">
        <f>IF(AND(L303&gt;=COMBINACIONES_NPH!$B$9,K303+L303-1&lt;=$J$2),1,0)</f>
        <v/>
      </c>
      <c r="N303">
        <f>IF(M303=1,_xlfn.STDEV.S(INDEX($J$5:$J$34,K303):INDEX($J$5:$J$34,K303+L303-1))/AVERAGE(INDEX($J$5:$J$34,K303):INDEX($J$5:$J$34,K303+L303-1)),"")</f>
        <v/>
      </c>
      <c r="O303">
        <f>IF(M303=1,IF(N303&lt;=COMBINACIONES_NPH!$B$5,1,0),"")</f>
        <v/>
      </c>
      <c r="P303">
        <f>IF(M303=1,IF(O303=1,-L303,100)+N303+ROW()*0.000000000001,"")</f>
        <v/>
      </c>
    </row>
    <row r="304">
      <c r="K304" t="n">
        <v>14</v>
      </c>
      <c r="L304" t="n">
        <v>16</v>
      </c>
      <c r="M304">
        <f>IF(AND(L304&gt;=COMBINACIONES_NPH!$B$9,K304+L304-1&lt;=$J$2),1,0)</f>
        <v/>
      </c>
      <c r="N304">
        <f>IF(M304=1,_xlfn.STDEV.S(INDEX($J$5:$J$34,K304):INDEX($J$5:$J$34,K304+L304-1))/AVERAGE(INDEX($J$5:$J$34,K304):INDEX($J$5:$J$34,K304+L304-1)),"")</f>
        <v/>
      </c>
      <c r="O304">
        <f>IF(M304=1,IF(N304&lt;=COMBINACIONES_NPH!$B$5,1,0),"")</f>
        <v/>
      </c>
      <c r="P304">
        <f>IF(M304=1,IF(O304=1,-L304,100)+N304+ROW()*0.000000000001,"")</f>
        <v/>
      </c>
    </row>
    <row r="305">
      <c r="K305" t="n">
        <v>14</v>
      </c>
      <c r="L305" t="n">
        <v>17</v>
      </c>
      <c r="M305">
        <f>IF(AND(L305&gt;=COMBINACIONES_NPH!$B$9,K305+L305-1&lt;=$J$2),1,0)</f>
        <v/>
      </c>
      <c r="N305">
        <f>IF(M305=1,_xlfn.STDEV.S(INDEX($J$5:$J$34,K305):INDEX($J$5:$J$34,K305+L305-1))/AVERAGE(INDEX($J$5:$J$34,K305):INDEX($J$5:$J$34,K305+L305-1)),"")</f>
        <v/>
      </c>
      <c r="O305">
        <f>IF(M305=1,IF(N305&lt;=COMBINACIONES_NPH!$B$5,1,0),"")</f>
        <v/>
      </c>
      <c r="P305">
        <f>IF(M305=1,IF(O305=1,-L305,100)+N305+ROW()*0.000000000001,"")</f>
        <v/>
      </c>
    </row>
    <row r="306">
      <c r="K306" t="n">
        <v>15</v>
      </c>
      <c r="L306" t="n">
        <v>3</v>
      </c>
      <c r="M306">
        <f>IF(AND(L306&gt;=COMBINACIONES_NPH!$B$9,K306+L306-1&lt;=$J$2),1,0)</f>
        <v/>
      </c>
      <c r="N306">
        <f>IF(M306=1,_xlfn.STDEV.S(INDEX($J$5:$J$34,K306):INDEX($J$5:$J$34,K306+L306-1))/AVERAGE(INDEX($J$5:$J$34,K306):INDEX($J$5:$J$34,K306+L306-1)),"")</f>
        <v/>
      </c>
      <c r="O306">
        <f>IF(M306=1,IF(N306&lt;=COMBINACIONES_NPH!$B$5,1,0),"")</f>
        <v/>
      </c>
      <c r="P306">
        <f>IF(M306=1,IF(O306=1,-L306,100)+N306+ROW()*0.000000000001,"")</f>
        <v/>
      </c>
    </row>
    <row r="307">
      <c r="K307" t="n">
        <v>15</v>
      </c>
      <c r="L307" t="n">
        <v>4</v>
      </c>
      <c r="M307">
        <f>IF(AND(L307&gt;=COMBINACIONES_NPH!$B$9,K307+L307-1&lt;=$J$2),1,0)</f>
        <v/>
      </c>
      <c r="N307">
        <f>IF(M307=1,_xlfn.STDEV.S(INDEX($J$5:$J$34,K307):INDEX($J$5:$J$34,K307+L307-1))/AVERAGE(INDEX($J$5:$J$34,K307):INDEX($J$5:$J$34,K307+L307-1)),"")</f>
        <v/>
      </c>
      <c r="O307">
        <f>IF(M307=1,IF(N307&lt;=COMBINACIONES_NPH!$B$5,1,0),"")</f>
        <v/>
      </c>
      <c r="P307">
        <f>IF(M307=1,IF(O307=1,-L307,100)+N307+ROW()*0.000000000001,"")</f>
        <v/>
      </c>
    </row>
    <row r="308">
      <c r="K308" t="n">
        <v>15</v>
      </c>
      <c r="L308" t="n">
        <v>5</v>
      </c>
      <c r="M308">
        <f>IF(AND(L308&gt;=COMBINACIONES_NPH!$B$9,K308+L308-1&lt;=$J$2),1,0)</f>
        <v/>
      </c>
      <c r="N308">
        <f>IF(M308=1,_xlfn.STDEV.S(INDEX($J$5:$J$34,K308):INDEX($J$5:$J$34,K308+L308-1))/AVERAGE(INDEX($J$5:$J$34,K308):INDEX($J$5:$J$34,K308+L308-1)),"")</f>
        <v/>
      </c>
      <c r="O308">
        <f>IF(M308=1,IF(N308&lt;=COMBINACIONES_NPH!$B$5,1,0),"")</f>
        <v/>
      </c>
      <c r="P308">
        <f>IF(M308=1,IF(O308=1,-L308,100)+N308+ROW()*0.000000000001,"")</f>
        <v/>
      </c>
    </row>
    <row r="309">
      <c r="K309" t="n">
        <v>15</v>
      </c>
      <c r="L309" t="n">
        <v>6</v>
      </c>
      <c r="M309">
        <f>IF(AND(L309&gt;=COMBINACIONES_NPH!$B$9,K309+L309-1&lt;=$J$2),1,0)</f>
        <v/>
      </c>
      <c r="N309">
        <f>IF(M309=1,_xlfn.STDEV.S(INDEX($J$5:$J$34,K309):INDEX($J$5:$J$34,K309+L309-1))/AVERAGE(INDEX($J$5:$J$34,K309):INDEX($J$5:$J$34,K309+L309-1)),"")</f>
        <v/>
      </c>
      <c r="O309">
        <f>IF(M309=1,IF(N309&lt;=COMBINACIONES_NPH!$B$5,1,0),"")</f>
        <v/>
      </c>
      <c r="P309">
        <f>IF(M309=1,IF(O309=1,-L309,100)+N309+ROW()*0.000000000001,"")</f>
        <v/>
      </c>
    </row>
    <row r="310">
      <c r="K310" t="n">
        <v>15</v>
      </c>
      <c r="L310" t="n">
        <v>7</v>
      </c>
      <c r="M310">
        <f>IF(AND(L310&gt;=COMBINACIONES_NPH!$B$9,K310+L310-1&lt;=$J$2),1,0)</f>
        <v/>
      </c>
      <c r="N310">
        <f>IF(M310=1,_xlfn.STDEV.S(INDEX($J$5:$J$34,K310):INDEX($J$5:$J$34,K310+L310-1))/AVERAGE(INDEX($J$5:$J$34,K310):INDEX($J$5:$J$34,K310+L310-1)),"")</f>
        <v/>
      </c>
      <c r="O310">
        <f>IF(M310=1,IF(N310&lt;=COMBINACIONES_NPH!$B$5,1,0),"")</f>
        <v/>
      </c>
      <c r="P310">
        <f>IF(M310=1,IF(O310=1,-L310,100)+N310+ROW()*0.000000000001,"")</f>
        <v/>
      </c>
    </row>
    <row r="311">
      <c r="K311" t="n">
        <v>15</v>
      </c>
      <c r="L311" t="n">
        <v>8</v>
      </c>
      <c r="M311">
        <f>IF(AND(L311&gt;=COMBINACIONES_NPH!$B$9,K311+L311-1&lt;=$J$2),1,0)</f>
        <v/>
      </c>
      <c r="N311">
        <f>IF(M311=1,_xlfn.STDEV.S(INDEX($J$5:$J$34,K311):INDEX($J$5:$J$34,K311+L311-1))/AVERAGE(INDEX($J$5:$J$34,K311):INDEX($J$5:$J$34,K311+L311-1)),"")</f>
        <v/>
      </c>
      <c r="O311">
        <f>IF(M311=1,IF(N311&lt;=COMBINACIONES_NPH!$B$5,1,0),"")</f>
        <v/>
      </c>
      <c r="P311">
        <f>IF(M311=1,IF(O311=1,-L311,100)+N311+ROW()*0.000000000001,"")</f>
        <v/>
      </c>
    </row>
    <row r="312">
      <c r="K312" t="n">
        <v>15</v>
      </c>
      <c r="L312" t="n">
        <v>9</v>
      </c>
      <c r="M312">
        <f>IF(AND(L312&gt;=COMBINACIONES_NPH!$B$9,K312+L312-1&lt;=$J$2),1,0)</f>
        <v/>
      </c>
      <c r="N312">
        <f>IF(M312=1,_xlfn.STDEV.S(INDEX($J$5:$J$34,K312):INDEX($J$5:$J$34,K312+L312-1))/AVERAGE(INDEX($J$5:$J$34,K312):INDEX($J$5:$J$34,K312+L312-1)),"")</f>
        <v/>
      </c>
      <c r="O312">
        <f>IF(M312=1,IF(N312&lt;=COMBINACIONES_NPH!$B$5,1,0),"")</f>
        <v/>
      </c>
      <c r="P312">
        <f>IF(M312=1,IF(O312=1,-L312,100)+N312+ROW()*0.000000000001,"")</f>
        <v/>
      </c>
    </row>
    <row r="313">
      <c r="K313" t="n">
        <v>15</v>
      </c>
      <c r="L313" t="n">
        <v>10</v>
      </c>
      <c r="M313">
        <f>IF(AND(L313&gt;=COMBINACIONES_NPH!$B$9,K313+L313-1&lt;=$J$2),1,0)</f>
        <v/>
      </c>
      <c r="N313">
        <f>IF(M313=1,_xlfn.STDEV.S(INDEX($J$5:$J$34,K313):INDEX($J$5:$J$34,K313+L313-1))/AVERAGE(INDEX($J$5:$J$34,K313):INDEX($J$5:$J$34,K313+L313-1)),"")</f>
        <v/>
      </c>
      <c r="O313">
        <f>IF(M313=1,IF(N313&lt;=COMBINACIONES_NPH!$B$5,1,0),"")</f>
        <v/>
      </c>
      <c r="P313">
        <f>IF(M313=1,IF(O313=1,-L313,100)+N313+ROW()*0.000000000001,"")</f>
        <v/>
      </c>
    </row>
    <row r="314">
      <c r="K314" t="n">
        <v>15</v>
      </c>
      <c r="L314" t="n">
        <v>11</v>
      </c>
      <c r="M314">
        <f>IF(AND(L314&gt;=COMBINACIONES_NPH!$B$9,K314+L314-1&lt;=$J$2),1,0)</f>
        <v/>
      </c>
      <c r="N314">
        <f>IF(M314=1,_xlfn.STDEV.S(INDEX($J$5:$J$34,K314):INDEX($J$5:$J$34,K314+L314-1))/AVERAGE(INDEX($J$5:$J$34,K314):INDEX($J$5:$J$34,K314+L314-1)),"")</f>
        <v/>
      </c>
      <c r="O314">
        <f>IF(M314=1,IF(N314&lt;=COMBINACIONES_NPH!$B$5,1,0),"")</f>
        <v/>
      </c>
      <c r="P314">
        <f>IF(M314=1,IF(O314=1,-L314,100)+N314+ROW()*0.000000000001,"")</f>
        <v/>
      </c>
    </row>
    <row r="315">
      <c r="K315" t="n">
        <v>15</v>
      </c>
      <c r="L315" t="n">
        <v>12</v>
      </c>
      <c r="M315">
        <f>IF(AND(L315&gt;=COMBINACIONES_NPH!$B$9,K315+L315-1&lt;=$J$2),1,0)</f>
        <v/>
      </c>
      <c r="N315">
        <f>IF(M315=1,_xlfn.STDEV.S(INDEX($J$5:$J$34,K315):INDEX($J$5:$J$34,K315+L315-1))/AVERAGE(INDEX($J$5:$J$34,K315):INDEX($J$5:$J$34,K315+L315-1)),"")</f>
        <v/>
      </c>
      <c r="O315">
        <f>IF(M315=1,IF(N315&lt;=COMBINACIONES_NPH!$B$5,1,0),"")</f>
        <v/>
      </c>
      <c r="P315">
        <f>IF(M315=1,IF(O315=1,-L315,100)+N315+ROW()*0.000000000001,"")</f>
        <v/>
      </c>
    </row>
    <row r="316">
      <c r="K316" t="n">
        <v>15</v>
      </c>
      <c r="L316" t="n">
        <v>13</v>
      </c>
      <c r="M316">
        <f>IF(AND(L316&gt;=COMBINACIONES_NPH!$B$9,K316+L316-1&lt;=$J$2),1,0)</f>
        <v/>
      </c>
      <c r="N316">
        <f>IF(M316=1,_xlfn.STDEV.S(INDEX($J$5:$J$34,K316):INDEX($J$5:$J$34,K316+L316-1))/AVERAGE(INDEX($J$5:$J$34,K316):INDEX($J$5:$J$34,K316+L316-1)),"")</f>
        <v/>
      </c>
      <c r="O316">
        <f>IF(M316=1,IF(N316&lt;=COMBINACIONES_NPH!$B$5,1,0),"")</f>
        <v/>
      </c>
      <c r="P316">
        <f>IF(M316=1,IF(O316=1,-L316,100)+N316+ROW()*0.000000000001,"")</f>
        <v/>
      </c>
    </row>
    <row r="317">
      <c r="K317" t="n">
        <v>15</v>
      </c>
      <c r="L317" t="n">
        <v>14</v>
      </c>
      <c r="M317">
        <f>IF(AND(L317&gt;=COMBINACIONES_NPH!$B$9,K317+L317-1&lt;=$J$2),1,0)</f>
        <v/>
      </c>
      <c r="N317">
        <f>IF(M317=1,_xlfn.STDEV.S(INDEX($J$5:$J$34,K317):INDEX($J$5:$J$34,K317+L317-1))/AVERAGE(INDEX($J$5:$J$34,K317):INDEX($J$5:$J$34,K317+L317-1)),"")</f>
        <v/>
      </c>
      <c r="O317">
        <f>IF(M317=1,IF(N317&lt;=COMBINACIONES_NPH!$B$5,1,0),"")</f>
        <v/>
      </c>
      <c r="P317">
        <f>IF(M317=1,IF(O317=1,-L317,100)+N317+ROW()*0.000000000001,"")</f>
        <v/>
      </c>
    </row>
    <row r="318">
      <c r="K318" t="n">
        <v>15</v>
      </c>
      <c r="L318" t="n">
        <v>15</v>
      </c>
      <c r="M318">
        <f>IF(AND(L318&gt;=COMBINACIONES_NPH!$B$9,K318+L318-1&lt;=$J$2),1,0)</f>
        <v/>
      </c>
      <c r="N318">
        <f>IF(M318=1,_xlfn.STDEV.S(INDEX($J$5:$J$34,K318):INDEX($J$5:$J$34,K318+L318-1))/AVERAGE(INDEX($J$5:$J$34,K318):INDEX($J$5:$J$34,K318+L318-1)),"")</f>
        <v/>
      </c>
      <c r="O318">
        <f>IF(M318=1,IF(N318&lt;=COMBINACIONES_NPH!$B$5,1,0),"")</f>
        <v/>
      </c>
      <c r="P318">
        <f>IF(M318=1,IF(O318=1,-L318,100)+N318+ROW()*0.000000000001,"")</f>
        <v/>
      </c>
    </row>
    <row r="319">
      <c r="K319" t="n">
        <v>15</v>
      </c>
      <c r="L319" t="n">
        <v>16</v>
      </c>
      <c r="M319">
        <f>IF(AND(L319&gt;=COMBINACIONES_NPH!$B$9,K319+L319-1&lt;=$J$2),1,0)</f>
        <v/>
      </c>
      <c r="N319">
        <f>IF(M319=1,_xlfn.STDEV.S(INDEX($J$5:$J$34,K319):INDEX($J$5:$J$34,K319+L319-1))/AVERAGE(INDEX($J$5:$J$34,K319):INDEX($J$5:$J$34,K319+L319-1)),"")</f>
        <v/>
      </c>
      <c r="O319">
        <f>IF(M319=1,IF(N319&lt;=COMBINACIONES_NPH!$B$5,1,0),"")</f>
        <v/>
      </c>
      <c r="P319">
        <f>IF(M319=1,IF(O319=1,-L319,100)+N319+ROW()*0.000000000001,"")</f>
        <v/>
      </c>
    </row>
    <row r="320">
      <c r="K320" t="n">
        <v>16</v>
      </c>
      <c r="L320" t="n">
        <v>3</v>
      </c>
      <c r="M320">
        <f>IF(AND(L320&gt;=COMBINACIONES_NPH!$B$9,K320+L320-1&lt;=$J$2),1,0)</f>
        <v/>
      </c>
      <c r="N320">
        <f>IF(M320=1,_xlfn.STDEV.S(INDEX($J$5:$J$34,K320):INDEX($J$5:$J$34,K320+L320-1))/AVERAGE(INDEX($J$5:$J$34,K320):INDEX($J$5:$J$34,K320+L320-1)),"")</f>
        <v/>
      </c>
      <c r="O320">
        <f>IF(M320=1,IF(N320&lt;=COMBINACIONES_NPH!$B$5,1,0),"")</f>
        <v/>
      </c>
      <c r="P320">
        <f>IF(M320=1,IF(O320=1,-L320,100)+N320+ROW()*0.000000000001,"")</f>
        <v/>
      </c>
    </row>
    <row r="321">
      <c r="K321" t="n">
        <v>16</v>
      </c>
      <c r="L321" t="n">
        <v>4</v>
      </c>
      <c r="M321">
        <f>IF(AND(L321&gt;=COMBINACIONES_NPH!$B$9,K321+L321-1&lt;=$J$2),1,0)</f>
        <v/>
      </c>
      <c r="N321">
        <f>IF(M321=1,_xlfn.STDEV.S(INDEX($J$5:$J$34,K321):INDEX($J$5:$J$34,K321+L321-1))/AVERAGE(INDEX($J$5:$J$34,K321):INDEX($J$5:$J$34,K321+L321-1)),"")</f>
        <v/>
      </c>
      <c r="O321">
        <f>IF(M321=1,IF(N321&lt;=COMBINACIONES_NPH!$B$5,1,0),"")</f>
        <v/>
      </c>
      <c r="P321">
        <f>IF(M321=1,IF(O321=1,-L321,100)+N321+ROW()*0.000000000001,"")</f>
        <v/>
      </c>
    </row>
    <row r="322">
      <c r="K322" t="n">
        <v>16</v>
      </c>
      <c r="L322" t="n">
        <v>5</v>
      </c>
      <c r="M322">
        <f>IF(AND(L322&gt;=COMBINACIONES_NPH!$B$9,K322+L322-1&lt;=$J$2),1,0)</f>
        <v/>
      </c>
      <c r="N322">
        <f>IF(M322=1,_xlfn.STDEV.S(INDEX($J$5:$J$34,K322):INDEX($J$5:$J$34,K322+L322-1))/AVERAGE(INDEX($J$5:$J$34,K322):INDEX($J$5:$J$34,K322+L322-1)),"")</f>
        <v/>
      </c>
      <c r="O322">
        <f>IF(M322=1,IF(N322&lt;=COMBINACIONES_NPH!$B$5,1,0),"")</f>
        <v/>
      </c>
      <c r="P322">
        <f>IF(M322=1,IF(O322=1,-L322,100)+N322+ROW()*0.000000000001,"")</f>
        <v/>
      </c>
    </row>
    <row r="323">
      <c r="K323" t="n">
        <v>16</v>
      </c>
      <c r="L323" t="n">
        <v>6</v>
      </c>
      <c r="M323">
        <f>IF(AND(L323&gt;=COMBINACIONES_NPH!$B$9,K323+L323-1&lt;=$J$2),1,0)</f>
        <v/>
      </c>
      <c r="N323">
        <f>IF(M323=1,_xlfn.STDEV.S(INDEX($J$5:$J$34,K323):INDEX($J$5:$J$34,K323+L323-1))/AVERAGE(INDEX($J$5:$J$34,K323):INDEX($J$5:$J$34,K323+L323-1)),"")</f>
        <v/>
      </c>
      <c r="O323">
        <f>IF(M323=1,IF(N323&lt;=COMBINACIONES_NPH!$B$5,1,0),"")</f>
        <v/>
      </c>
      <c r="P323">
        <f>IF(M323=1,IF(O323=1,-L323,100)+N323+ROW()*0.000000000001,"")</f>
        <v/>
      </c>
    </row>
    <row r="324">
      <c r="K324" t="n">
        <v>16</v>
      </c>
      <c r="L324" t="n">
        <v>7</v>
      </c>
      <c r="M324">
        <f>IF(AND(L324&gt;=COMBINACIONES_NPH!$B$9,K324+L324-1&lt;=$J$2),1,0)</f>
        <v/>
      </c>
      <c r="N324">
        <f>IF(M324=1,_xlfn.STDEV.S(INDEX($J$5:$J$34,K324):INDEX($J$5:$J$34,K324+L324-1))/AVERAGE(INDEX($J$5:$J$34,K324):INDEX($J$5:$J$34,K324+L324-1)),"")</f>
        <v/>
      </c>
      <c r="O324">
        <f>IF(M324=1,IF(N324&lt;=COMBINACIONES_NPH!$B$5,1,0),"")</f>
        <v/>
      </c>
      <c r="P324">
        <f>IF(M324=1,IF(O324=1,-L324,100)+N324+ROW()*0.000000000001,"")</f>
        <v/>
      </c>
    </row>
    <row r="325">
      <c r="K325" t="n">
        <v>16</v>
      </c>
      <c r="L325" t="n">
        <v>8</v>
      </c>
      <c r="M325">
        <f>IF(AND(L325&gt;=COMBINACIONES_NPH!$B$9,K325+L325-1&lt;=$J$2),1,0)</f>
        <v/>
      </c>
      <c r="N325">
        <f>IF(M325=1,_xlfn.STDEV.S(INDEX($J$5:$J$34,K325):INDEX($J$5:$J$34,K325+L325-1))/AVERAGE(INDEX($J$5:$J$34,K325):INDEX($J$5:$J$34,K325+L325-1)),"")</f>
        <v/>
      </c>
      <c r="O325">
        <f>IF(M325=1,IF(N325&lt;=COMBINACIONES_NPH!$B$5,1,0),"")</f>
        <v/>
      </c>
      <c r="P325">
        <f>IF(M325=1,IF(O325=1,-L325,100)+N325+ROW()*0.000000000001,"")</f>
        <v/>
      </c>
    </row>
    <row r="326">
      <c r="K326" t="n">
        <v>16</v>
      </c>
      <c r="L326" t="n">
        <v>9</v>
      </c>
      <c r="M326">
        <f>IF(AND(L326&gt;=COMBINACIONES_NPH!$B$9,K326+L326-1&lt;=$J$2),1,0)</f>
        <v/>
      </c>
      <c r="N326">
        <f>IF(M326=1,_xlfn.STDEV.S(INDEX($J$5:$J$34,K326):INDEX($J$5:$J$34,K326+L326-1))/AVERAGE(INDEX($J$5:$J$34,K326):INDEX($J$5:$J$34,K326+L326-1)),"")</f>
        <v/>
      </c>
      <c r="O326">
        <f>IF(M326=1,IF(N326&lt;=COMBINACIONES_NPH!$B$5,1,0),"")</f>
        <v/>
      </c>
      <c r="P326">
        <f>IF(M326=1,IF(O326=1,-L326,100)+N326+ROW()*0.000000000001,"")</f>
        <v/>
      </c>
    </row>
    <row r="327">
      <c r="K327" t="n">
        <v>16</v>
      </c>
      <c r="L327" t="n">
        <v>10</v>
      </c>
      <c r="M327">
        <f>IF(AND(L327&gt;=COMBINACIONES_NPH!$B$9,K327+L327-1&lt;=$J$2),1,0)</f>
        <v/>
      </c>
      <c r="N327">
        <f>IF(M327=1,_xlfn.STDEV.S(INDEX($J$5:$J$34,K327):INDEX($J$5:$J$34,K327+L327-1))/AVERAGE(INDEX($J$5:$J$34,K327):INDEX($J$5:$J$34,K327+L327-1)),"")</f>
        <v/>
      </c>
      <c r="O327">
        <f>IF(M327=1,IF(N327&lt;=COMBINACIONES_NPH!$B$5,1,0),"")</f>
        <v/>
      </c>
      <c r="P327">
        <f>IF(M327=1,IF(O327=1,-L327,100)+N327+ROW()*0.000000000001,"")</f>
        <v/>
      </c>
    </row>
    <row r="328">
      <c r="K328" t="n">
        <v>16</v>
      </c>
      <c r="L328" t="n">
        <v>11</v>
      </c>
      <c r="M328">
        <f>IF(AND(L328&gt;=COMBINACIONES_NPH!$B$9,K328+L328-1&lt;=$J$2),1,0)</f>
        <v/>
      </c>
      <c r="N328">
        <f>IF(M328=1,_xlfn.STDEV.S(INDEX($J$5:$J$34,K328):INDEX($J$5:$J$34,K328+L328-1))/AVERAGE(INDEX($J$5:$J$34,K328):INDEX($J$5:$J$34,K328+L328-1)),"")</f>
        <v/>
      </c>
      <c r="O328">
        <f>IF(M328=1,IF(N328&lt;=COMBINACIONES_NPH!$B$5,1,0),"")</f>
        <v/>
      </c>
      <c r="P328">
        <f>IF(M328=1,IF(O328=1,-L328,100)+N328+ROW()*0.000000000001,"")</f>
        <v/>
      </c>
    </row>
    <row r="329">
      <c r="K329" t="n">
        <v>16</v>
      </c>
      <c r="L329" t="n">
        <v>12</v>
      </c>
      <c r="M329">
        <f>IF(AND(L329&gt;=COMBINACIONES_NPH!$B$9,K329+L329-1&lt;=$J$2),1,0)</f>
        <v/>
      </c>
      <c r="N329">
        <f>IF(M329=1,_xlfn.STDEV.S(INDEX($J$5:$J$34,K329):INDEX($J$5:$J$34,K329+L329-1))/AVERAGE(INDEX($J$5:$J$34,K329):INDEX($J$5:$J$34,K329+L329-1)),"")</f>
        <v/>
      </c>
      <c r="O329">
        <f>IF(M329=1,IF(N329&lt;=COMBINACIONES_NPH!$B$5,1,0),"")</f>
        <v/>
      </c>
      <c r="P329">
        <f>IF(M329=1,IF(O329=1,-L329,100)+N329+ROW()*0.000000000001,"")</f>
        <v/>
      </c>
    </row>
    <row r="330">
      <c r="K330" t="n">
        <v>16</v>
      </c>
      <c r="L330" t="n">
        <v>13</v>
      </c>
      <c r="M330">
        <f>IF(AND(L330&gt;=COMBINACIONES_NPH!$B$9,K330+L330-1&lt;=$J$2),1,0)</f>
        <v/>
      </c>
      <c r="N330">
        <f>IF(M330=1,_xlfn.STDEV.S(INDEX($J$5:$J$34,K330):INDEX($J$5:$J$34,K330+L330-1))/AVERAGE(INDEX($J$5:$J$34,K330):INDEX($J$5:$J$34,K330+L330-1)),"")</f>
        <v/>
      </c>
      <c r="O330">
        <f>IF(M330=1,IF(N330&lt;=COMBINACIONES_NPH!$B$5,1,0),"")</f>
        <v/>
      </c>
      <c r="P330">
        <f>IF(M330=1,IF(O330=1,-L330,100)+N330+ROW()*0.000000000001,"")</f>
        <v/>
      </c>
    </row>
    <row r="331">
      <c r="K331" t="n">
        <v>16</v>
      </c>
      <c r="L331" t="n">
        <v>14</v>
      </c>
      <c r="M331">
        <f>IF(AND(L331&gt;=COMBINACIONES_NPH!$B$9,K331+L331-1&lt;=$J$2),1,0)</f>
        <v/>
      </c>
      <c r="N331">
        <f>IF(M331=1,_xlfn.STDEV.S(INDEX($J$5:$J$34,K331):INDEX($J$5:$J$34,K331+L331-1))/AVERAGE(INDEX($J$5:$J$34,K331):INDEX($J$5:$J$34,K331+L331-1)),"")</f>
        <v/>
      </c>
      <c r="O331">
        <f>IF(M331=1,IF(N331&lt;=COMBINACIONES_NPH!$B$5,1,0),"")</f>
        <v/>
      </c>
      <c r="P331">
        <f>IF(M331=1,IF(O331=1,-L331,100)+N331+ROW()*0.000000000001,"")</f>
        <v/>
      </c>
    </row>
    <row r="332">
      <c r="K332" t="n">
        <v>16</v>
      </c>
      <c r="L332" t="n">
        <v>15</v>
      </c>
      <c r="M332">
        <f>IF(AND(L332&gt;=COMBINACIONES_NPH!$B$9,K332+L332-1&lt;=$J$2),1,0)</f>
        <v/>
      </c>
      <c r="N332">
        <f>IF(M332=1,_xlfn.STDEV.S(INDEX($J$5:$J$34,K332):INDEX($J$5:$J$34,K332+L332-1))/AVERAGE(INDEX($J$5:$J$34,K332):INDEX($J$5:$J$34,K332+L332-1)),"")</f>
        <v/>
      </c>
      <c r="O332">
        <f>IF(M332=1,IF(N332&lt;=COMBINACIONES_NPH!$B$5,1,0),"")</f>
        <v/>
      </c>
      <c r="P332">
        <f>IF(M332=1,IF(O332=1,-L332,100)+N332+ROW()*0.000000000001,"")</f>
        <v/>
      </c>
    </row>
    <row r="333">
      <c r="K333" t="n">
        <v>17</v>
      </c>
      <c r="L333" t="n">
        <v>3</v>
      </c>
      <c r="M333">
        <f>IF(AND(L333&gt;=COMBINACIONES_NPH!$B$9,K333+L333-1&lt;=$J$2),1,0)</f>
        <v/>
      </c>
      <c r="N333">
        <f>IF(M333=1,_xlfn.STDEV.S(INDEX($J$5:$J$34,K333):INDEX($J$5:$J$34,K333+L333-1))/AVERAGE(INDEX($J$5:$J$34,K333):INDEX($J$5:$J$34,K333+L333-1)),"")</f>
        <v/>
      </c>
      <c r="O333">
        <f>IF(M333=1,IF(N333&lt;=COMBINACIONES_NPH!$B$5,1,0),"")</f>
        <v/>
      </c>
      <c r="P333">
        <f>IF(M333=1,IF(O333=1,-L333,100)+N333+ROW()*0.000000000001,"")</f>
        <v/>
      </c>
    </row>
    <row r="334">
      <c r="K334" t="n">
        <v>17</v>
      </c>
      <c r="L334" t="n">
        <v>4</v>
      </c>
      <c r="M334">
        <f>IF(AND(L334&gt;=COMBINACIONES_NPH!$B$9,K334+L334-1&lt;=$J$2),1,0)</f>
        <v/>
      </c>
      <c r="N334">
        <f>IF(M334=1,_xlfn.STDEV.S(INDEX($J$5:$J$34,K334):INDEX($J$5:$J$34,K334+L334-1))/AVERAGE(INDEX($J$5:$J$34,K334):INDEX($J$5:$J$34,K334+L334-1)),"")</f>
        <v/>
      </c>
      <c r="O334">
        <f>IF(M334=1,IF(N334&lt;=COMBINACIONES_NPH!$B$5,1,0),"")</f>
        <v/>
      </c>
      <c r="P334">
        <f>IF(M334=1,IF(O334=1,-L334,100)+N334+ROW()*0.000000000001,"")</f>
        <v/>
      </c>
    </row>
    <row r="335">
      <c r="K335" t="n">
        <v>17</v>
      </c>
      <c r="L335" t="n">
        <v>5</v>
      </c>
      <c r="M335">
        <f>IF(AND(L335&gt;=COMBINACIONES_NPH!$B$9,K335+L335-1&lt;=$J$2),1,0)</f>
        <v/>
      </c>
      <c r="N335">
        <f>IF(M335=1,_xlfn.STDEV.S(INDEX($J$5:$J$34,K335):INDEX($J$5:$J$34,K335+L335-1))/AVERAGE(INDEX($J$5:$J$34,K335):INDEX($J$5:$J$34,K335+L335-1)),"")</f>
        <v/>
      </c>
      <c r="O335">
        <f>IF(M335=1,IF(N335&lt;=COMBINACIONES_NPH!$B$5,1,0),"")</f>
        <v/>
      </c>
      <c r="P335">
        <f>IF(M335=1,IF(O335=1,-L335,100)+N335+ROW()*0.000000000001,"")</f>
        <v/>
      </c>
    </row>
    <row r="336">
      <c r="K336" t="n">
        <v>17</v>
      </c>
      <c r="L336" t="n">
        <v>6</v>
      </c>
      <c r="M336">
        <f>IF(AND(L336&gt;=COMBINACIONES_NPH!$B$9,K336+L336-1&lt;=$J$2),1,0)</f>
        <v/>
      </c>
      <c r="N336">
        <f>IF(M336=1,_xlfn.STDEV.S(INDEX($J$5:$J$34,K336):INDEX($J$5:$J$34,K336+L336-1))/AVERAGE(INDEX($J$5:$J$34,K336):INDEX($J$5:$J$34,K336+L336-1)),"")</f>
        <v/>
      </c>
      <c r="O336">
        <f>IF(M336=1,IF(N336&lt;=COMBINACIONES_NPH!$B$5,1,0),"")</f>
        <v/>
      </c>
      <c r="P336">
        <f>IF(M336=1,IF(O336=1,-L336,100)+N336+ROW()*0.000000000001,"")</f>
        <v/>
      </c>
    </row>
    <row r="337">
      <c r="K337" t="n">
        <v>17</v>
      </c>
      <c r="L337" t="n">
        <v>7</v>
      </c>
      <c r="M337">
        <f>IF(AND(L337&gt;=COMBINACIONES_NPH!$B$9,K337+L337-1&lt;=$J$2),1,0)</f>
        <v/>
      </c>
      <c r="N337">
        <f>IF(M337=1,_xlfn.STDEV.S(INDEX($J$5:$J$34,K337):INDEX($J$5:$J$34,K337+L337-1))/AVERAGE(INDEX($J$5:$J$34,K337):INDEX($J$5:$J$34,K337+L337-1)),"")</f>
        <v/>
      </c>
      <c r="O337">
        <f>IF(M337=1,IF(N337&lt;=COMBINACIONES_NPH!$B$5,1,0),"")</f>
        <v/>
      </c>
      <c r="P337">
        <f>IF(M337=1,IF(O337=1,-L337,100)+N337+ROW()*0.000000000001,"")</f>
        <v/>
      </c>
    </row>
    <row r="338">
      <c r="K338" t="n">
        <v>17</v>
      </c>
      <c r="L338" t="n">
        <v>8</v>
      </c>
      <c r="M338">
        <f>IF(AND(L338&gt;=COMBINACIONES_NPH!$B$9,K338+L338-1&lt;=$J$2),1,0)</f>
        <v/>
      </c>
      <c r="N338">
        <f>IF(M338=1,_xlfn.STDEV.S(INDEX($J$5:$J$34,K338):INDEX($J$5:$J$34,K338+L338-1))/AVERAGE(INDEX($J$5:$J$34,K338):INDEX($J$5:$J$34,K338+L338-1)),"")</f>
        <v/>
      </c>
      <c r="O338">
        <f>IF(M338=1,IF(N338&lt;=COMBINACIONES_NPH!$B$5,1,0),"")</f>
        <v/>
      </c>
      <c r="P338">
        <f>IF(M338=1,IF(O338=1,-L338,100)+N338+ROW()*0.000000000001,"")</f>
        <v/>
      </c>
    </row>
    <row r="339">
      <c r="K339" t="n">
        <v>17</v>
      </c>
      <c r="L339" t="n">
        <v>9</v>
      </c>
      <c r="M339">
        <f>IF(AND(L339&gt;=COMBINACIONES_NPH!$B$9,K339+L339-1&lt;=$J$2),1,0)</f>
        <v/>
      </c>
      <c r="N339">
        <f>IF(M339=1,_xlfn.STDEV.S(INDEX($J$5:$J$34,K339):INDEX($J$5:$J$34,K339+L339-1))/AVERAGE(INDEX($J$5:$J$34,K339):INDEX($J$5:$J$34,K339+L339-1)),"")</f>
        <v/>
      </c>
      <c r="O339">
        <f>IF(M339=1,IF(N339&lt;=COMBINACIONES_NPH!$B$5,1,0),"")</f>
        <v/>
      </c>
      <c r="P339">
        <f>IF(M339=1,IF(O339=1,-L339,100)+N339+ROW()*0.000000000001,"")</f>
        <v/>
      </c>
    </row>
    <row r="340">
      <c r="K340" t="n">
        <v>17</v>
      </c>
      <c r="L340" t="n">
        <v>10</v>
      </c>
      <c r="M340">
        <f>IF(AND(L340&gt;=COMBINACIONES_NPH!$B$9,K340+L340-1&lt;=$J$2),1,0)</f>
        <v/>
      </c>
      <c r="N340">
        <f>IF(M340=1,_xlfn.STDEV.S(INDEX($J$5:$J$34,K340):INDEX($J$5:$J$34,K340+L340-1))/AVERAGE(INDEX($J$5:$J$34,K340):INDEX($J$5:$J$34,K340+L340-1)),"")</f>
        <v/>
      </c>
      <c r="O340">
        <f>IF(M340=1,IF(N340&lt;=COMBINACIONES_NPH!$B$5,1,0),"")</f>
        <v/>
      </c>
      <c r="P340">
        <f>IF(M340=1,IF(O340=1,-L340,100)+N340+ROW()*0.000000000001,"")</f>
        <v/>
      </c>
    </row>
    <row r="341">
      <c r="K341" t="n">
        <v>17</v>
      </c>
      <c r="L341" t="n">
        <v>11</v>
      </c>
      <c r="M341">
        <f>IF(AND(L341&gt;=COMBINACIONES_NPH!$B$9,K341+L341-1&lt;=$J$2),1,0)</f>
        <v/>
      </c>
      <c r="N341">
        <f>IF(M341=1,_xlfn.STDEV.S(INDEX($J$5:$J$34,K341):INDEX($J$5:$J$34,K341+L341-1))/AVERAGE(INDEX($J$5:$J$34,K341):INDEX($J$5:$J$34,K341+L341-1)),"")</f>
        <v/>
      </c>
      <c r="O341">
        <f>IF(M341=1,IF(N341&lt;=COMBINACIONES_NPH!$B$5,1,0),"")</f>
        <v/>
      </c>
      <c r="P341">
        <f>IF(M341=1,IF(O341=1,-L341,100)+N341+ROW()*0.000000000001,"")</f>
        <v/>
      </c>
    </row>
    <row r="342">
      <c r="K342" t="n">
        <v>17</v>
      </c>
      <c r="L342" t="n">
        <v>12</v>
      </c>
      <c r="M342">
        <f>IF(AND(L342&gt;=COMBINACIONES_NPH!$B$9,K342+L342-1&lt;=$J$2),1,0)</f>
        <v/>
      </c>
      <c r="N342">
        <f>IF(M342=1,_xlfn.STDEV.S(INDEX($J$5:$J$34,K342):INDEX($J$5:$J$34,K342+L342-1))/AVERAGE(INDEX($J$5:$J$34,K342):INDEX($J$5:$J$34,K342+L342-1)),"")</f>
        <v/>
      </c>
      <c r="O342">
        <f>IF(M342=1,IF(N342&lt;=COMBINACIONES_NPH!$B$5,1,0),"")</f>
        <v/>
      </c>
      <c r="P342">
        <f>IF(M342=1,IF(O342=1,-L342,100)+N342+ROW()*0.000000000001,"")</f>
        <v/>
      </c>
    </row>
    <row r="343">
      <c r="K343" t="n">
        <v>17</v>
      </c>
      <c r="L343" t="n">
        <v>13</v>
      </c>
      <c r="M343">
        <f>IF(AND(L343&gt;=COMBINACIONES_NPH!$B$9,K343+L343-1&lt;=$J$2),1,0)</f>
        <v/>
      </c>
      <c r="N343">
        <f>IF(M343=1,_xlfn.STDEV.S(INDEX($J$5:$J$34,K343):INDEX($J$5:$J$34,K343+L343-1))/AVERAGE(INDEX($J$5:$J$34,K343):INDEX($J$5:$J$34,K343+L343-1)),"")</f>
        <v/>
      </c>
      <c r="O343">
        <f>IF(M343=1,IF(N343&lt;=COMBINACIONES_NPH!$B$5,1,0),"")</f>
        <v/>
      </c>
      <c r="P343">
        <f>IF(M343=1,IF(O343=1,-L343,100)+N343+ROW()*0.000000000001,"")</f>
        <v/>
      </c>
    </row>
    <row r="344">
      <c r="K344" t="n">
        <v>17</v>
      </c>
      <c r="L344" t="n">
        <v>14</v>
      </c>
      <c r="M344">
        <f>IF(AND(L344&gt;=COMBINACIONES_NPH!$B$9,K344+L344-1&lt;=$J$2),1,0)</f>
        <v/>
      </c>
      <c r="N344">
        <f>IF(M344=1,_xlfn.STDEV.S(INDEX($J$5:$J$34,K344):INDEX($J$5:$J$34,K344+L344-1))/AVERAGE(INDEX($J$5:$J$34,K344):INDEX($J$5:$J$34,K344+L344-1)),"")</f>
        <v/>
      </c>
      <c r="O344">
        <f>IF(M344=1,IF(N344&lt;=COMBINACIONES_NPH!$B$5,1,0),"")</f>
        <v/>
      </c>
      <c r="P344">
        <f>IF(M344=1,IF(O344=1,-L344,100)+N344+ROW()*0.000000000001,"")</f>
        <v/>
      </c>
    </row>
    <row r="345">
      <c r="K345" t="n">
        <v>18</v>
      </c>
      <c r="L345" t="n">
        <v>3</v>
      </c>
      <c r="M345">
        <f>IF(AND(L345&gt;=COMBINACIONES_NPH!$B$9,K345+L345-1&lt;=$J$2),1,0)</f>
        <v/>
      </c>
      <c r="N345">
        <f>IF(M345=1,_xlfn.STDEV.S(INDEX($J$5:$J$34,K345):INDEX($J$5:$J$34,K345+L345-1))/AVERAGE(INDEX($J$5:$J$34,K345):INDEX($J$5:$J$34,K345+L345-1)),"")</f>
        <v/>
      </c>
      <c r="O345">
        <f>IF(M345=1,IF(N345&lt;=COMBINACIONES_NPH!$B$5,1,0),"")</f>
        <v/>
      </c>
      <c r="P345">
        <f>IF(M345=1,IF(O345=1,-L345,100)+N345+ROW()*0.000000000001,"")</f>
        <v/>
      </c>
    </row>
    <row r="346">
      <c r="K346" t="n">
        <v>18</v>
      </c>
      <c r="L346" t="n">
        <v>4</v>
      </c>
      <c r="M346">
        <f>IF(AND(L346&gt;=COMBINACIONES_NPH!$B$9,K346+L346-1&lt;=$J$2),1,0)</f>
        <v/>
      </c>
      <c r="N346">
        <f>IF(M346=1,_xlfn.STDEV.S(INDEX($J$5:$J$34,K346):INDEX($J$5:$J$34,K346+L346-1))/AVERAGE(INDEX($J$5:$J$34,K346):INDEX($J$5:$J$34,K346+L346-1)),"")</f>
        <v/>
      </c>
      <c r="O346">
        <f>IF(M346=1,IF(N346&lt;=COMBINACIONES_NPH!$B$5,1,0),"")</f>
        <v/>
      </c>
      <c r="P346">
        <f>IF(M346=1,IF(O346=1,-L346,100)+N346+ROW()*0.000000000001,"")</f>
        <v/>
      </c>
    </row>
    <row r="347">
      <c r="K347" t="n">
        <v>18</v>
      </c>
      <c r="L347" t="n">
        <v>5</v>
      </c>
      <c r="M347">
        <f>IF(AND(L347&gt;=COMBINACIONES_NPH!$B$9,K347+L347-1&lt;=$J$2),1,0)</f>
        <v/>
      </c>
      <c r="N347">
        <f>IF(M347=1,_xlfn.STDEV.S(INDEX($J$5:$J$34,K347):INDEX($J$5:$J$34,K347+L347-1))/AVERAGE(INDEX($J$5:$J$34,K347):INDEX($J$5:$J$34,K347+L347-1)),"")</f>
        <v/>
      </c>
      <c r="O347">
        <f>IF(M347=1,IF(N347&lt;=COMBINACIONES_NPH!$B$5,1,0),"")</f>
        <v/>
      </c>
      <c r="P347">
        <f>IF(M347=1,IF(O347=1,-L347,100)+N347+ROW()*0.000000000001,"")</f>
        <v/>
      </c>
    </row>
    <row r="348">
      <c r="K348" t="n">
        <v>18</v>
      </c>
      <c r="L348" t="n">
        <v>6</v>
      </c>
      <c r="M348">
        <f>IF(AND(L348&gt;=COMBINACIONES_NPH!$B$9,K348+L348-1&lt;=$J$2),1,0)</f>
        <v/>
      </c>
      <c r="N348">
        <f>IF(M348=1,_xlfn.STDEV.S(INDEX($J$5:$J$34,K348):INDEX($J$5:$J$34,K348+L348-1))/AVERAGE(INDEX($J$5:$J$34,K348):INDEX($J$5:$J$34,K348+L348-1)),"")</f>
        <v/>
      </c>
      <c r="O348">
        <f>IF(M348=1,IF(N348&lt;=COMBINACIONES_NPH!$B$5,1,0),"")</f>
        <v/>
      </c>
      <c r="P348">
        <f>IF(M348=1,IF(O348=1,-L348,100)+N348+ROW()*0.000000000001,"")</f>
        <v/>
      </c>
    </row>
    <row r="349">
      <c r="K349" t="n">
        <v>18</v>
      </c>
      <c r="L349" t="n">
        <v>7</v>
      </c>
      <c r="M349">
        <f>IF(AND(L349&gt;=COMBINACIONES_NPH!$B$9,K349+L349-1&lt;=$J$2),1,0)</f>
        <v/>
      </c>
      <c r="N349">
        <f>IF(M349=1,_xlfn.STDEV.S(INDEX($J$5:$J$34,K349):INDEX($J$5:$J$34,K349+L349-1))/AVERAGE(INDEX($J$5:$J$34,K349):INDEX($J$5:$J$34,K349+L349-1)),"")</f>
        <v/>
      </c>
      <c r="O349">
        <f>IF(M349=1,IF(N349&lt;=COMBINACIONES_NPH!$B$5,1,0),"")</f>
        <v/>
      </c>
      <c r="P349">
        <f>IF(M349=1,IF(O349=1,-L349,100)+N349+ROW()*0.000000000001,"")</f>
        <v/>
      </c>
    </row>
    <row r="350">
      <c r="K350" t="n">
        <v>18</v>
      </c>
      <c r="L350" t="n">
        <v>8</v>
      </c>
      <c r="M350">
        <f>IF(AND(L350&gt;=COMBINACIONES_NPH!$B$9,K350+L350-1&lt;=$J$2),1,0)</f>
        <v/>
      </c>
      <c r="N350">
        <f>IF(M350=1,_xlfn.STDEV.S(INDEX($J$5:$J$34,K350):INDEX($J$5:$J$34,K350+L350-1))/AVERAGE(INDEX($J$5:$J$34,K350):INDEX($J$5:$J$34,K350+L350-1)),"")</f>
        <v/>
      </c>
      <c r="O350">
        <f>IF(M350=1,IF(N350&lt;=COMBINACIONES_NPH!$B$5,1,0),"")</f>
        <v/>
      </c>
      <c r="P350">
        <f>IF(M350=1,IF(O350=1,-L350,100)+N350+ROW()*0.000000000001,"")</f>
        <v/>
      </c>
    </row>
    <row r="351">
      <c r="K351" t="n">
        <v>18</v>
      </c>
      <c r="L351" t="n">
        <v>9</v>
      </c>
      <c r="M351">
        <f>IF(AND(L351&gt;=COMBINACIONES_NPH!$B$9,K351+L351-1&lt;=$J$2),1,0)</f>
        <v/>
      </c>
      <c r="N351">
        <f>IF(M351=1,_xlfn.STDEV.S(INDEX($J$5:$J$34,K351):INDEX($J$5:$J$34,K351+L351-1))/AVERAGE(INDEX($J$5:$J$34,K351):INDEX($J$5:$J$34,K351+L351-1)),"")</f>
        <v/>
      </c>
      <c r="O351">
        <f>IF(M351=1,IF(N351&lt;=COMBINACIONES_NPH!$B$5,1,0),"")</f>
        <v/>
      </c>
      <c r="P351">
        <f>IF(M351=1,IF(O351=1,-L351,100)+N351+ROW()*0.000000000001,"")</f>
        <v/>
      </c>
    </row>
    <row r="352">
      <c r="K352" t="n">
        <v>18</v>
      </c>
      <c r="L352" t="n">
        <v>10</v>
      </c>
      <c r="M352">
        <f>IF(AND(L352&gt;=COMBINACIONES_NPH!$B$9,K352+L352-1&lt;=$J$2),1,0)</f>
        <v/>
      </c>
      <c r="N352">
        <f>IF(M352=1,_xlfn.STDEV.S(INDEX($J$5:$J$34,K352):INDEX($J$5:$J$34,K352+L352-1))/AVERAGE(INDEX($J$5:$J$34,K352):INDEX($J$5:$J$34,K352+L352-1)),"")</f>
        <v/>
      </c>
      <c r="O352">
        <f>IF(M352=1,IF(N352&lt;=COMBINACIONES_NPH!$B$5,1,0),"")</f>
        <v/>
      </c>
      <c r="P352">
        <f>IF(M352=1,IF(O352=1,-L352,100)+N352+ROW()*0.000000000001,"")</f>
        <v/>
      </c>
    </row>
    <row r="353">
      <c r="K353" t="n">
        <v>18</v>
      </c>
      <c r="L353" t="n">
        <v>11</v>
      </c>
      <c r="M353">
        <f>IF(AND(L353&gt;=COMBINACIONES_NPH!$B$9,K353+L353-1&lt;=$J$2),1,0)</f>
        <v/>
      </c>
      <c r="N353">
        <f>IF(M353=1,_xlfn.STDEV.S(INDEX($J$5:$J$34,K353):INDEX($J$5:$J$34,K353+L353-1))/AVERAGE(INDEX($J$5:$J$34,K353):INDEX($J$5:$J$34,K353+L353-1)),"")</f>
        <v/>
      </c>
      <c r="O353">
        <f>IF(M353=1,IF(N353&lt;=COMBINACIONES_NPH!$B$5,1,0),"")</f>
        <v/>
      </c>
      <c r="P353">
        <f>IF(M353=1,IF(O353=1,-L353,100)+N353+ROW()*0.000000000001,"")</f>
        <v/>
      </c>
    </row>
    <row r="354">
      <c r="K354" t="n">
        <v>18</v>
      </c>
      <c r="L354" t="n">
        <v>12</v>
      </c>
      <c r="M354">
        <f>IF(AND(L354&gt;=COMBINACIONES_NPH!$B$9,K354+L354-1&lt;=$J$2),1,0)</f>
        <v/>
      </c>
      <c r="N354">
        <f>IF(M354=1,_xlfn.STDEV.S(INDEX($J$5:$J$34,K354):INDEX($J$5:$J$34,K354+L354-1))/AVERAGE(INDEX($J$5:$J$34,K354):INDEX($J$5:$J$34,K354+L354-1)),"")</f>
        <v/>
      </c>
      <c r="O354">
        <f>IF(M354=1,IF(N354&lt;=COMBINACIONES_NPH!$B$5,1,0),"")</f>
        <v/>
      </c>
      <c r="P354">
        <f>IF(M354=1,IF(O354=1,-L354,100)+N354+ROW()*0.000000000001,"")</f>
        <v/>
      </c>
    </row>
    <row r="355">
      <c r="K355" t="n">
        <v>18</v>
      </c>
      <c r="L355" t="n">
        <v>13</v>
      </c>
      <c r="M355">
        <f>IF(AND(L355&gt;=COMBINACIONES_NPH!$B$9,K355+L355-1&lt;=$J$2),1,0)</f>
        <v/>
      </c>
      <c r="N355">
        <f>IF(M355=1,_xlfn.STDEV.S(INDEX($J$5:$J$34,K355):INDEX($J$5:$J$34,K355+L355-1))/AVERAGE(INDEX($J$5:$J$34,K355):INDEX($J$5:$J$34,K355+L355-1)),"")</f>
        <v/>
      </c>
      <c r="O355">
        <f>IF(M355=1,IF(N355&lt;=COMBINACIONES_NPH!$B$5,1,0),"")</f>
        <v/>
      </c>
      <c r="P355">
        <f>IF(M355=1,IF(O355=1,-L355,100)+N355+ROW()*0.000000000001,"")</f>
        <v/>
      </c>
    </row>
    <row r="356">
      <c r="K356" t="n">
        <v>19</v>
      </c>
      <c r="L356" t="n">
        <v>3</v>
      </c>
      <c r="M356">
        <f>IF(AND(L356&gt;=COMBINACIONES_NPH!$B$9,K356+L356-1&lt;=$J$2),1,0)</f>
        <v/>
      </c>
      <c r="N356">
        <f>IF(M356=1,_xlfn.STDEV.S(INDEX($J$5:$J$34,K356):INDEX($J$5:$J$34,K356+L356-1))/AVERAGE(INDEX($J$5:$J$34,K356):INDEX($J$5:$J$34,K356+L356-1)),"")</f>
        <v/>
      </c>
      <c r="O356">
        <f>IF(M356=1,IF(N356&lt;=COMBINACIONES_NPH!$B$5,1,0),"")</f>
        <v/>
      </c>
      <c r="P356">
        <f>IF(M356=1,IF(O356=1,-L356,100)+N356+ROW()*0.000000000001,"")</f>
        <v/>
      </c>
    </row>
    <row r="357">
      <c r="K357" t="n">
        <v>19</v>
      </c>
      <c r="L357" t="n">
        <v>4</v>
      </c>
      <c r="M357">
        <f>IF(AND(L357&gt;=COMBINACIONES_NPH!$B$9,K357+L357-1&lt;=$J$2),1,0)</f>
        <v/>
      </c>
      <c r="N357">
        <f>IF(M357=1,_xlfn.STDEV.S(INDEX($J$5:$J$34,K357):INDEX($J$5:$J$34,K357+L357-1))/AVERAGE(INDEX($J$5:$J$34,K357):INDEX($J$5:$J$34,K357+L357-1)),"")</f>
        <v/>
      </c>
      <c r="O357">
        <f>IF(M357=1,IF(N357&lt;=COMBINACIONES_NPH!$B$5,1,0),"")</f>
        <v/>
      </c>
      <c r="P357">
        <f>IF(M357=1,IF(O357=1,-L357,100)+N357+ROW()*0.000000000001,"")</f>
        <v/>
      </c>
    </row>
    <row r="358">
      <c r="K358" t="n">
        <v>19</v>
      </c>
      <c r="L358" t="n">
        <v>5</v>
      </c>
      <c r="M358">
        <f>IF(AND(L358&gt;=COMBINACIONES_NPH!$B$9,K358+L358-1&lt;=$J$2),1,0)</f>
        <v/>
      </c>
      <c r="N358">
        <f>IF(M358=1,_xlfn.STDEV.S(INDEX($J$5:$J$34,K358):INDEX($J$5:$J$34,K358+L358-1))/AVERAGE(INDEX($J$5:$J$34,K358):INDEX($J$5:$J$34,K358+L358-1)),"")</f>
        <v/>
      </c>
      <c r="O358">
        <f>IF(M358=1,IF(N358&lt;=COMBINACIONES_NPH!$B$5,1,0),"")</f>
        <v/>
      </c>
      <c r="P358">
        <f>IF(M358=1,IF(O358=1,-L358,100)+N358+ROW()*0.000000000001,"")</f>
        <v/>
      </c>
    </row>
    <row r="359">
      <c r="K359" t="n">
        <v>19</v>
      </c>
      <c r="L359" t="n">
        <v>6</v>
      </c>
      <c r="M359">
        <f>IF(AND(L359&gt;=COMBINACIONES_NPH!$B$9,K359+L359-1&lt;=$J$2),1,0)</f>
        <v/>
      </c>
      <c r="N359">
        <f>IF(M359=1,_xlfn.STDEV.S(INDEX($J$5:$J$34,K359):INDEX($J$5:$J$34,K359+L359-1))/AVERAGE(INDEX($J$5:$J$34,K359):INDEX($J$5:$J$34,K359+L359-1)),"")</f>
        <v/>
      </c>
      <c r="O359">
        <f>IF(M359=1,IF(N359&lt;=COMBINACIONES_NPH!$B$5,1,0),"")</f>
        <v/>
      </c>
      <c r="P359">
        <f>IF(M359=1,IF(O359=1,-L359,100)+N359+ROW()*0.000000000001,"")</f>
        <v/>
      </c>
    </row>
    <row r="360">
      <c r="K360" t="n">
        <v>19</v>
      </c>
      <c r="L360" t="n">
        <v>7</v>
      </c>
      <c r="M360">
        <f>IF(AND(L360&gt;=COMBINACIONES_NPH!$B$9,K360+L360-1&lt;=$J$2),1,0)</f>
        <v/>
      </c>
      <c r="N360">
        <f>IF(M360=1,_xlfn.STDEV.S(INDEX($J$5:$J$34,K360):INDEX($J$5:$J$34,K360+L360-1))/AVERAGE(INDEX($J$5:$J$34,K360):INDEX($J$5:$J$34,K360+L360-1)),"")</f>
        <v/>
      </c>
      <c r="O360">
        <f>IF(M360=1,IF(N360&lt;=COMBINACIONES_NPH!$B$5,1,0),"")</f>
        <v/>
      </c>
      <c r="P360">
        <f>IF(M360=1,IF(O360=1,-L360,100)+N360+ROW()*0.000000000001,"")</f>
        <v/>
      </c>
    </row>
    <row r="361">
      <c r="K361" t="n">
        <v>19</v>
      </c>
      <c r="L361" t="n">
        <v>8</v>
      </c>
      <c r="M361">
        <f>IF(AND(L361&gt;=COMBINACIONES_NPH!$B$9,K361+L361-1&lt;=$J$2),1,0)</f>
        <v/>
      </c>
      <c r="N361">
        <f>IF(M361=1,_xlfn.STDEV.S(INDEX($J$5:$J$34,K361):INDEX($J$5:$J$34,K361+L361-1))/AVERAGE(INDEX($J$5:$J$34,K361):INDEX($J$5:$J$34,K361+L361-1)),"")</f>
        <v/>
      </c>
      <c r="O361">
        <f>IF(M361=1,IF(N361&lt;=COMBINACIONES_NPH!$B$5,1,0),"")</f>
        <v/>
      </c>
      <c r="P361">
        <f>IF(M361=1,IF(O361=1,-L361,100)+N361+ROW()*0.000000000001,"")</f>
        <v/>
      </c>
    </row>
    <row r="362">
      <c r="K362" t="n">
        <v>19</v>
      </c>
      <c r="L362" t="n">
        <v>9</v>
      </c>
      <c r="M362">
        <f>IF(AND(L362&gt;=COMBINACIONES_NPH!$B$9,K362+L362-1&lt;=$J$2),1,0)</f>
        <v/>
      </c>
      <c r="N362">
        <f>IF(M362=1,_xlfn.STDEV.S(INDEX($J$5:$J$34,K362):INDEX($J$5:$J$34,K362+L362-1))/AVERAGE(INDEX($J$5:$J$34,K362):INDEX($J$5:$J$34,K362+L362-1)),"")</f>
        <v/>
      </c>
      <c r="O362">
        <f>IF(M362=1,IF(N362&lt;=COMBINACIONES_NPH!$B$5,1,0),"")</f>
        <v/>
      </c>
      <c r="P362">
        <f>IF(M362=1,IF(O362=1,-L362,100)+N362+ROW()*0.000000000001,"")</f>
        <v/>
      </c>
    </row>
    <row r="363">
      <c r="K363" t="n">
        <v>19</v>
      </c>
      <c r="L363" t="n">
        <v>10</v>
      </c>
      <c r="M363">
        <f>IF(AND(L363&gt;=COMBINACIONES_NPH!$B$9,K363+L363-1&lt;=$J$2),1,0)</f>
        <v/>
      </c>
      <c r="N363">
        <f>IF(M363=1,_xlfn.STDEV.S(INDEX($J$5:$J$34,K363):INDEX($J$5:$J$34,K363+L363-1))/AVERAGE(INDEX($J$5:$J$34,K363):INDEX($J$5:$J$34,K363+L363-1)),"")</f>
        <v/>
      </c>
      <c r="O363">
        <f>IF(M363=1,IF(N363&lt;=COMBINACIONES_NPH!$B$5,1,0),"")</f>
        <v/>
      </c>
      <c r="P363">
        <f>IF(M363=1,IF(O363=1,-L363,100)+N363+ROW()*0.000000000001,"")</f>
        <v/>
      </c>
    </row>
    <row r="364">
      <c r="K364" t="n">
        <v>19</v>
      </c>
      <c r="L364" t="n">
        <v>11</v>
      </c>
      <c r="M364">
        <f>IF(AND(L364&gt;=COMBINACIONES_NPH!$B$9,K364+L364-1&lt;=$J$2),1,0)</f>
        <v/>
      </c>
      <c r="N364">
        <f>IF(M364=1,_xlfn.STDEV.S(INDEX($J$5:$J$34,K364):INDEX($J$5:$J$34,K364+L364-1))/AVERAGE(INDEX($J$5:$J$34,K364):INDEX($J$5:$J$34,K364+L364-1)),"")</f>
        <v/>
      </c>
      <c r="O364">
        <f>IF(M364=1,IF(N364&lt;=COMBINACIONES_NPH!$B$5,1,0),"")</f>
        <v/>
      </c>
      <c r="P364">
        <f>IF(M364=1,IF(O364=1,-L364,100)+N364+ROW()*0.000000000001,"")</f>
        <v/>
      </c>
    </row>
    <row r="365">
      <c r="K365" t="n">
        <v>19</v>
      </c>
      <c r="L365" t="n">
        <v>12</v>
      </c>
      <c r="M365">
        <f>IF(AND(L365&gt;=COMBINACIONES_NPH!$B$9,K365+L365-1&lt;=$J$2),1,0)</f>
        <v/>
      </c>
      <c r="N365">
        <f>IF(M365=1,_xlfn.STDEV.S(INDEX($J$5:$J$34,K365):INDEX($J$5:$J$34,K365+L365-1))/AVERAGE(INDEX($J$5:$J$34,K365):INDEX($J$5:$J$34,K365+L365-1)),"")</f>
        <v/>
      </c>
      <c r="O365">
        <f>IF(M365=1,IF(N365&lt;=COMBINACIONES_NPH!$B$5,1,0),"")</f>
        <v/>
      </c>
      <c r="P365">
        <f>IF(M365=1,IF(O365=1,-L365,100)+N365+ROW()*0.000000000001,"")</f>
        <v/>
      </c>
    </row>
    <row r="366">
      <c r="K366" t="n">
        <v>20</v>
      </c>
      <c r="L366" t="n">
        <v>3</v>
      </c>
      <c r="M366">
        <f>IF(AND(L366&gt;=COMBINACIONES_NPH!$B$9,K366+L366-1&lt;=$J$2),1,0)</f>
        <v/>
      </c>
      <c r="N366">
        <f>IF(M366=1,_xlfn.STDEV.S(INDEX($J$5:$J$34,K366):INDEX($J$5:$J$34,K366+L366-1))/AVERAGE(INDEX($J$5:$J$34,K366):INDEX($J$5:$J$34,K366+L366-1)),"")</f>
        <v/>
      </c>
      <c r="O366">
        <f>IF(M366=1,IF(N366&lt;=COMBINACIONES_NPH!$B$5,1,0),"")</f>
        <v/>
      </c>
      <c r="P366">
        <f>IF(M366=1,IF(O366=1,-L366,100)+N366+ROW()*0.000000000001,"")</f>
        <v/>
      </c>
    </row>
    <row r="367">
      <c r="K367" t="n">
        <v>20</v>
      </c>
      <c r="L367" t="n">
        <v>4</v>
      </c>
      <c r="M367">
        <f>IF(AND(L367&gt;=COMBINACIONES_NPH!$B$9,K367+L367-1&lt;=$J$2),1,0)</f>
        <v/>
      </c>
      <c r="N367">
        <f>IF(M367=1,_xlfn.STDEV.S(INDEX($J$5:$J$34,K367):INDEX($J$5:$J$34,K367+L367-1))/AVERAGE(INDEX($J$5:$J$34,K367):INDEX($J$5:$J$34,K367+L367-1)),"")</f>
        <v/>
      </c>
      <c r="O367">
        <f>IF(M367=1,IF(N367&lt;=COMBINACIONES_NPH!$B$5,1,0),"")</f>
        <v/>
      </c>
      <c r="P367">
        <f>IF(M367=1,IF(O367=1,-L367,100)+N367+ROW()*0.000000000001,"")</f>
        <v/>
      </c>
    </row>
    <row r="368">
      <c r="K368" t="n">
        <v>20</v>
      </c>
      <c r="L368" t="n">
        <v>5</v>
      </c>
      <c r="M368">
        <f>IF(AND(L368&gt;=COMBINACIONES_NPH!$B$9,K368+L368-1&lt;=$J$2),1,0)</f>
        <v/>
      </c>
      <c r="N368">
        <f>IF(M368=1,_xlfn.STDEV.S(INDEX($J$5:$J$34,K368):INDEX($J$5:$J$34,K368+L368-1))/AVERAGE(INDEX($J$5:$J$34,K368):INDEX($J$5:$J$34,K368+L368-1)),"")</f>
        <v/>
      </c>
      <c r="O368">
        <f>IF(M368=1,IF(N368&lt;=COMBINACIONES_NPH!$B$5,1,0),"")</f>
        <v/>
      </c>
      <c r="P368">
        <f>IF(M368=1,IF(O368=1,-L368,100)+N368+ROW()*0.000000000001,"")</f>
        <v/>
      </c>
    </row>
    <row r="369">
      <c r="K369" t="n">
        <v>20</v>
      </c>
      <c r="L369" t="n">
        <v>6</v>
      </c>
      <c r="M369">
        <f>IF(AND(L369&gt;=COMBINACIONES_NPH!$B$9,K369+L369-1&lt;=$J$2),1,0)</f>
        <v/>
      </c>
      <c r="N369">
        <f>IF(M369=1,_xlfn.STDEV.S(INDEX($J$5:$J$34,K369):INDEX($J$5:$J$34,K369+L369-1))/AVERAGE(INDEX($J$5:$J$34,K369):INDEX($J$5:$J$34,K369+L369-1)),"")</f>
        <v/>
      </c>
      <c r="O369">
        <f>IF(M369=1,IF(N369&lt;=COMBINACIONES_NPH!$B$5,1,0),"")</f>
        <v/>
      </c>
      <c r="P369">
        <f>IF(M369=1,IF(O369=1,-L369,100)+N369+ROW()*0.000000000001,"")</f>
        <v/>
      </c>
    </row>
    <row r="370">
      <c r="K370" t="n">
        <v>20</v>
      </c>
      <c r="L370" t="n">
        <v>7</v>
      </c>
      <c r="M370">
        <f>IF(AND(L370&gt;=COMBINACIONES_NPH!$B$9,K370+L370-1&lt;=$J$2),1,0)</f>
        <v/>
      </c>
      <c r="N370">
        <f>IF(M370=1,_xlfn.STDEV.S(INDEX($J$5:$J$34,K370):INDEX($J$5:$J$34,K370+L370-1))/AVERAGE(INDEX($J$5:$J$34,K370):INDEX($J$5:$J$34,K370+L370-1)),"")</f>
        <v/>
      </c>
      <c r="O370">
        <f>IF(M370=1,IF(N370&lt;=COMBINACIONES_NPH!$B$5,1,0),"")</f>
        <v/>
      </c>
      <c r="P370">
        <f>IF(M370=1,IF(O370=1,-L370,100)+N370+ROW()*0.000000000001,"")</f>
        <v/>
      </c>
    </row>
    <row r="371">
      <c r="K371" t="n">
        <v>20</v>
      </c>
      <c r="L371" t="n">
        <v>8</v>
      </c>
      <c r="M371">
        <f>IF(AND(L371&gt;=COMBINACIONES_NPH!$B$9,K371+L371-1&lt;=$J$2),1,0)</f>
        <v/>
      </c>
      <c r="N371">
        <f>IF(M371=1,_xlfn.STDEV.S(INDEX($J$5:$J$34,K371):INDEX($J$5:$J$34,K371+L371-1))/AVERAGE(INDEX($J$5:$J$34,K371):INDEX($J$5:$J$34,K371+L371-1)),"")</f>
        <v/>
      </c>
      <c r="O371">
        <f>IF(M371=1,IF(N371&lt;=COMBINACIONES_NPH!$B$5,1,0),"")</f>
        <v/>
      </c>
      <c r="P371">
        <f>IF(M371=1,IF(O371=1,-L371,100)+N371+ROW()*0.000000000001,"")</f>
        <v/>
      </c>
    </row>
    <row r="372">
      <c r="K372" t="n">
        <v>20</v>
      </c>
      <c r="L372" t="n">
        <v>9</v>
      </c>
      <c r="M372">
        <f>IF(AND(L372&gt;=COMBINACIONES_NPH!$B$9,K372+L372-1&lt;=$J$2),1,0)</f>
        <v/>
      </c>
      <c r="N372">
        <f>IF(M372=1,_xlfn.STDEV.S(INDEX($J$5:$J$34,K372):INDEX($J$5:$J$34,K372+L372-1))/AVERAGE(INDEX($J$5:$J$34,K372):INDEX($J$5:$J$34,K372+L372-1)),"")</f>
        <v/>
      </c>
      <c r="O372">
        <f>IF(M372=1,IF(N372&lt;=COMBINACIONES_NPH!$B$5,1,0),"")</f>
        <v/>
      </c>
      <c r="P372">
        <f>IF(M372=1,IF(O372=1,-L372,100)+N372+ROW()*0.000000000001,"")</f>
        <v/>
      </c>
    </row>
    <row r="373">
      <c r="K373" t="n">
        <v>20</v>
      </c>
      <c r="L373" t="n">
        <v>10</v>
      </c>
      <c r="M373">
        <f>IF(AND(L373&gt;=COMBINACIONES_NPH!$B$9,K373+L373-1&lt;=$J$2),1,0)</f>
        <v/>
      </c>
      <c r="N373">
        <f>IF(M373=1,_xlfn.STDEV.S(INDEX($J$5:$J$34,K373):INDEX($J$5:$J$34,K373+L373-1))/AVERAGE(INDEX($J$5:$J$34,K373):INDEX($J$5:$J$34,K373+L373-1)),"")</f>
        <v/>
      </c>
      <c r="O373">
        <f>IF(M373=1,IF(N373&lt;=COMBINACIONES_NPH!$B$5,1,0),"")</f>
        <v/>
      </c>
      <c r="P373">
        <f>IF(M373=1,IF(O373=1,-L373,100)+N373+ROW()*0.000000000001,"")</f>
        <v/>
      </c>
    </row>
    <row r="374">
      <c r="K374" t="n">
        <v>20</v>
      </c>
      <c r="L374" t="n">
        <v>11</v>
      </c>
      <c r="M374">
        <f>IF(AND(L374&gt;=COMBINACIONES_NPH!$B$9,K374+L374-1&lt;=$J$2),1,0)</f>
        <v/>
      </c>
      <c r="N374">
        <f>IF(M374=1,_xlfn.STDEV.S(INDEX($J$5:$J$34,K374):INDEX($J$5:$J$34,K374+L374-1))/AVERAGE(INDEX($J$5:$J$34,K374):INDEX($J$5:$J$34,K374+L374-1)),"")</f>
        <v/>
      </c>
      <c r="O374">
        <f>IF(M374=1,IF(N374&lt;=COMBINACIONES_NPH!$B$5,1,0),"")</f>
        <v/>
      </c>
      <c r="P374">
        <f>IF(M374=1,IF(O374=1,-L374,100)+N374+ROW()*0.000000000001,"")</f>
        <v/>
      </c>
    </row>
    <row r="375">
      <c r="K375" t="n">
        <v>21</v>
      </c>
      <c r="L375" t="n">
        <v>3</v>
      </c>
      <c r="M375">
        <f>IF(AND(L375&gt;=COMBINACIONES_NPH!$B$9,K375+L375-1&lt;=$J$2),1,0)</f>
        <v/>
      </c>
      <c r="N375">
        <f>IF(M375=1,_xlfn.STDEV.S(INDEX($J$5:$J$34,K375):INDEX($J$5:$J$34,K375+L375-1))/AVERAGE(INDEX($J$5:$J$34,K375):INDEX($J$5:$J$34,K375+L375-1)),"")</f>
        <v/>
      </c>
      <c r="O375">
        <f>IF(M375=1,IF(N375&lt;=COMBINACIONES_NPH!$B$5,1,0),"")</f>
        <v/>
      </c>
      <c r="P375">
        <f>IF(M375=1,IF(O375=1,-L375,100)+N375+ROW()*0.000000000001,"")</f>
        <v/>
      </c>
    </row>
    <row r="376">
      <c r="K376" t="n">
        <v>21</v>
      </c>
      <c r="L376" t="n">
        <v>4</v>
      </c>
      <c r="M376">
        <f>IF(AND(L376&gt;=COMBINACIONES_NPH!$B$9,K376+L376-1&lt;=$J$2),1,0)</f>
        <v/>
      </c>
      <c r="N376">
        <f>IF(M376=1,_xlfn.STDEV.S(INDEX($J$5:$J$34,K376):INDEX($J$5:$J$34,K376+L376-1))/AVERAGE(INDEX($J$5:$J$34,K376):INDEX($J$5:$J$34,K376+L376-1)),"")</f>
        <v/>
      </c>
      <c r="O376">
        <f>IF(M376=1,IF(N376&lt;=COMBINACIONES_NPH!$B$5,1,0),"")</f>
        <v/>
      </c>
      <c r="P376">
        <f>IF(M376=1,IF(O376=1,-L376,100)+N376+ROW()*0.000000000001,"")</f>
        <v/>
      </c>
    </row>
    <row r="377">
      <c r="K377" t="n">
        <v>21</v>
      </c>
      <c r="L377" t="n">
        <v>5</v>
      </c>
      <c r="M377">
        <f>IF(AND(L377&gt;=COMBINACIONES_NPH!$B$9,K377+L377-1&lt;=$J$2),1,0)</f>
        <v/>
      </c>
      <c r="N377">
        <f>IF(M377=1,_xlfn.STDEV.S(INDEX($J$5:$J$34,K377):INDEX($J$5:$J$34,K377+L377-1))/AVERAGE(INDEX($J$5:$J$34,K377):INDEX($J$5:$J$34,K377+L377-1)),"")</f>
        <v/>
      </c>
      <c r="O377">
        <f>IF(M377=1,IF(N377&lt;=COMBINACIONES_NPH!$B$5,1,0),"")</f>
        <v/>
      </c>
      <c r="P377">
        <f>IF(M377=1,IF(O377=1,-L377,100)+N377+ROW()*0.000000000001,"")</f>
        <v/>
      </c>
    </row>
    <row r="378">
      <c r="K378" t="n">
        <v>21</v>
      </c>
      <c r="L378" t="n">
        <v>6</v>
      </c>
      <c r="M378">
        <f>IF(AND(L378&gt;=COMBINACIONES_NPH!$B$9,K378+L378-1&lt;=$J$2),1,0)</f>
        <v/>
      </c>
      <c r="N378">
        <f>IF(M378=1,_xlfn.STDEV.S(INDEX($J$5:$J$34,K378):INDEX($J$5:$J$34,K378+L378-1))/AVERAGE(INDEX($J$5:$J$34,K378):INDEX($J$5:$J$34,K378+L378-1)),"")</f>
        <v/>
      </c>
      <c r="O378">
        <f>IF(M378=1,IF(N378&lt;=COMBINACIONES_NPH!$B$5,1,0),"")</f>
        <v/>
      </c>
      <c r="P378">
        <f>IF(M378=1,IF(O378=1,-L378,100)+N378+ROW()*0.000000000001,"")</f>
        <v/>
      </c>
    </row>
    <row r="379">
      <c r="K379" t="n">
        <v>21</v>
      </c>
      <c r="L379" t="n">
        <v>7</v>
      </c>
      <c r="M379">
        <f>IF(AND(L379&gt;=COMBINACIONES_NPH!$B$9,K379+L379-1&lt;=$J$2),1,0)</f>
        <v/>
      </c>
      <c r="N379">
        <f>IF(M379=1,_xlfn.STDEV.S(INDEX($J$5:$J$34,K379):INDEX($J$5:$J$34,K379+L379-1))/AVERAGE(INDEX($J$5:$J$34,K379):INDEX($J$5:$J$34,K379+L379-1)),"")</f>
        <v/>
      </c>
      <c r="O379">
        <f>IF(M379=1,IF(N379&lt;=COMBINACIONES_NPH!$B$5,1,0),"")</f>
        <v/>
      </c>
      <c r="P379">
        <f>IF(M379=1,IF(O379=1,-L379,100)+N379+ROW()*0.000000000001,"")</f>
        <v/>
      </c>
    </row>
    <row r="380">
      <c r="K380" t="n">
        <v>21</v>
      </c>
      <c r="L380" t="n">
        <v>8</v>
      </c>
      <c r="M380">
        <f>IF(AND(L380&gt;=COMBINACIONES_NPH!$B$9,K380+L380-1&lt;=$J$2),1,0)</f>
        <v/>
      </c>
      <c r="N380">
        <f>IF(M380=1,_xlfn.STDEV.S(INDEX($J$5:$J$34,K380):INDEX($J$5:$J$34,K380+L380-1))/AVERAGE(INDEX($J$5:$J$34,K380):INDEX($J$5:$J$34,K380+L380-1)),"")</f>
        <v/>
      </c>
      <c r="O380">
        <f>IF(M380=1,IF(N380&lt;=COMBINACIONES_NPH!$B$5,1,0),"")</f>
        <v/>
      </c>
      <c r="P380">
        <f>IF(M380=1,IF(O380=1,-L380,100)+N380+ROW()*0.000000000001,"")</f>
        <v/>
      </c>
    </row>
    <row r="381">
      <c r="K381" t="n">
        <v>21</v>
      </c>
      <c r="L381" t="n">
        <v>9</v>
      </c>
      <c r="M381">
        <f>IF(AND(L381&gt;=COMBINACIONES_NPH!$B$9,K381+L381-1&lt;=$J$2),1,0)</f>
        <v/>
      </c>
      <c r="N381">
        <f>IF(M381=1,_xlfn.STDEV.S(INDEX($J$5:$J$34,K381):INDEX($J$5:$J$34,K381+L381-1))/AVERAGE(INDEX($J$5:$J$34,K381):INDEX($J$5:$J$34,K381+L381-1)),"")</f>
        <v/>
      </c>
      <c r="O381">
        <f>IF(M381=1,IF(N381&lt;=COMBINACIONES_NPH!$B$5,1,0),"")</f>
        <v/>
      </c>
      <c r="P381">
        <f>IF(M381=1,IF(O381=1,-L381,100)+N381+ROW()*0.000000000001,"")</f>
        <v/>
      </c>
    </row>
    <row r="382">
      <c r="K382" t="n">
        <v>21</v>
      </c>
      <c r="L382" t="n">
        <v>10</v>
      </c>
      <c r="M382">
        <f>IF(AND(L382&gt;=COMBINACIONES_NPH!$B$9,K382+L382-1&lt;=$J$2),1,0)</f>
        <v/>
      </c>
      <c r="N382">
        <f>IF(M382=1,_xlfn.STDEV.S(INDEX($J$5:$J$34,K382):INDEX($J$5:$J$34,K382+L382-1))/AVERAGE(INDEX($J$5:$J$34,K382):INDEX($J$5:$J$34,K382+L382-1)),"")</f>
        <v/>
      </c>
      <c r="O382">
        <f>IF(M382=1,IF(N382&lt;=COMBINACIONES_NPH!$B$5,1,0),"")</f>
        <v/>
      </c>
      <c r="P382">
        <f>IF(M382=1,IF(O382=1,-L382,100)+N382+ROW()*0.000000000001,"")</f>
        <v/>
      </c>
    </row>
    <row r="383">
      <c r="K383" t="n">
        <v>22</v>
      </c>
      <c r="L383" t="n">
        <v>3</v>
      </c>
      <c r="M383">
        <f>IF(AND(L383&gt;=COMBINACIONES_NPH!$B$9,K383+L383-1&lt;=$J$2),1,0)</f>
        <v/>
      </c>
      <c r="N383">
        <f>IF(M383=1,_xlfn.STDEV.S(INDEX($J$5:$J$34,K383):INDEX($J$5:$J$34,K383+L383-1))/AVERAGE(INDEX($J$5:$J$34,K383):INDEX($J$5:$J$34,K383+L383-1)),"")</f>
        <v/>
      </c>
      <c r="O383">
        <f>IF(M383=1,IF(N383&lt;=COMBINACIONES_NPH!$B$5,1,0),"")</f>
        <v/>
      </c>
      <c r="P383">
        <f>IF(M383=1,IF(O383=1,-L383,100)+N383+ROW()*0.000000000001,"")</f>
        <v/>
      </c>
    </row>
    <row r="384">
      <c r="K384" t="n">
        <v>22</v>
      </c>
      <c r="L384" t="n">
        <v>4</v>
      </c>
      <c r="M384">
        <f>IF(AND(L384&gt;=COMBINACIONES_NPH!$B$9,K384+L384-1&lt;=$J$2),1,0)</f>
        <v/>
      </c>
      <c r="N384">
        <f>IF(M384=1,_xlfn.STDEV.S(INDEX($J$5:$J$34,K384):INDEX($J$5:$J$34,K384+L384-1))/AVERAGE(INDEX($J$5:$J$34,K384):INDEX($J$5:$J$34,K384+L384-1)),"")</f>
        <v/>
      </c>
      <c r="O384">
        <f>IF(M384=1,IF(N384&lt;=COMBINACIONES_NPH!$B$5,1,0),"")</f>
        <v/>
      </c>
      <c r="P384">
        <f>IF(M384=1,IF(O384=1,-L384,100)+N384+ROW()*0.000000000001,"")</f>
        <v/>
      </c>
    </row>
    <row r="385">
      <c r="K385" t="n">
        <v>22</v>
      </c>
      <c r="L385" t="n">
        <v>5</v>
      </c>
      <c r="M385">
        <f>IF(AND(L385&gt;=COMBINACIONES_NPH!$B$9,K385+L385-1&lt;=$J$2),1,0)</f>
        <v/>
      </c>
      <c r="N385">
        <f>IF(M385=1,_xlfn.STDEV.S(INDEX($J$5:$J$34,K385):INDEX($J$5:$J$34,K385+L385-1))/AVERAGE(INDEX($J$5:$J$34,K385):INDEX($J$5:$J$34,K385+L385-1)),"")</f>
        <v/>
      </c>
      <c r="O385">
        <f>IF(M385=1,IF(N385&lt;=COMBINACIONES_NPH!$B$5,1,0),"")</f>
        <v/>
      </c>
      <c r="P385">
        <f>IF(M385=1,IF(O385=1,-L385,100)+N385+ROW()*0.000000000001,"")</f>
        <v/>
      </c>
    </row>
    <row r="386">
      <c r="K386" t="n">
        <v>22</v>
      </c>
      <c r="L386" t="n">
        <v>6</v>
      </c>
      <c r="M386">
        <f>IF(AND(L386&gt;=COMBINACIONES_NPH!$B$9,K386+L386-1&lt;=$J$2),1,0)</f>
        <v/>
      </c>
      <c r="N386">
        <f>IF(M386=1,_xlfn.STDEV.S(INDEX($J$5:$J$34,K386):INDEX($J$5:$J$34,K386+L386-1))/AVERAGE(INDEX($J$5:$J$34,K386):INDEX($J$5:$J$34,K386+L386-1)),"")</f>
        <v/>
      </c>
      <c r="O386">
        <f>IF(M386=1,IF(N386&lt;=COMBINACIONES_NPH!$B$5,1,0),"")</f>
        <v/>
      </c>
      <c r="P386">
        <f>IF(M386=1,IF(O386=1,-L386,100)+N386+ROW()*0.000000000001,"")</f>
        <v/>
      </c>
    </row>
    <row r="387">
      <c r="K387" t="n">
        <v>22</v>
      </c>
      <c r="L387" t="n">
        <v>7</v>
      </c>
      <c r="M387">
        <f>IF(AND(L387&gt;=COMBINACIONES_NPH!$B$9,K387+L387-1&lt;=$J$2),1,0)</f>
        <v/>
      </c>
      <c r="N387">
        <f>IF(M387=1,_xlfn.STDEV.S(INDEX($J$5:$J$34,K387):INDEX($J$5:$J$34,K387+L387-1))/AVERAGE(INDEX($J$5:$J$34,K387):INDEX($J$5:$J$34,K387+L387-1)),"")</f>
        <v/>
      </c>
      <c r="O387">
        <f>IF(M387=1,IF(N387&lt;=COMBINACIONES_NPH!$B$5,1,0),"")</f>
        <v/>
      </c>
      <c r="P387">
        <f>IF(M387=1,IF(O387=1,-L387,100)+N387+ROW()*0.000000000001,"")</f>
        <v/>
      </c>
    </row>
    <row r="388">
      <c r="K388" t="n">
        <v>22</v>
      </c>
      <c r="L388" t="n">
        <v>8</v>
      </c>
      <c r="M388">
        <f>IF(AND(L388&gt;=COMBINACIONES_NPH!$B$9,K388+L388-1&lt;=$J$2),1,0)</f>
        <v/>
      </c>
      <c r="N388">
        <f>IF(M388=1,_xlfn.STDEV.S(INDEX($J$5:$J$34,K388):INDEX($J$5:$J$34,K388+L388-1))/AVERAGE(INDEX($J$5:$J$34,K388):INDEX($J$5:$J$34,K388+L388-1)),"")</f>
        <v/>
      </c>
      <c r="O388">
        <f>IF(M388=1,IF(N388&lt;=COMBINACIONES_NPH!$B$5,1,0),"")</f>
        <v/>
      </c>
      <c r="P388">
        <f>IF(M388=1,IF(O388=1,-L388,100)+N388+ROW()*0.000000000001,"")</f>
        <v/>
      </c>
    </row>
    <row r="389">
      <c r="K389" t="n">
        <v>22</v>
      </c>
      <c r="L389" t="n">
        <v>9</v>
      </c>
      <c r="M389">
        <f>IF(AND(L389&gt;=COMBINACIONES_NPH!$B$9,K389+L389-1&lt;=$J$2),1,0)</f>
        <v/>
      </c>
      <c r="N389">
        <f>IF(M389=1,_xlfn.STDEV.S(INDEX($J$5:$J$34,K389):INDEX($J$5:$J$34,K389+L389-1))/AVERAGE(INDEX($J$5:$J$34,K389):INDEX($J$5:$J$34,K389+L389-1)),"")</f>
        <v/>
      </c>
      <c r="O389">
        <f>IF(M389=1,IF(N389&lt;=COMBINACIONES_NPH!$B$5,1,0),"")</f>
        <v/>
      </c>
      <c r="P389">
        <f>IF(M389=1,IF(O389=1,-L389,100)+N389+ROW()*0.000000000001,"")</f>
        <v/>
      </c>
    </row>
    <row r="390">
      <c r="K390" t="n">
        <v>23</v>
      </c>
      <c r="L390" t="n">
        <v>3</v>
      </c>
      <c r="M390">
        <f>IF(AND(L390&gt;=COMBINACIONES_NPH!$B$9,K390+L390-1&lt;=$J$2),1,0)</f>
        <v/>
      </c>
      <c r="N390">
        <f>IF(M390=1,_xlfn.STDEV.S(INDEX($J$5:$J$34,K390):INDEX($J$5:$J$34,K390+L390-1))/AVERAGE(INDEX($J$5:$J$34,K390):INDEX($J$5:$J$34,K390+L390-1)),"")</f>
        <v/>
      </c>
      <c r="O390">
        <f>IF(M390=1,IF(N390&lt;=COMBINACIONES_NPH!$B$5,1,0),"")</f>
        <v/>
      </c>
      <c r="P390">
        <f>IF(M390=1,IF(O390=1,-L390,100)+N390+ROW()*0.000000000001,"")</f>
        <v/>
      </c>
    </row>
    <row r="391">
      <c r="K391" t="n">
        <v>23</v>
      </c>
      <c r="L391" t="n">
        <v>4</v>
      </c>
      <c r="M391">
        <f>IF(AND(L391&gt;=COMBINACIONES_NPH!$B$9,K391+L391-1&lt;=$J$2),1,0)</f>
        <v/>
      </c>
      <c r="N391">
        <f>IF(M391=1,_xlfn.STDEV.S(INDEX($J$5:$J$34,K391):INDEX($J$5:$J$34,K391+L391-1))/AVERAGE(INDEX($J$5:$J$34,K391):INDEX($J$5:$J$34,K391+L391-1)),"")</f>
        <v/>
      </c>
      <c r="O391">
        <f>IF(M391=1,IF(N391&lt;=COMBINACIONES_NPH!$B$5,1,0),"")</f>
        <v/>
      </c>
      <c r="P391">
        <f>IF(M391=1,IF(O391=1,-L391,100)+N391+ROW()*0.000000000001,"")</f>
        <v/>
      </c>
    </row>
    <row r="392">
      <c r="K392" t="n">
        <v>23</v>
      </c>
      <c r="L392" t="n">
        <v>5</v>
      </c>
      <c r="M392">
        <f>IF(AND(L392&gt;=COMBINACIONES_NPH!$B$9,K392+L392-1&lt;=$J$2),1,0)</f>
        <v/>
      </c>
      <c r="N392">
        <f>IF(M392=1,_xlfn.STDEV.S(INDEX($J$5:$J$34,K392):INDEX($J$5:$J$34,K392+L392-1))/AVERAGE(INDEX($J$5:$J$34,K392):INDEX($J$5:$J$34,K392+L392-1)),"")</f>
        <v/>
      </c>
      <c r="O392">
        <f>IF(M392=1,IF(N392&lt;=COMBINACIONES_NPH!$B$5,1,0),"")</f>
        <v/>
      </c>
      <c r="P392">
        <f>IF(M392=1,IF(O392=1,-L392,100)+N392+ROW()*0.000000000001,"")</f>
        <v/>
      </c>
    </row>
    <row r="393">
      <c r="K393" t="n">
        <v>23</v>
      </c>
      <c r="L393" t="n">
        <v>6</v>
      </c>
      <c r="M393">
        <f>IF(AND(L393&gt;=COMBINACIONES_NPH!$B$9,K393+L393-1&lt;=$J$2),1,0)</f>
        <v/>
      </c>
      <c r="N393">
        <f>IF(M393=1,_xlfn.STDEV.S(INDEX($J$5:$J$34,K393):INDEX($J$5:$J$34,K393+L393-1))/AVERAGE(INDEX($J$5:$J$34,K393):INDEX($J$5:$J$34,K393+L393-1)),"")</f>
        <v/>
      </c>
      <c r="O393">
        <f>IF(M393=1,IF(N393&lt;=COMBINACIONES_NPH!$B$5,1,0),"")</f>
        <v/>
      </c>
      <c r="P393">
        <f>IF(M393=1,IF(O393=1,-L393,100)+N393+ROW()*0.000000000001,"")</f>
        <v/>
      </c>
    </row>
    <row r="394">
      <c r="K394" t="n">
        <v>23</v>
      </c>
      <c r="L394" t="n">
        <v>7</v>
      </c>
      <c r="M394">
        <f>IF(AND(L394&gt;=COMBINACIONES_NPH!$B$9,K394+L394-1&lt;=$J$2),1,0)</f>
        <v/>
      </c>
      <c r="N394">
        <f>IF(M394=1,_xlfn.STDEV.S(INDEX($J$5:$J$34,K394):INDEX($J$5:$J$34,K394+L394-1))/AVERAGE(INDEX($J$5:$J$34,K394):INDEX($J$5:$J$34,K394+L394-1)),"")</f>
        <v/>
      </c>
      <c r="O394">
        <f>IF(M394=1,IF(N394&lt;=COMBINACIONES_NPH!$B$5,1,0),"")</f>
        <v/>
      </c>
      <c r="P394">
        <f>IF(M394=1,IF(O394=1,-L394,100)+N394+ROW()*0.000000000001,"")</f>
        <v/>
      </c>
    </row>
    <row r="395">
      <c r="K395" t="n">
        <v>23</v>
      </c>
      <c r="L395" t="n">
        <v>8</v>
      </c>
      <c r="M395">
        <f>IF(AND(L395&gt;=COMBINACIONES_NPH!$B$9,K395+L395-1&lt;=$J$2),1,0)</f>
        <v/>
      </c>
      <c r="N395">
        <f>IF(M395=1,_xlfn.STDEV.S(INDEX($J$5:$J$34,K395):INDEX($J$5:$J$34,K395+L395-1))/AVERAGE(INDEX($J$5:$J$34,K395):INDEX($J$5:$J$34,K395+L395-1)),"")</f>
        <v/>
      </c>
      <c r="O395">
        <f>IF(M395=1,IF(N395&lt;=COMBINACIONES_NPH!$B$5,1,0),"")</f>
        <v/>
      </c>
      <c r="P395">
        <f>IF(M395=1,IF(O395=1,-L395,100)+N395+ROW()*0.000000000001,"")</f>
        <v/>
      </c>
    </row>
    <row r="396">
      <c r="K396" t="n">
        <v>24</v>
      </c>
      <c r="L396" t="n">
        <v>3</v>
      </c>
      <c r="M396">
        <f>IF(AND(L396&gt;=COMBINACIONES_NPH!$B$9,K396+L396-1&lt;=$J$2),1,0)</f>
        <v/>
      </c>
      <c r="N396">
        <f>IF(M396=1,_xlfn.STDEV.S(INDEX($J$5:$J$34,K396):INDEX($J$5:$J$34,K396+L396-1))/AVERAGE(INDEX($J$5:$J$34,K396):INDEX($J$5:$J$34,K396+L396-1)),"")</f>
        <v/>
      </c>
      <c r="O396">
        <f>IF(M396=1,IF(N396&lt;=COMBINACIONES_NPH!$B$5,1,0),"")</f>
        <v/>
      </c>
      <c r="P396">
        <f>IF(M396=1,IF(O396=1,-L396,100)+N396+ROW()*0.000000000001,"")</f>
        <v/>
      </c>
    </row>
    <row r="397">
      <c r="K397" t="n">
        <v>24</v>
      </c>
      <c r="L397" t="n">
        <v>4</v>
      </c>
      <c r="M397">
        <f>IF(AND(L397&gt;=COMBINACIONES_NPH!$B$9,K397+L397-1&lt;=$J$2),1,0)</f>
        <v/>
      </c>
      <c r="N397">
        <f>IF(M397=1,_xlfn.STDEV.S(INDEX($J$5:$J$34,K397):INDEX($J$5:$J$34,K397+L397-1))/AVERAGE(INDEX($J$5:$J$34,K397):INDEX($J$5:$J$34,K397+L397-1)),"")</f>
        <v/>
      </c>
      <c r="O397">
        <f>IF(M397=1,IF(N397&lt;=COMBINACIONES_NPH!$B$5,1,0),"")</f>
        <v/>
      </c>
      <c r="P397">
        <f>IF(M397=1,IF(O397=1,-L397,100)+N397+ROW()*0.000000000001,"")</f>
        <v/>
      </c>
    </row>
    <row r="398">
      <c r="K398" t="n">
        <v>24</v>
      </c>
      <c r="L398" t="n">
        <v>5</v>
      </c>
      <c r="M398">
        <f>IF(AND(L398&gt;=COMBINACIONES_NPH!$B$9,K398+L398-1&lt;=$J$2),1,0)</f>
        <v/>
      </c>
      <c r="N398">
        <f>IF(M398=1,_xlfn.STDEV.S(INDEX($J$5:$J$34,K398):INDEX($J$5:$J$34,K398+L398-1))/AVERAGE(INDEX($J$5:$J$34,K398):INDEX($J$5:$J$34,K398+L398-1)),"")</f>
        <v/>
      </c>
      <c r="O398">
        <f>IF(M398=1,IF(N398&lt;=COMBINACIONES_NPH!$B$5,1,0),"")</f>
        <v/>
      </c>
      <c r="P398">
        <f>IF(M398=1,IF(O398=1,-L398,100)+N398+ROW()*0.000000000001,"")</f>
        <v/>
      </c>
    </row>
    <row r="399">
      <c r="K399" t="n">
        <v>24</v>
      </c>
      <c r="L399" t="n">
        <v>6</v>
      </c>
      <c r="M399">
        <f>IF(AND(L399&gt;=COMBINACIONES_NPH!$B$9,K399+L399-1&lt;=$J$2),1,0)</f>
        <v/>
      </c>
      <c r="N399">
        <f>IF(M399=1,_xlfn.STDEV.S(INDEX($J$5:$J$34,K399):INDEX($J$5:$J$34,K399+L399-1))/AVERAGE(INDEX($J$5:$J$34,K399):INDEX($J$5:$J$34,K399+L399-1)),"")</f>
        <v/>
      </c>
      <c r="O399">
        <f>IF(M399=1,IF(N399&lt;=COMBINACIONES_NPH!$B$5,1,0),"")</f>
        <v/>
      </c>
      <c r="P399">
        <f>IF(M399=1,IF(O399=1,-L399,100)+N399+ROW()*0.000000000001,"")</f>
        <v/>
      </c>
    </row>
    <row r="400">
      <c r="K400" t="n">
        <v>24</v>
      </c>
      <c r="L400" t="n">
        <v>7</v>
      </c>
      <c r="M400">
        <f>IF(AND(L400&gt;=COMBINACIONES_NPH!$B$9,K400+L400-1&lt;=$J$2),1,0)</f>
        <v/>
      </c>
      <c r="N400">
        <f>IF(M400=1,_xlfn.STDEV.S(INDEX($J$5:$J$34,K400):INDEX($J$5:$J$34,K400+L400-1))/AVERAGE(INDEX($J$5:$J$34,K400):INDEX($J$5:$J$34,K400+L400-1)),"")</f>
        <v/>
      </c>
      <c r="O400">
        <f>IF(M400=1,IF(N400&lt;=COMBINACIONES_NPH!$B$5,1,0),"")</f>
        <v/>
      </c>
      <c r="P400">
        <f>IF(M400=1,IF(O400=1,-L400,100)+N400+ROW()*0.000000000001,"")</f>
        <v/>
      </c>
    </row>
    <row r="401">
      <c r="K401" t="n">
        <v>25</v>
      </c>
      <c r="L401" t="n">
        <v>3</v>
      </c>
      <c r="M401">
        <f>IF(AND(L401&gt;=COMBINACIONES_NPH!$B$9,K401+L401-1&lt;=$J$2),1,0)</f>
        <v/>
      </c>
      <c r="N401">
        <f>IF(M401=1,_xlfn.STDEV.S(INDEX($J$5:$J$34,K401):INDEX($J$5:$J$34,K401+L401-1))/AVERAGE(INDEX($J$5:$J$34,K401):INDEX($J$5:$J$34,K401+L401-1)),"")</f>
        <v/>
      </c>
      <c r="O401">
        <f>IF(M401=1,IF(N401&lt;=COMBINACIONES_NPH!$B$5,1,0),"")</f>
        <v/>
      </c>
      <c r="P401">
        <f>IF(M401=1,IF(O401=1,-L401,100)+N401+ROW()*0.000000000001,"")</f>
        <v/>
      </c>
    </row>
    <row r="402">
      <c r="K402" t="n">
        <v>25</v>
      </c>
      <c r="L402" t="n">
        <v>4</v>
      </c>
      <c r="M402">
        <f>IF(AND(L402&gt;=COMBINACIONES_NPH!$B$9,K402+L402-1&lt;=$J$2),1,0)</f>
        <v/>
      </c>
      <c r="N402">
        <f>IF(M402=1,_xlfn.STDEV.S(INDEX($J$5:$J$34,K402):INDEX($J$5:$J$34,K402+L402-1))/AVERAGE(INDEX($J$5:$J$34,K402):INDEX($J$5:$J$34,K402+L402-1)),"")</f>
        <v/>
      </c>
      <c r="O402">
        <f>IF(M402=1,IF(N402&lt;=COMBINACIONES_NPH!$B$5,1,0),"")</f>
        <v/>
      </c>
      <c r="P402">
        <f>IF(M402=1,IF(O402=1,-L402,100)+N402+ROW()*0.000000000001,"")</f>
        <v/>
      </c>
    </row>
    <row r="403">
      <c r="K403" t="n">
        <v>25</v>
      </c>
      <c r="L403" t="n">
        <v>5</v>
      </c>
      <c r="M403">
        <f>IF(AND(L403&gt;=COMBINACIONES_NPH!$B$9,K403+L403-1&lt;=$J$2),1,0)</f>
        <v/>
      </c>
      <c r="N403">
        <f>IF(M403=1,_xlfn.STDEV.S(INDEX($J$5:$J$34,K403):INDEX($J$5:$J$34,K403+L403-1))/AVERAGE(INDEX($J$5:$J$34,K403):INDEX($J$5:$J$34,K403+L403-1)),"")</f>
        <v/>
      </c>
      <c r="O403">
        <f>IF(M403=1,IF(N403&lt;=COMBINACIONES_NPH!$B$5,1,0),"")</f>
        <v/>
      </c>
      <c r="P403">
        <f>IF(M403=1,IF(O403=1,-L403,100)+N403+ROW()*0.000000000001,"")</f>
        <v/>
      </c>
    </row>
    <row r="404">
      <c r="K404" t="n">
        <v>25</v>
      </c>
      <c r="L404" t="n">
        <v>6</v>
      </c>
      <c r="M404">
        <f>IF(AND(L404&gt;=COMBINACIONES_NPH!$B$9,K404+L404-1&lt;=$J$2),1,0)</f>
        <v/>
      </c>
      <c r="N404">
        <f>IF(M404=1,_xlfn.STDEV.S(INDEX($J$5:$J$34,K404):INDEX($J$5:$J$34,K404+L404-1))/AVERAGE(INDEX($J$5:$J$34,K404):INDEX($J$5:$J$34,K404+L404-1)),"")</f>
        <v/>
      </c>
      <c r="O404">
        <f>IF(M404=1,IF(N404&lt;=COMBINACIONES_NPH!$B$5,1,0),"")</f>
        <v/>
      </c>
      <c r="P404">
        <f>IF(M404=1,IF(O404=1,-L404,100)+N404+ROW()*0.000000000001,"")</f>
        <v/>
      </c>
    </row>
    <row r="405">
      <c r="K405" t="n">
        <v>26</v>
      </c>
      <c r="L405" t="n">
        <v>3</v>
      </c>
      <c r="M405">
        <f>IF(AND(L405&gt;=COMBINACIONES_NPH!$B$9,K405+L405-1&lt;=$J$2),1,0)</f>
        <v/>
      </c>
      <c r="N405">
        <f>IF(M405=1,_xlfn.STDEV.S(INDEX($J$5:$J$34,K405):INDEX($J$5:$J$34,K405+L405-1))/AVERAGE(INDEX($J$5:$J$34,K405):INDEX($J$5:$J$34,K405+L405-1)),"")</f>
        <v/>
      </c>
      <c r="O405">
        <f>IF(M405=1,IF(N405&lt;=COMBINACIONES_NPH!$B$5,1,0),"")</f>
        <v/>
      </c>
      <c r="P405">
        <f>IF(M405=1,IF(O405=1,-L405,100)+N405+ROW()*0.000000000001,"")</f>
        <v/>
      </c>
    </row>
    <row r="406">
      <c r="K406" t="n">
        <v>26</v>
      </c>
      <c r="L406" t="n">
        <v>4</v>
      </c>
      <c r="M406">
        <f>IF(AND(L406&gt;=COMBINACIONES_NPH!$B$9,K406+L406-1&lt;=$J$2),1,0)</f>
        <v/>
      </c>
      <c r="N406">
        <f>IF(M406=1,_xlfn.STDEV.S(INDEX($J$5:$J$34,K406):INDEX($J$5:$J$34,K406+L406-1))/AVERAGE(INDEX($J$5:$J$34,K406):INDEX($J$5:$J$34,K406+L406-1)),"")</f>
        <v/>
      </c>
      <c r="O406">
        <f>IF(M406=1,IF(N406&lt;=COMBINACIONES_NPH!$B$5,1,0),"")</f>
        <v/>
      </c>
      <c r="P406">
        <f>IF(M406=1,IF(O406=1,-L406,100)+N406+ROW()*0.000000000001,"")</f>
        <v/>
      </c>
    </row>
    <row r="407">
      <c r="K407" t="n">
        <v>26</v>
      </c>
      <c r="L407" t="n">
        <v>5</v>
      </c>
      <c r="M407">
        <f>IF(AND(L407&gt;=COMBINACIONES_NPH!$B$9,K407+L407-1&lt;=$J$2),1,0)</f>
        <v/>
      </c>
      <c r="N407">
        <f>IF(M407=1,_xlfn.STDEV.S(INDEX($J$5:$J$34,K407):INDEX($J$5:$J$34,K407+L407-1))/AVERAGE(INDEX($J$5:$J$34,K407):INDEX($J$5:$J$34,K407+L407-1)),"")</f>
        <v/>
      </c>
      <c r="O407">
        <f>IF(M407=1,IF(N407&lt;=COMBINACIONES_NPH!$B$5,1,0),"")</f>
        <v/>
      </c>
      <c r="P407">
        <f>IF(M407=1,IF(O407=1,-L407,100)+N407+ROW()*0.000000000001,"")</f>
        <v/>
      </c>
    </row>
    <row r="408">
      <c r="K408" t="n">
        <v>27</v>
      </c>
      <c r="L408" t="n">
        <v>3</v>
      </c>
      <c r="M408">
        <f>IF(AND(L408&gt;=COMBINACIONES_NPH!$B$9,K408+L408-1&lt;=$J$2),1,0)</f>
        <v/>
      </c>
      <c r="N408">
        <f>IF(M408=1,_xlfn.STDEV.S(INDEX($J$5:$J$34,K408):INDEX($J$5:$J$34,K408+L408-1))/AVERAGE(INDEX($J$5:$J$34,K408):INDEX($J$5:$J$34,K408+L408-1)),"")</f>
        <v/>
      </c>
      <c r="O408">
        <f>IF(M408=1,IF(N408&lt;=COMBINACIONES_NPH!$B$5,1,0),"")</f>
        <v/>
      </c>
      <c r="P408">
        <f>IF(M408=1,IF(O408=1,-L408,100)+N408+ROW()*0.000000000001,"")</f>
        <v/>
      </c>
    </row>
    <row r="409">
      <c r="K409" t="n">
        <v>27</v>
      </c>
      <c r="L409" t="n">
        <v>4</v>
      </c>
      <c r="M409">
        <f>IF(AND(L409&gt;=COMBINACIONES_NPH!$B$9,K409+L409-1&lt;=$J$2),1,0)</f>
        <v/>
      </c>
      <c r="N409">
        <f>IF(M409=1,_xlfn.STDEV.S(INDEX($J$5:$J$34,K409):INDEX($J$5:$J$34,K409+L409-1))/AVERAGE(INDEX($J$5:$J$34,K409):INDEX($J$5:$J$34,K409+L409-1)),"")</f>
        <v/>
      </c>
      <c r="O409">
        <f>IF(M409=1,IF(N409&lt;=COMBINACIONES_NPH!$B$5,1,0),"")</f>
        <v/>
      </c>
      <c r="P409">
        <f>IF(M409=1,IF(O409=1,-L409,100)+N409+ROW()*0.000000000001,"")</f>
        <v/>
      </c>
    </row>
    <row r="410">
      <c r="K410" t="n">
        <v>28</v>
      </c>
      <c r="L410" t="n">
        <v>3</v>
      </c>
      <c r="M410">
        <f>IF(AND(L410&gt;=COMBINACIONES_NPH!$B$9,K410+L410-1&lt;=$J$2),1,0)</f>
        <v/>
      </c>
      <c r="N410">
        <f>IF(M410=1,_xlfn.STDEV.S(INDEX($J$5:$J$34,K410):INDEX($J$5:$J$34,K410+L410-1))/AVERAGE(INDEX($J$5:$J$34,K410):INDEX($J$5:$J$34,K410+L410-1)),"")</f>
        <v/>
      </c>
      <c r="O410">
        <f>IF(M410=1,IF(N410&lt;=COMBINACIONES_NPH!$B$5,1,0),"")</f>
        <v/>
      </c>
      <c r="P410">
        <f>IF(M410=1,IF(O410=1,-L410,100)+N410+ROW()*0.000000000001,"")</f>
        <v/>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7030A0"/>
    <outlinePr summaryBelow="1" summaryRight="1"/>
    <pageSetUpPr/>
  </sheetPr>
  <dimension ref="A1:AP56"/>
  <sheetViews>
    <sheetView showGridLines="0" zoomScaleNormal="100" workbookViewId="0">
      <pane xSplit="2" ySplit="8" topLeftCell="C12" activePane="bottomRight" state="frozen"/>
      <selection pane="topRight" activeCell="C1" sqref="C1"/>
      <selection pane="bottomLeft" activeCell="A9" sqref="A9"/>
      <selection pane="bottomRight" activeCell="A1" sqref="A1:C2"/>
    </sheetView>
  </sheetViews>
  <sheetFormatPr baseColWidth="10" defaultColWidth="8.6640625" defaultRowHeight="14.4"/>
  <cols>
    <col width="5" customWidth="1" style="54" min="1" max="1"/>
    <col width="11" customWidth="1" style="54" min="2" max="2"/>
    <col width="12" customWidth="1" style="54" min="3" max="3"/>
    <col width="11" customWidth="1" style="54" min="4" max="5"/>
    <col width="16" customWidth="1" style="54" min="6" max="6"/>
    <col width="20" customWidth="1" style="54" min="7" max="7"/>
    <col width="18" customWidth="1" style="54" min="8" max="8"/>
    <col width="20" customWidth="1" style="54" min="9" max="9"/>
    <col width="15" customWidth="1" style="54" min="10" max="10"/>
    <col width="7" customWidth="1" style="54" min="11" max="11"/>
    <col width="15" customWidth="1" style="54" min="12" max="12"/>
    <col width="11" customWidth="1" style="54" min="13" max="15"/>
    <col width="8" customWidth="1" style="54" min="16" max="16"/>
    <col width="11" customWidth="1" style="54" min="17" max="17"/>
    <col width="10" customWidth="1" style="54" min="18" max="18"/>
    <col width="9" customWidth="1" style="54" min="19" max="19"/>
    <col width="10" customWidth="1" style="54" min="20" max="20"/>
    <col width="13" customWidth="1" style="54" min="21" max="21"/>
    <col width="10" customWidth="1" style="54" min="22" max="23"/>
    <col width="13" customWidth="1" style="54" min="24" max="24"/>
    <col width="14" customWidth="1" style="54" min="25" max="25"/>
    <col width="15" customWidth="1" style="54" min="26" max="27"/>
    <col width="14" customWidth="1" style="54" min="28" max="28"/>
    <col width="6" customWidth="1" style="54" min="29" max="29"/>
    <col width="7" customWidth="1" style="54" min="30" max="31"/>
    <col width="13" customWidth="1" style="54" min="32" max="32"/>
    <col width="32" customWidth="1" style="54" min="33" max="33"/>
    <col width="18" customWidth="1" style="54" min="34" max="34"/>
    <col width="13" customWidth="1" style="54" min="35" max="35"/>
    <col width="30" customWidth="1" style="54" min="36" max="36"/>
    <col width="26" customWidth="1" style="54" min="37" max="37"/>
    <col width="8" customWidth="1" style="54" min="38" max="38"/>
    <col width="14" customWidth="1" style="54" min="39" max="39"/>
    <col width="22" customWidth="1" style="54" min="40" max="40"/>
    <col width="11" customWidth="1" style="54" min="41" max="42"/>
  </cols>
  <sheetData>
    <row r="1" ht="15" customHeight="1" s="54">
      <c r="A1" s="9" t="inlineStr">
        <is>
          <t>LOGO</t>
        </is>
      </c>
      <c r="D1" s="11" t="inlineStr">
        <is>
          <t>ESTUDIO DE MERCADO – INMUEBLES URBANOS SOMETIDOS A PROPIEDAD HORIZONTAL (PH)
Res. IGAC 941 de 2026 – Art. 17, 19 y 21 · Anexo num. 2.1</t>
        </is>
      </c>
      <c r="AN1" s="20" t="inlineStr">
        <is>
          <t>Fecha estudio</t>
        </is>
      </c>
      <c r="AO1" s="8">
        <f>DATOS!$C$12</f>
        <v/>
      </c>
      <c r="AP1" s="188" t="n"/>
    </row>
    <row r="2">
      <c r="AN2" s="20" t="inlineStr">
        <is>
          <t>CV máx. (Art. 21)</t>
        </is>
      </c>
      <c r="AO2" s="7">
        <f>DATOS!$C$16</f>
        <v/>
      </c>
      <c r="AP2" s="188" t="n"/>
    </row>
    <row r="3" ht="15" customHeight="1" s="54">
      <c r="A3" s="6" t="inlineStr">
        <is>
          <t>SOLICITANTE</t>
        </is>
      </c>
      <c r="B3" s="188" t="n"/>
      <c r="C3" s="188" t="n"/>
      <c r="D3" s="5">
        <f>DATOS!C4</f>
        <v/>
      </c>
      <c r="E3" s="188" t="n"/>
      <c r="F3" s="188" t="n"/>
      <c r="G3" s="188" t="n"/>
      <c r="H3" s="188" t="n"/>
      <c r="I3" s="188" t="n"/>
      <c r="J3" s="188" t="n"/>
      <c r="K3" s="188" t="n"/>
    </row>
    <row r="4" ht="15" customHeight="1" s="54">
      <c r="A4" s="6" t="inlineStr">
        <is>
          <t>INMUEBLE OBJETO</t>
        </is>
      </c>
      <c r="B4" s="188" t="n"/>
      <c r="C4" s="188" t="n"/>
      <c r="D4" s="5">
        <f>DATOS!C6</f>
        <v/>
      </c>
      <c r="E4" s="188" t="n"/>
      <c r="F4" s="188" t="n"/>
      <c r="G4" s="188" t="n"/>
      <c r="H4" s="188" t="n"/>
      <c r="I4" s="188" t="n"/>
      <c r="J4" s="188" t="n"/>
      <c r="K4" s="188" t="n"/>
    </row>
    <row r="5" ht="15" customHeight="1" s="54">
      <c r="A5" s="6" t="inlineStr">
        <is>
          <t>MUNICIPIO – BARRIO</t>
        </is>
      </c>
      <c r="B5" s="188" t="n"/>
      <c r="C5" s="188" t="n"/>
      <c r="D5" s="5">
        <f>DATOS!C7&amp;" – "&amp;DATOS!C8</f>
        <v/>
      </c>
      <c r="E5" s="188" t="n"/>
      <c r="F5" s="188" t="n"/>
      <c r="G5" s="188" t="n"/>
      <c r="H5" s="188" t="n"/>
      <c r="I5" s="188" t="n"/>
      <c r="J5" s="188" t="n"/>
      <c r="K5" s="188" t="n"/>
    </row>
    <row r="6" ht="15" customHeight="1" s="54">
      <c r="A6" s="6" t="inlineStr">
        <is>
          <t>% NEGOCIACIÓN POR DEFECTO</t>
        </is>
      </c>
      <c r="B6" s="188" t="n"/>
      <c r="C6" s="188" t="n"/>
      <c r="D6" s="21">
        <f>DATOS!$C$17</f>
        <v/>
      </c>
      <c r="E6" s="19" t="inlineStr">
        <is>
          <t>Se aplica a cada oferta; puede sobrescribirse en la fila con el % sustentado de esa oferta.</t>
        </is>
      </c>
      <c r="M6" s="16" t="inlineStr">
        <is>
          <t>Divisor:</t>
        </is>
      </c>
      <c r="N6" s="5">
        <f>DATOS!$C$24&amp;" · coef. área libre "&amp;TEXT(DATOS!$C$23,"0.0%")</f>
        <v/>
      </c>
      <c r="O6" s="188" t="n"/>
      <c r="P6" s="188" t="n"/>
      <c r="Q6" s="188" t="n"/>
    </row>
    <row r="8" ht="66" customHeight="1" s="54">
      <c r="A8" s="13" t="inlineStr">
        <is>
          <t>No.</t>
        </is>
      </c>
      <c r="B8" s="13" t="inlineStr">
        <is>
          <t>FECHA DE CAPTURA</t>
        </is>
      </c>
      <c r="C8" s="13" t="inlineStr">
        <is>
          <t>TIPO DE INMUEBLE</t>
        </is>
      </c>
      <c r="D8" s="13" t="inlineStr">
        <is>
          <t>TIPO DE DATO</t>
        </is>
      </c>
      <c r="E8" s="13" t="inlineStr">
        <is>
          <t>MUNICIPIO</t>
        </is>
      </c>
      <c r="F8" s="13" t="inlineStr">
        <is>
          <t>COMUNA / BARRIO / SECTOR</t>
        </is>
      </c>
      <c r="G8" s="13" t="inlineStr">
        <is>
          <t>DIRECCIÓN</t>
        </is>
      </c>
      <c r="H8" s="13" t="inlineStr">
        <is>
          <t>COPROPIEDAD</t>
        </is>
      </c>
      <c r="I8" s="13" t="inlineStr">
        <is>
          <t>COORDENADAS (lat, lon)</t>
        </is>
      </c>
      <c r="J8" s="13" t="inlineStr">
        <is>
          <t>VALOR PEDIDO</t>
        </is>
      </c>
      <c r="K8" s="13" t="inlineStr">
        <is>
          <t>% NEG.</t>
        </is>
      </c>
      <c r="L8" s="13" t="inlineStr">
        <is>
          <t>VALOR NEGOCIADO</t>
        </is>
      </c>
      <c r="M8" s="13" t="inlineStr">
        <is>
          <t>ÁREA CONSTRUIDA (m²) – anuncio / certificado</t>
        </is>
      </c>
      <c r="N8" s="13" t="inlineStr">
        <is>
          <t>ÁREA PRIVADA CONSTRUIDA (m²)</t>
        </is>
      </c>
      <c r="O8" s="13" t="inlineStr">
        <is>
          <t>ÁREA PRIVADA LIBRE (m²) balcón / terraza / patio</t>
        </is>
      </c>
      <c r="P8" s="13" t="inlineStr">
        <is>
          <t>COEF. ÁREA LIBRE</t>
        </is>
      </c>
      <c r="Q8" s="13" t="inlineStr">
        <is>
          <t>ÁREA EQUIVALENTE (m²) = N + P×O</t>
        </is>
      </c>
      <c r="R8" s="13" t="inlineStr">
        <is>
          <t>ÁREA TERRENO (m²) – solo condominio</t>
        </is>
      </c>
      <c r="S8" s="13" t="inlineStr">
        <is>
          <t>Nº PARQUEADEROS (unidad privada)</t>
        </is>
      </c>
      <c r="T8" s="13" t="inlineStr">
        <is>
          <t>ÁREA PARQUEADERO(S) (m²)</t>
        </is>
      </c>
      <c r="U8" s="13" t="inlineStr">
        <is>
          <t>VALOR UNIT. PARQUEADERO</t>
        </is>
      </c>
      <c r="V8" s="13" t="inlineStr">
        <is>
          <t>Nº CUARTOS ÚTILES / DEPÓSITOS (unidad privada)</t>
        </is>
      </c>
      <c r="W8" s="13" t="inlineStr">
        <is>
          <t>ÁREA CUARTO ÚTIL (m²)</t>
        </is>
      </c>
      <c r="X8" s="13" t="inlineStr">
        <is>
          <t>VALOR UNIT. CUARTO ÚTIL</t>
        </is>
      </c>
      <c r="Y8" s="13" t="inlineStr">
        <is>
          <t>VALOR UNIDADES COMPLEMENTARIAS</t>
        </is>
      </c>
      <c r="Z8" s="13" t="inlineStr">
        <is>
          <t>VALOR DEPURADO UNIDAD PRINCIPAL</t>
        </is>
      </c>
      <c r="AA8" s="13" t="inlineStr">
        <is>
          <t>VALOR UNITARIO INTEGRAL ($/m²) – divisor según DATOS</t>
        </is>
      </c>
      <c r="AB8" s="13" t="inlineStr">
        <is>
          <t>$/m² SOBRE ÁREA CONSTRUIDA (informativo)</t>
        </is>
      </c>
      <c r="AC8" s="13" t="inlineStr">
        <is>
          <t>PISO</t>
        </is>
      </c>
      <c r="AD8" s="13" t="inlineStr">
        <is>
          <t>EDAD (años)</t>
        </is>
      </c>
      <c r="AE8" s="13" t="inlineStr">
        <is>
          <t>ESTRATO</t>
        </is>
      </c>
      <c r="AF8" s="13" t="inlineStr">
        <is>
          <t>ADMINISTRACIÓN MENSUAL</t>
        </is>
      </c>
      <c r="AG8" s="13" t="inlineStr">
        <is>
          <t>OBSERVACIONES / DESCRIPCIÓN</t>
        </is>
      </c>
      <c r="AH8" s="13" t="inlineStr">
        <is>
          <t>FUENTE (nombre)</t>
        </is>
      </c>
      <c r="AI8" s="13" t="inlineStr">
        <is>
          <t>TELÉFONO</t>
        </is>
      </c>
      <c r="AJ8" s="13" t="inlineStr">
        <is>
          <t>ENLACE (URL)</t>
        </is>
      </c>
      <c r="AK8" s="13" t="inlineStr">
        <is>
          <t>COMPARABILIDAD</t>
        </is>
      </c>
      <c r="AL8" s="13" t="inlineStr">
        <is>
          <t>¿INCLUIR? (SÍ/NO)</t>
        </is>
      </c>
      <c r="AM8" s="13" t="inlineStr">
        <is>
          <t>VALOR PARA ESTADÍSTICA ($/m²)</t>
        </is>
      </c>
      <c r="AN8" s="13" t="inlineStr">
        <is>
          <t>ALERTAS</t>
        </is>
      </c>
      <c r="AO8" s="13" t="inlineStr">
        <is>
          <t>¿EN VALOR ADOPTADO?</t>
        </is>
      </c>
      <c r="AP8" s="13" t="inlineStr">
        <is>
          <t>SOPORTE (captura)</t>
        </is>
      </c>
    </row>
    <row r="9" ht="45.6" customHeight="1" s="54">
      <c r="A9" s="70" t="n">
        <v>1</v>
      </c>
      <c r="B9" s="71" t="n">
        <v>46297</v>
      </c>
      <c r="C9" s="70" t="inlineStr">
        <is>
          <t>Apartamento</t>
        </is>
      </c>
      <c r="D9" s="70" t="inlineStr">
        <is>
          <t>Oferta de venta</t>
        </is>
      </c>
      <c r="E9" s="70" t="inlineStr">
        <is>
          <t>Bello</t>
        </is>
      </c>
      <c r="F9" s="70" t="inlineStr">
        <is>
          <t>Niquía</t>
        </is>
      </c>
      <c r="G9" s="70" t="inlineStr">
        <is>
          <t>Bello, Niquía (ubicación exacta no publicada)</t>
        </is>
      </c>
      <c r="H9" s="70" t="n"/>
      <c r="I9" s="70" t="n"/>
      <c r="J9" s="197" t="n">
        <v>340000000</v>
      </c>
      <c r="K9" s="198">
        <f>DATOS!$C$17</f>
        <v/>
      </c>
      <c r="L9" s="199">
        <f>IF(J9="","",J9*(1-K9))</f>
        <v/>
      </c>
      <c r="M9" s="73" t="n">
        <v>69</v>
      </c>
      <c r="N9" s="73" t="n">
        <v>69</v>
      </c>
      <c r="O9" s="73" t="n"/>
      <c r="P9" s="198">
        <f>DATOS!$C$23</f>
        <v/>
      </c>
      <c r="Q9" s="48">
        <f>IF(N(N9)&lt;=0,"",N9+N(P9)*N(O9))</f>
        <v/>
      </c>
      <c r="R9" s="73" t="n"/>
      <c r="S9" s="70" t="n"/>
      <c r="T9" s="73" t="n"/>
      <c r="U9" s="200">
        <f>DATOS!$C$21</f>
        <v/>
      </c>
      <c r="V9" s="70" t="n"/>
      <c r="W9" s="73" t="n"/>
      <c r="X9" s="200">
        <f>DATOS!$C$22</f>
        <v/>
      </c>
      <c r="Y9" s="199">
        <f>IF(L9="","",N(S9)*N(U9)+N(V9)*N(X9))</f>
        <v/>
      </c>
      <c r="Z9" s="199">
        <f>IF(L9="","",L9-Y9)</f>
        <v/>
      </c>
      <c r="AA9" s="199">
        <f>IF(OR(Z9="",N(N9)&lt;=0),"",Z9/IF(DATOS!$C$24="ÁREA PRIVADA CONSTRUIDA",N9,Q9))</f>
        <v/>
      </c>
      <c r="AB9" s="199">
        <f>IF(OR(Z9="",N(M9)&lt;=0),"",Z9/M9)</f>
        <v/>
      </c>
      <c r="AC9" s="70" t="n"/>
      <c r="AD9" s="70" t="n"/>
      <c r="AE9" s="70" t="n"/>
      <c r="AF9" s="197" t="n"/>
      <c r="AG9" s="70" t="inlineStr">
        <is>
          <t>2 alcobas, 1 baño. Administración $280.000. Precio negociable. Área del anuncio; validar el área privada con certificado o reglamento de PH.</t>
        </is>
      </c>
      <c r="AH9" s="70" t="inlineStr">
        <is>
          <t>Fincaraíz (anunciante no identificado)</t>
        </is>
      </c>
      <c r="AI9" s="70" t="inlineStr">
        <is>
          <t>Solicitar en portal</t>
        </is>
      </c>
      <c r="AJ9" s="80" t="inlineStr">
        <is>
          <t>https://www.fincaraiz.com.co/venta/niquia/bello</t>
        </is>
      </c>
      <c r="AK9" s="70" t="inlineStr">
        <is>
          <t>MEDIA: apartamento urbano de 69 m² en Niquía. No publica piso, edad ni parqueadero; confirmar con el anunciante.</t>
        </is>
      </c>
      <c r="AL9" s="74" t="inlineStr">
        <is>
          <t>SÍ</t>
        </is>
      </c>
      <c r="AM9" s="199">
        <f>IF(AND(AL9="SÍ",ISNUMBER(AA9)),AA9,"")</f>
        <v/>
      </c>
      <c r="AN9" s="15">
        <f>IF(A9="","",IF(LEN(IF(B9="","SIN FECHA; ",IF(DATOS!$C$12-B9&gt;DATOS!$C$18*30.4,"VENCIDA; ",""))&amp;IF(AJ9="","SIN ENLACE; ","")&amp;IF(I9="","SIN COORDENADAS; ","")&amp;IF(N9="","SIN ÁREA; ","")&amp;IF(AND(ISNUMBER(AM9),ISNUMBER($AA$45),ISNUMBER($AA$46),N($AA$44)&gt;DATOS!$C$16),IF(OR(AM9&lt;$AA$45,AM9&gt;$AA$46),"FUERA DE LÍMITES; ",""),"")&amp;IF(AND(N(M9)&gt;0,N(N9)&gt;N(M9)),"ÁREA PRIVADA &gt; CONSTRUIDA; ",""))=0,"OK",IF(B9="","SIN FECHA; ",IF(DATOS!$C$12-B9&gt;DATOS!$C$18*30.4,"VENCIDA; ",""))&amp;IF(AJ9="","SIN ENLACE; ","")&amp;IF(I9="","SIN COORDENADAS; ","")&amp;IF(N9="","SIN ÁREA; ","")&amp;IF(AND(ISNUMBER(AM9),ISNUMBER($AA$45),ISNUMBER($AA$46),N($AA$44)&gt;DATOS!$C$16),IF(OR(AM9&lt;$AA$45,AM9&gt;$AA$46),"FUERA DE LÍMITES; ",""),"")&amp;IF(AND(N(M9)&gt;0,N(N9)&gt;N(M9)),"ÁREA PRIVADA &gt; CONSTRUIDA; ","")))</f>
        <v/>
      </c>
      <c r="AO9" s="25">
        <f>IF(AM9="","",IF(COMBINACIONES_PH!$B$18="MUESTRA COMPLETA","SÍ",IF(AUX_PH!F5="","NO (filtrada)",IF(AND(AUX_PH!F5&gt;=COMBINACIONES_PH!$B$22,AUX_PH!F5&lt;=COMBINACIONES_PH!$B$22+COMBINACIONES_PH!$B$23-1),"SÍ","NO"))))</f>
        <v/>
      </c>
      <c r="AP9" s="25">
        <f>IF(A9="","","OFERTA PH "&amp;TEXT(A9,"00"))</f>
        <v/>
      </c>
    </row>
    <row r="10" ht="34.2" customHeight="1" s="54">
      <c r="A10" s="70" t="n">
        <v>2</v>
      </c>
      <c r="B10" s="71" t="n">
        <v>46297</v>
      </c>
      <c r="C10" s="70" t="inlineStr">
        <is>
          <t>Apartamento</t>
        </is>
      </c>
      <c r="D10" s="70" t="inlineStr">
        <is>
          <t>Oferta de venta</t>
        </is>
      </c>
      <c r="E10" s="70" t="inlineStr">
        <is>
          <t>Bello</t>
        </is>
      </c>
      <c r="F10" s="70" t="inlineStr">
        <is>
          <t>Niquía – Urb. Nogales</t>
        </is>
      </c>
      <c r="G10" s="70" t="inlineStr">
        <is>
          <t>Bello, Urbanización Nogales (Niquía)</t>
        </is>
      </c>
      <c r="H10" s="70" t="n"/>
      <c r="I10" s="70" t="n"/>
      <c r="J10" s="197" t="n">
        <v>340000000</v>
      </c>
      <c r="K10" s="198">
        <f>DATOS!$C$17</f>
        <v/>
      </c>
      <c r="L10" s="199">
        <f>IF(J10="","",J10*(1-K10))</f>
        <v/>
      </c>
      <c r="M10" s="73" t="n">
        <v>65</v>
      </c>
      <c r="N10" s="73" t="n">
        <v>65</v>
      </c>
      <c r="O10" s="73" t="n"/>
      <c r="P10" s="198">
        <f>DATOS!$C$23</f>
        <v/>
      </c>
      <c r="Q10" s="48">
        <f>IF(N(N10)&lt;=0,"",N10+N(P10)*N(O10))</f>
        <v/>
      </c>
      <c r="R10" s="73" t="n"/>
      <c r="S10" s="70" t="n"/>
      <c r="T10" s="73" t="n"/>
      <c r="U10" s="200">
        <f>DATOS!$C$21</f>
        <v/>
      </c>
      <c r="V10" s="70" t="n"/>
      <c r="W10" s="73" t="n"/>
      <c r="X10" s="200">
        <f>DATOS!$C$22</f>
        <v/>
      </c>
      <c r="Y10" s="199">
        <f>IF(L10="","",N(S10)*N(U10)+N(V10)*N(X10))</f>
        <v/>
      </c>
      <c r="Z10" s="199">
        <f>IF(L10="","",L10-Y10)</f>
        <v/>
      </c>
      <c r="AA10" s="199">
        <f>IF(OR(Z10="",N(N10)&lt;=0),"",Z10/IF(DATOS!$C$24="ÁREA PRIVADA CONSTRUIDA",N10,Q10))</f>
        <v/>
      </c>
      <c r="AB10" s="199">
        <f>IF(OR(Z10="",N(M10)&lt;=0),"",Z10/M10)</f>
        <v/>
      </c>
      <c r="AC10" s="70" t="n"/>
      <c r="AD10" s="70" t="n"/>
      <c r="AE10" s="70" t="n"/>
      <c r="AF10" s="197" t="n"/>
      <c r="AG10" s="70" t="inlineStr">
        <is>
          <t>3 alcobas, 2 baños. Área del anuncio; validar el área privada con certificado o reglamento de PH.</t>
        </is>
      </c>
      <c r="AH10" s="70" t="inlineStr">
        <is>
          <t>Fincaraíz (anunciante no identificado)</t>
        </is>
      </c>
      <c r="AI10" s="70" t="inlineStr">
        <is>
          <t>Solicitar en portal</t>
        </is>
      </c>
      <c r="AJ10" s="80" t="inlineStr">
        <is>
          <t>https://www.fincaraiz.com.co/venta/urbanizacion-nogales/bello</t>
        </is>
      </c>
      <c r="AK10" s="70" t="inlineStr">
        <is>
          <t>MEDIA: apartamento urbano de 65 m² en Niquía. No publica piso, edad ni parqueadero.</t>
        </is>
      </c>
      <c r="AL10" s="74" t="inlineStr">
        <is>
          <t>SÍ</t>
        </is>
      </c>
      <c r="AM10" s="199">
        <f>IF(AND(AL10="SÍ",ISNUMBER(AA10)),AA10,"")</f>
        <v/>
      </c>
      <c r="AN10" s="15">
        <f>IF(A10="","",IF(LEN(IF(B10="","SIN FECHA; ",IF(DATOS!$C$12-B10&gt;DATOS!$C$18*30.4,"VENCIDA; ",""))&amp;IF(AJ10="","SIN ENLACE; ","")&amp;IF(I10="","SIN COORDENADAS; ","")&amp;IF(N10="","SIN ÁREA; ","")&amp;IF(AND(ISNUMBER(AM10),ISNUMBER($AA$45),ISNUMBER($AA$46),N($AA$44)&gt;DATOS!$C$16),IF(OR(AM10&lt;$AA$45,AM10&gt;$AA$46),"FUERA DE LÍMITES; ",""),"")&amp;IF(AND(N(M10)&gt;0,N(N10)&gt;N(M10)),"ÁREA PRIVADA &gt; CONSTRUIDA; ",""))=0,"OK",IF(B10="","SIN FECHA; ",IF(DATOS!$C$12-B10&gt;DATOS!$C$18*30.4,"VENCIDA; ",""))&amp;IF(AJ10="","SIN ENLACE; ","")&amp;IF(I10="","SIN COORDENADAS; ","")&amp;IF(N10="","SIN ÁREA; ","")&amp;IF(AND(ISNUMBER(AM10),ISNUMBER($AA$45),ISNUMBER($AA$46),N($AA$44)&gt;DATOS!$C$16),IF(OR(AM10&lt;$AA$45,AM10&gt;$AA$46),"FUERA DE LÍMITES; ",""),"")&amp;IF(AND(N(M10)&gt;0,N(N10)&gt;N(M10)),"ÁREA PRIVADA &gt; CONSTRUIDA; ","")))</f>
        <v/>
      </c>
      <c r="AO10" s="25">
        <f>IF(AM10="","",IF(COMBINACIONES_PH!$B$18="MUESTRA COMPLETA","SÍ",IF(AUX_PH!F6="","NO (filtrada)",IF(AND(AUX_PH!F6&gt;=COMBINACIONES_PH!$B$22,AUX_PH!F6&lt;=COMBINACIONES_PH!$B$22+COMBINACIONES_PH!$B$23-1),"SÍ","NO"))))</f>
        <v/>
      </c>
      <c r="AP10" s="25">
        <f>IF(A10="","","OFERTA PH "&amp;TEXT(A10,"00"))</f>
        <v/>
      </c>
    </row>
    <row r="11" ht="45.6" customHeight="1" s="54">
      <c r="A11" s="70" t="n">
        <v>3</v>
      </c>
      <c r="B11" s="71" t="n">
        <v>46297</v>
      </c>
      <c r="C11" s="70" t="inlineStr">
        <is>
          <t>Apartamento</t>
        </is>
      </c>
      <c r="D11" s="70" t="inlineStr">
        <is>
          <t>Oferta de venta</t>
        </is>
      </c>
      <c r="E11" s="70" t="inlineStr">
        <is>
          <t>Bello</t>
        </is>
      </c>
      <c r="F11" s="70" t="inlineStr">
        <is>
          <t>Niquía</t>
        </is>
      </c>
      <c r="G11" s="70" t="inlineStr">
        <is>
          <t>Bello, Niquía – torre con piscina, polideportivo y portería 24/7</t>
        </is>
      </c>
      <c r="H11" s="70" t="n"/>
      <c r="I11" s="70" t="n"/>
      <c r="J11" s="197" t="n">
        <v>365000000</v>
      </c>
      <c r="K11" s="198">
        <f>DATOS!$C$17</f>
        <v/>
      </c>
      <c r="L11" s="199">
        <f>IF(J11="","",J11*(1-K11))</f>
        <v/>
      </c>
      <c r="M11" s="73" t="n">
        <v>65</v>
      </c>
      <c r="N11" s="73" t="n">
        <v>65</v>
      </c>
      <c r="O11" s="73" t="n"/>
      <c r="P11" s="198">
        <f>DATOS!$C$23</f>
        <v/>
      </c>
      <c r="Q11" s="48">
        <f>IF(N(N11)&lt;=0,"",N11+N(P11)*N(O11))</f>
        <v/>
      </c>
      <c r="R11" s="73" t="n"/>
      <c r="S11" s="70" t="n"/>
      <c r="T11" s="73" t="n"/>
      <c r="U11" s="200">
        <f>DATOS!$C$21</f>
        <v/>
      </c>
      <c r="V11" s="70" t="n"/>
      <c r="W11" s="73" t="n"/>
      <c r="X11" s="200">
        <f>DATOS!$C$22</f>
        <v/>
      </c>
      <c r="Y11" s="199">
        <f>IF(L11="","",N(S11)*N(U11)+N(V11)*N(X11))</f>
        <v/>
      </c>
      <c r="Z11" s="199">
        <f>IF(L11="","",L11-Y11)</f>
        <v/>
      </c>
      <c r="AA11" s="199">
        <f>IF(OR(Z11="",N(N11)&lt;=0),"",Z11/IF(DATOS!$C$24="ÁREA PRIVADA CONSTRUIDA",N11,Q11))</f>
        <v/>
      </c>
      <c r="AB11" s="199">
        <f>IF(OR(Z11="",N(M11)&lt;=0),"",Z11/M11)</f>
        <v/>
      </c>
      <c r="AC11" s="70" t="n"/>
      <c r="AD11" s="70" t="n"/>
      <c r="AE11" s="70" t="n">
        <v>4</v>
      </c>
      <c r="AF11" s="197" t="n"/>
      <c r="AG11" s="70" t="inlineStr">
        <is>
          <t>3 alcobas, 2 baños, balcón y cuarto útil; piso 23. Administración $430.000. Área del anuncio; validar el área privada con certificado o reglamento de PH.</t>
        </is>
      </c>
      <c r="AH11" s="70" t="inlineStr">
        <is>
          <t>Fincaraíz (anunciante no identificado)</t>
        </is>
      </c>
      <c r="AI11" s="70" t="inlineStr">
        <is>
          <t>Solicitar en portal</t>
        </is>
      </c>
      <c r="AJ11" s="80" t="inlineStr">
        <is>
          <t>https://www.fincaraiz.com.co/venta/casas/bello/antioquia</t>
        </is>
      </c>
      <c r="AK11" s="70" t="inlineStr">
        <is>
          <t>ALTA: apartamento urbano de 65 m² en Niquía con datos de piso y estrato; confirmar si el cuarto útil es unidad privada.</t>
        </is>
      </c>
      <c r="AL11" s="74" t="inlineStr">
        <is>
          <t>SÍ</t>
        </is>
      </c>
      <c r="AM11" s="199">
        <f>IF(AND(AL11="SÍ",ISNUMBER(AA11)),AA11,"")</f>
        <v/>
      </c>
      <c r="AN11" s="15">
        <f>IF(A11="","",IF(LEN(IF(B11="","SIN FECHA; ",IF(DATOS!$C$12-B11&gt;DATOS!$C$18*30.4,"VENCIDA; ",""))&amp;IF(AJ11="","SIN ENLACE; ","")&amp;IF(I11="","SIN COORDENADAS; ","")&amp;IF(N11="","SIN ÁREA; ","")&amp;IF(AND(ISNUMBER(AM11),ISNUMBER($AA$45),ISNUMBER($AA$46),N($AA$44)&gt;DATOS!$C$16),IF(OR(AM11&lt;$AA$45,AM11&gt;$AA$46),"FUERA DE LÍMITES; ",""),"")&amp;IF(AND(N(M11)&gt;0,N(N11)&gt;N(M11)),"ÁREA PRIVADA &gt; CONSTRUIDA; ",""))=0,"OK",IF(B11="","SIN FECHA; ",IF(DATOS!$C$12-B11&gt;DATOS!$C$18*30.4,"VENCIDA; ",""))&amp;IF(AJ11="","SIN ENLACE; ","")&amp;IF(I11="","SIN COORDENADAS; ","")&amp;IF(N11="","SIN ÁREA; ","")&amp;IF(AND(ISNUMBER(AM11),ISNUMBER($AA$45),ISNUMBER($AA$46),N($AA$44)&gt;DATOS!$C$16),IF(OR(AM11&lt;$AA$45,AM11&gt;$AA$46),"FUERA DE LÍMITES; ",""),"")&amp;IF(AND(N(M11)&gt;0,N(N11)&gt;N(M11)),"ÁREA PRIVADA &gt; CONSTRUIDA; ","")))</f>
        <v/>
      </c>
      <c r="AO11" s="25">
        <f>IF(AM11="","",IF(COMBINACIONES_PH!$B$18="MUESTRA COMPLETA","SÍ",IF(AUX_PH!F7="","NO (filtrada)",IF(AND(AUX_PH!F7&gt;=COMBINACIONES_PH!$B$22,AUX_PH!F7&lt;=COMBINACIONES_PH!$B$22+COMBINACIONES_PH!$B$23-1),"SÍ","NO"))))</f>
        <v/>
      </c>
      <c r="AP11" s="25">
        <f>IF(A11="","","OFERTA PH "&amp;TEXT(A11,"00"))</f>
        <v/>
      </c>
    </row>
    <row r="12" ht="34.2" customHeight="1" s="54">
      <c r="A12" s="70" t="n">
        <v>4</v>
      </c>
      <c r="B12" s="71" t="n">
        <v>46297</v>
      </c>
      <c r="C12" s="70" t="inlineStr">
        <is>
          <t>Apartamento</t>
        </is>
      </c>
      <c r="D12" s="70" t="inlineStr">
        <is>
          <t>Oferta de venta</t>
        </is>
      </c>
      <c r="E12" s="70" t="inlineStr">
        <is>
          <t>Bello</t>
        </is>
      </c>
      <c r="F12" s="70" t="inlineStr">
        <is>
          <t>Niquía</t>
        </is>
      </c>
      <c r="G12" s="70" t="inlineStr">
        <is>
          <t>Bello, Niquía – torre con ascensor, gimnasio y piscina</t>
        </is>
      </c>
      <c r="H12" s="70" t="n"/>
      <c r="I12" s="70" t="n"/>
      <c r="J12" s="197" t="n">
        <v>450000000</v>
      </c>
      <c r="K12" s="198">
        <f>DATOS!$C$17</f>
        <v/>
      </c>
      <c r="L12" s="199">
        <f>IF(J12="","",J12*(1-K12))</f>
        <v/>
      </c>
      <c r="M12" s="73" t="n">
        <v>71</v>
      </c>
      <c r="N12" s="73" t="n">
        <v>71</v>
      </c>
      <c r="O12" s="73" t="n"/>
      <c r="P12" s="198">
        <f>DATOS!$C$23</f>
        <v/>
      </c>
      <c r="Q12" s="48">
        <f>IF(N(N12)&lt;=0,"",N12+N(P12)*N(O12))</f>
        <v/>
      </c>
      <c r="R12" s="73" t="n"/>
      <c r="S12" s="70" t="n"/>
      <c r="T12" s="73" t="n"/>
      <c r="U12" s="200">
        <f>DATOS!$C$21</f>
        <v/>
      </c>
      <c r="V12" s="70" t="n"/>
      <c r="W12" s="73" t="n"/>
      <c r="X12" s="200">
        <f>DATOS!$C$22</f>
        <v/>
      </c>
      <c r="Y12" s="199">
        <f>IF(L12="","",N(S12)*N(U12)+N(V12)*N(X12))</f>
        <v/>
      </c>
      <c r="Z12" s="199">
        <f>IF(L12="","",L12-Y12)</f>
        <v/>
      </c>
      <c r="AA12" s="199">
        <f>IF(OR(Z12="",N(N12)&lt;=0),"",Z12/IF(DATOS!$C$24="ÁREA PRIVADA CONSTRUIDA",N12,Q12))</f>
        <v/>
      </c>
      <c r="AB12" s="199">
        <f>IF(OR(Z12="",N(M12)&lt;=0),"",Z12/M12)</f>
        <v/>
      </c>
      <c r="AC12" s="70" t="n"/>
      <c r="AD12" s="70" t="n"/>
      <c r="AE12" s="70" t="n"/>
      <c r="AF12" s="197" t="n"/>
      <c r="AG12" s="70" t="inlineStr">
        <is>
          <t>3 alcobas, 2 baños, balcón. Área del anuncio; validar el área privada con certificado o reglamento de PH.</t>
        </is>
      </c>
      <c r="AH12" s="70" t="inlineStr">
        <is>
          <t>Anunciante no identificado – Mitula</t>
        </is>
      </c>
      <c r="AI12" s="70" t="inlineStr">
        <is>
          <t>Solicitar en portal</t>
        </is>
      </c>
      <c r="AJ12" s="80" t="inlineStr">
        <is>
          <t>https://casas.mitula.com.co/casas/bello-niquia</t>
        </is>
      </c>
      <c r="AK12" s="70" t="inlineStr">
        <is>
          <t>MEDIA: apartamento urbano de 71 m² en Niquía. No publica piso, edad ni parqueadero.</t>
        </is>
      </c>
      <c r="AL12" s="74" t="inlineStr">
        <is>
          <t>SÍ</t>
        </is>
      </c>
      <c r="AM12" s="199">
        <f>IF(AND(AL12="SÍ",ISNUMBER(AA12)),AA12,"")</f>
        <v/>
      </c>
      <c r="AN12" s="15">
        <f>IF(A12="","",IF(LEN(IF(B12="","SIN FECHA; ",IF(DATOS!$C$12-B12&gt;DATOS!$C$18*30.4,"VENCIDA; ",""))&amp;IF(AJ12="","SIN ENLACE; ","")&amp;IF(I12="","SIN COORDENADAS; ","")&amp;IF(N12="","SIN ÁREA; ","")&amp;IF(AND(ISNUMBER(AM12),ISNUMBER($AA$45),ISNUMBER($AA$46),N($AA$44)&gt;DATOS!$C$16),IF(OR(AM12&lt;$AA$45,AM12&gt;$AA$46),"FUERA DE LÍMITES; ",""),"")&amp;IF(AND(N(M12)&gt;0,N(N12)&gt;N(M12)),"ÁREA PRIVADA &gt; CONSTRUIDA; ",""))=0,"OK",IF(B12="","SIN FECHA; ",IF(DATOS!$C$12-B12&gt;DATOS!$C$18*30.4,"VENCIDA; ",""))&amp;IF(AJ12="","SIN ENLACE; ","")&amp;IF(I12="","SIN COORDENADAS; ","")&amp;IF(N12="","SIN ÁREA; ","")&amp;IF(AND(ISNUMBER(AM12),ISNUMBER($AA$45),ISNUMBER($AA$46),N($AA$44)&gt;DATOS!$C$16),IF(OR(AM12&lt;$AA$45,AM12&gt;$AA$46),"FUERA DE LÍMITES; ",""),"")&amp;IF(AND(N(M12)&gt;0,N(N12)&gt;N(M12)),"ÁREA PRIVADA &gt; CONSTRUIDA; ","")))</f>
        <v/>
      </c>
      <c r="AO12" s="25">
        <f>IF(AM12="","",IF(COMBINACIONES_PH!$B$18="MUESTRA COMPLETA","SÍ",IF(AUX_PH!F8="","NO (filtrada)",IF(AND(AUX_PH!F8&gt;=COMBINACIONES_PH!$B$22,AUX_PH!F8&lt;=COMBINACIONES_PH!$B$22+COMBINACIONES_PH!$B$23-1),"SÍ","NO"))))</f>
        <v/>
      </c>
      <c r="AP12" s="25">
        <f>IF(A12="","","OFERTA PH "&amp;TEXT(A12,"00"))</f>
        <v/>
      </c>
    </row>
    <row r="13" ht="34.2" customHeight="1" s="54">
      <c r="A13" s="70" t="n">
        <v>5</v>
      </c>
      <c r="B13" s="71" t="n">
        <v>46297</v>
      </c>
      <c r="C13" s="70" t="inlineStr">
        <is>
          <t>Apartamento</t>
        </is>
      </c>
      <c r="D13" s="70" t="inlineStr">
        <is>
          <t>Oferta de venta</t>
        </is>
      </c>
      <c r="E13" s="70" t="inlineStr">
        <is>
          <t>Bello</t>
        </is>
      </c>
      <c r="F13" s="70" t="inlineStr">
        <is>
          <t>Niquía</t>
        </is>
      </c>
      <c r="G13" s="70" t="inlineStr">
        <is>
          <t>Bello, Niquía – torre con ascensor, gimnasio y piscina</t>
        </is>
      </c>
      <c r="H13" s="70" t="n"/>
      <c r="I13" s="70" t="n"/>
      <c r="J13" s="197" t="n">
        <v>380000000</v>
      </c>
      <c r="K13" s="198">
        <f>DATOS!$C$17</f>
        <v/>
      </c>
      <c r="L13" s="199">
        <f>IF(J13="","",J13*(1-K13))</f>
        <v/>
      </c>
      <c r="M13" s="73" t="n">
        <v>75</v>
      </c>
      <c r="N13" s="73" t="n">
        <v>75</v>
      </c>
      <c r="O13" s="73" t="n"/>
      <c r="P13" s="198">
        <f>DATOS!$C$23</f>
        <v/>
      </c>
      <c r="Q13" s="48">
        <f>IF(N(N13)&lt;=0,"",N13+N(P13)*N(O13))</f>
        <v/>
      </c>
      <c r="R13" s="73" t="n"/>
      <c r="S13" s="70" t="n"/>
      <c r="T13" s="73" t="n"/>
      <c r="U13" s="200">
        <f>DATOS!$C$21</f>
        <v/>
      </c>
      <c r="V13" s="70" t="n"/>
      <c r="W13" s="73" t="n"/>
      <c r="X13" s="200">
        <f>DATOS!$C$22</f>
        <v/>
      </c>
      <c r="Y13" s="199">
        <f>IF(L13="","",N(S13)*N(U13)+N(V13)*N(X13))</f>
        <v/>
      </c>
      <c r="Z13" s="199">
        <f>IF(L13="","",L13-Y13)</f>
        <v/>
      </c>
      <c r="AA13" s="199">
        <f>IF(OR(Z13="",N(N13)&lt;=0),"",Z13/IF(DATOS!$C$24="ÁREA PRIVADA CONSTRUIDA",N13,Q13))</f>
        <v/>
      </c>
      <c r="AB13" s="199">
        <f>IF(OR(Z13="",N(M13)&lt;=0),"",Z13/M13)</f>
        <v/>
      </c>
      <c r="AC13" s="70" t="n"/>
      <c r="AD13" s="70" t="n"/>
      <c r="AE13" s="70" t="n"/>
      <c r="AF13" s="197" t="n"/>
      <c r="AG13" s="70" t="inlineStr">
        <is>
          <t>2 alcobas, 2 baños, balcón. Área del anuncio; validar el área privada con certificado o reglamento de PH.</t>
        </is>
      </c>
      <c r="AH13" s="70" t="inlineStr">
        <is>
          <t>AG Inmobiliaria Medellín SAS – Mitula</t>
        </is>
      </c>
      <c r="AI13" s="70" t="inlineStr">
        <is>
          <t>Solicitar en portal</t>
        </is>
      </c>
      <c r="AJ13" s="80" t="inlineStr">
        <is>
          <t>https://casas.mitula.com.co/casas/bello-niquia</t>
        </is>
      </c>
      <c r="AK13" s="70" t="inlineStr">
        <is>
          <t>MEDIA: apartamento urbano de 75 m² en Niquía. No publica piso, edad ni parqueadero.</t>
        </is>
      </c>
      <c r="AL13" s="74" t="inlineStr">
        <is>
          <t>SÍ</t>
        </is>
      </c>
      <c r="AM13" s="199">
        <f>IF(AND(AL13="SÍ",ISNUMBER(AA13)),AA13,"")</f>
        <v/>
      </c>
      <c r="AN13" s="15">
        <f>IF(A13="","",IF(LEN(IF(B13="","SIN FECHA; ",IF(DATOS!$C$12-B13&gt;DATOS!$C$18*30.4,"VENCIDA; ",""))&amp;IF(AJ13="","SIN ENLACE; ","")&amp;IF(I13="","SIN COORDENADAS; ","")&amp;IF(N13="","SIN ÁREA; ","")&amp;IF(AND(ISNUMBER(AM13),ISNUMBER($AA$45),ISNUMBER($AA$46),N($AA$44)&gt;DATOS!$C$16),IF(OR(AM13&lt;$AA$45,AM13&gt;$AA$46),"FUERA DE LÍMITES; ",""),"")&amp;IF(AND(N(M13)&gt;0,N(N13)&gt;N(M13)),"ÁREA PRIVADA &gt; CONSTRUIDA; ",""))=0,"OK",IF(B13="","SIN FECHA; ",IF(DATOS!$C$12-B13&gt;DATOS!$C$18*30.4,"VENCIDA; ",""))&amp;IF(AJ13="","SIN ENLACE; ","")&amp;IF(I13="","SIN COORDENADAS; ","")&amp;IF(N13="","SIN ÁREA; ","")&amp;IF(AND(ISNUMBER(AM13),ISNUMBER($AA$45),ISNUMBER($AA$46),N($AA$44)&gt;DATOS!$C$16),IF(OR(AM13&lt;$AA$45,AM13&gt;$AA$46),"FUERA DE LÍMITES; ",""),"")&amp;IF(AND(N(M13)&gt;0,N(N13)&gt;N(M13)),"ÁREA PRIVADA &gt; CONSTRUIDA; ","")))</f>
        <v/>
      </c>
      <c r="AO13" s="25">
        <f>IF(AM13="","",IF(COMBINACIONES_PH!$B$18="MUESTRA COMPLETA","SÍ",IF(AUX_PH!F9="","NO (filtrada)",IF(AND(AUX_PH!F9&gt;=COMBINACIONES_PH!$B$22,AUX_PH!F9&lt;=COMBINACIONES_PH!$B$22+COMBINACIONES_PH!$B$23-1),"SÍ","NO"))))</f>
        <v/>
      </c>
      <c r="AP13" s="25">
        <f>IF(A13="","","OFERTA PH "&amp;TEXT(A13,"00"))</f>
        <v/>
      </c>
    </row>
    <row r="14" ht="45.6" customHeight="1" s="54">
      <c r="A14" s="70" t="n">
        <v>6</v>
      </c>
      <c r="B14" s="71" t="n">
        <v>46297</v>
      </c>
      <c r="C14" s="70" t="inlineStr">
        <is>
          <t>Apartamento</t>
        </is>
      </c>
      <c r="D14" s="70" t="inlineStr">
        <is>
          <t>Oferta de venta</t>
        </is>
      </c>
      <c r="E14" s="70" t="inlineStr">
        <is>
          <t>Bello</t>
        </is>
      </c>
      <c r="F14" s="70" t="inlineStr">
        <is>
          <t>Niquía</t>
        </is>
      </c>
      <c r="G14" s="70" t="inlineStr">
        <is>
          <t>Bello, Niquía (ubicación exacta no publicada)</t>
        </is>
      </c>
      <c r="H14" s="70" t="n"/>
      <c r="I14" s="70" t="n"/>
      <c r="J14" s="197" t="n">
        <v>400000000</v>
      </c>
      <c r="K14" s="198">
        <f>DATOS!$C$17</f>
        <v/>
      </c>
      <c r="L14" s="199">
        <f>IF(J14="","",J14*(1-K14))</f>
        <v/>
      </c>
      <c r="M14" s="73" t="n">
        <v>84</v>
      </c>
      <c r="N14" s="73" t="n">
        <v>84</v>
      </c>
      <c r="O14" s="73" t="n"/>
      <c r="P14" s="198">
        <f>DATOS!$C$23</f>
        <v/>
      </c>
      <c r="Q14" s="48">
        <f>IF(N(N14)&lt;=0,"",N14+N(P14)*N(O14))</f>
        <v/>
      </c>
      <c r="R14" s="73" t="n"/>
      <c r="S14" s="70" t="n"/>
      <c r="T14" s="73" t="n"/>
      <c r="U14" s="200">
        <f>DATOS!$C$21</f>
        <v/>
      </c>
      <c r="V14" s="70" t="n"/>
      <c r="W14" s="73" t="n"/>
      <c r="X14" s="200">
        <f>DATOS!$C$22</f>
        <v/>
      </c>
      <c r="Y14" s="199">
        <f>IF(L14="","",N(S14)*N(U14)+N(V14)*N(X14))</f>
        <v/>
      </c>
      <c r="Z14" s="199">
        <f>IF(L14="","",L14-Y14)</f>
        <v/>
      </c>
      <c r="AA14" s="199">
        <f>IF(OR(Z14="",N(N14)&lt;=0),"",Z14/IF(DATOS!$C$24="ÁREA PRIVADA CONSTRUIDA",N14,Q14))</f>
        <v/>
      </c>
      <c r="AB14" s="199">
        <f>IF(OR(Z14="",N(M14)&lt;=0),"",Z14/M14)</f>
        <v/>
      </c>
      <c r="AC14" s="70" t="n"/>
      <c r="AD14" s="70" t="n"/>
      <c r="AE14" s="70" t="n"/>
      <c r="AF14" s="197" t="n"/>
      <c r="AG14" s="70" t="inlineStr">
        <is>
          <t>3 alcobas, 3 baños, balcón, red de gas. Publicado 27/07/2026. Área del anuncio; validar el área privada con certificado o reglamento de PH.</t>
        </is>
      </c>
      <c r="AH14" s="70" t="inlineStr">
        <is>
          <t>Viva Inmobiliaria Asociados – SlideProp</t>
        </is>
      </c>
      <c r="AI14" s="70" t="inlineStr">
        <is>
          <t>Solicitar en portal</t>
        </is>
      </c>
      <c r="AJ14" s="80" t="inlineStr">
        <is>
          <t>https://colombia.slideprop.com/venta/casa/antioquia/bello/niquia</t>
        </is>
      </c>
      <c r="AK14" s="70" t="inlineStr">
        <is>
          <t>MEDIA: apartamento urbano de 84 m² en Niquía. No publica piso, edad ni parqueadero.</t>
        </is>
      </c>
      <c r="AL14" s="74" t="inlineStr">
        <is>
          <t>SÍ</t>
        </is>
      </c>
      <c r="AM14" s="199">
        <f>IF(AND(AL14="SÍ",ISNUMBER(AA14)),AA14,"")</f>
        <v/>
      </c>
      <c r="AN14" s="15">
        <f>IF(A14="","",IF(LEN(IF(B14="","SIN FECHA; ",IF(DATOS!$C$12-B14&gt;DATOS!$C$18*30.4,"VENCIDA; ",""))&amp;IF(AJ14="","SIN ENLACE; ","")&amp;IF(I14="","SIN COORDENADAS; ","")&amp;IF(N14="","SIN ÁREA; ","")&amp;IF(AND(ISNUMBER(AM14),ISNUMBER($AA$45),ISNUMBER($AA$46),N($AA$44)&gt;DATOS!$C$16),IF(OR(AM14&lt;$AA$45,AM14&gt;$AA$46),"FUERA DE LÍMITES; ",""),"")&amp;IF(AND(N(M14)&gt;0,N(N14)&gt;N(M14)),"ÁREA PRIVADA &gt; CONSTRUIDA; ",""))=0,"OK",IF(B14="","SIN FECHA; ",IF(DATOS!$C$12-B14&gt;DATOS!$C$18*30.4,"VENCIDA; ",""))&amp;IF(AJ14="","SIN ENLACE; ","")&amp;IF(I14="","SIN COORDENADAS; ","")&amp;IF(N14="","SIN ÁREA; ","")&amp;IF(AND(ISNUMBER(AM14),ISNUMBER($AA$45),ISNUMBER($AA$46),N($AA$44)&gt;DATOS!$C$16),IF(OR(AM14&lt;$AA$45,AM14&gt;$AA$46),"FUERA DE LÍMITES; ",""),"")&amp;IF(AND(N(M14)&gt;0,N(N14)&gt;N(M14)),"ÁREA PRIVADA &gt; CONSTRUIDA; ","")))</f>
        <v/>
      </c>
      <c r="AO14" s="25">
        <f>IF(AM14="","",IF(COMBINACIONES_PH!$B$18="MUESTRA COMPLETA","SÍ",IF(AUX_PH!F10="","NO (filtrada)",IF(AND(AUX_PH!F10&gt;=COMBINACIONES_PH!$B$22,AUX_PH!F10&lt;=COMBINACIONES_PH!$B$22+COMBINACIONES_PH!$B$23-1),"SÍ","NO"))))</f>
        <v/>
      </c>
      <c r="AP14" s="25">
        <f>IF(A14="","","OFERTA PH "&amp;TEXT(A14,"00"))</f>
        <v/>
      </c>
    </row>
    <row r="15" ht="34.2" customHeight="1" s="54">
      <c r="A15" s="70" t="n">
        <v>7</v>
      </c>
      <c r="B15" s="71" t="n">
        <v>46297</v>
      </c>
      <c r="C15" s="70" t="inlineStr">
        <is>
          <t>Apartamento</t>
        </is>
      </c>
      <c r="D15" s="70" t="inlineStr">
        <is>
          <t>Oferta de venta</t>
        </is>
      </c>
      <c r="E15" s="70" t="inlineStr">
        <is>
          <t>Bello</t>
        </is>
      </c>
      <c r="F15" s="70" t="inlineStr">
        <is>
          <t>Niquía</t>
        </is>
      </c>
      <c r="G15" s="70" t="inlineStr">
        <is>
          <t>Bello, Niquía (ubicación exacta no publicada)</t>
        </is>
      </c>
      <c r="H15" s="70" t="n"/>
      <c r="I15" s="70" t="n"/>
      <c r="J15" s="197" t="n">
        <v>450000000</v>
      </c>
      <c r="K15" s="198">
        <f>DATOS!$C$17</f>
        <v/>
      </c>
      <c r="L15" s="199">
        <f>IF(J15="","",J15*(1-K15))</f>
        <v/>
      </c>
      <c r="M15" s="73" t="n">
        <v>70.65000000000001</v>
      </c>
      <c r="N15" s="73" t="n">
        <v>70.65000000000001</v>
      </c>
      <c r="O15" s="73" t="n"/>
      <c r="P15" s="198">
        <f>DATOS!$C$23</f>
        <v/>
      </c>
      <c r="Q15" s="48">
        <f>IF(N(N15)&lt;=0,"",N15+N(P15)*N(O15))</f>
        <v/>
      </c>
      <c r="R15" s="73" t="n"/>
      <c r="S15" s="70" t="n"/>
      <c r="T15" s="73" t="n"/>
      <c r="U15" s="200">
        <f>DATOS!$C$21</f>
        <v/>
      </c>
      <c r="V15" s="70" t="n"/>
      <c r="W15" s="73" t="n"/>
      <c r="X15" s="200">
        <f>DATOS!$C$22</f>
        <v/>
      </c>
      <c r="Y15" s="199">
        <f>IF(L15="","",N(S15)*N(U15)+N(V15)*N(X15))</f>
        <v/>
      </c>
      <c r="Z15" s="199">
        <f>IF(L15="","",L15-Y15)</f>
        <v/>
      </c>
      <c r="AA15" s="199">
        <f>IF(OR(Z15="",N(N15)&lt;=0),"",Z15/IF(DATOS!$C$24="ÁREA PRIVADA CONSTRUIDA",N15,Q15))</f>
        <v/>
      </c>
      <c r="AB15" s="199">
        <f>IF(OR(Z15="",N(M15)&lt;=0),"",Z15/M15)</f>
        <v/>
      </c>
      <c r="AC15" s="70" t="n"/>
      <c r="AD15" s="70" t="n"/>
      <c r="AE15" s="70" t="n"/>
      <c r="AF15" s="197" t="n"/>
      <c r="AG15" s="70" t="inlineStr">
        <is>
          <t>Apartamento de 70,65 m². Área del anuncio; validar el área privada con certificado o reglamento de PH.</t>
        </is>
      </c>
      <c r="AH15" s="70" t="inlineStr">
        <is>
          <t>MYE Inmobiliaria SAS – Trovit</t>
        </is>
      </c>
      <c r="AI15" s="70" t="inlineStr">
        <is>
          <t>Solicitar en portal</t>
        </is>
      </c>
      <c r="AJ15" s="80" t="inlineStr">
        <is>
          <t>https://casas.trovit.com.co/casa-niquia</t>
        </is>
      </c>
      <c r="AK15" s="70" t="inlineStr">
        <is>
          <t>MEDIA: apartamento urbano de 70,65 m² en Niquía. No publica piso, edad ni parqueadero.</t>
        </is>
      </c>
      <c r="AL15" s="74" t="inlineStr">
        <is>
          <t>SÍ</t>
        </is>
      </c>
      <c r="AM15" s="199">
        <f>IF(AND(AL15="SÍ",ISNUMBER(AA15)),AA15,"")</f>
        <v/>
      </c>
      <c r="AN15" s="15">
        <f>IF(A15="","",IF(LEN(IF(B15="","SIN FECHA; ",IF(DATOS!$C$12-B15&gt;DATOS!$C$18*30.4,"VENCIDA; ",""))&amp;IF(AJ15="","SIN ENLACE; ","")&amp;IF(I15="","SIN COORDENADAS; ","")&amp;IF(N15="","SIN ÁREA; ","")&amp;IF(AND(ISNUMBER(AM15),ISNUMBER($AA$45),ISNUMBER($AA$46),N($AA$44)&gt;DATOS!$C$16),IF(OR(AM15&lt;$AA$45,AM15&gt;$AA$46),"FUERA DE LÍMITES; ",""),"")&amp;IF(AND(N(M15)&gt;0,N(N15)&gt;N(M15)),"ÁREA PRIVADA &gt; CONSTRUIDA; ",""))=0,"OK",IF(B15="","SIN FECHA; ",IF(DATOS!$C$12-B15&gt;DATOS!$C$18*30.4,"VENCIDA; ",""))&amp;IF(AJ15="","SIN ENLACE; ","")&amp;IF(I15="","SIN COORDENADAS; ","")&amp;IF(N15="","SIN ÁREA; ","")&amp;IF(AND(ISNUMBER(AM15),ISNUMBER($AA$45),ISNUMBER($AA$46),N($AA$44)&gt;DATOS!$C$16),IF(OR(AM15&lt;$AA$45,AM15&gt;$AA$46),"FUERA DE LÍMITES; ",""),"")&amp;IF(AND(N(M15)&gt;0,N(N15)&gt;N(M15)),"ÁREA PRIVADA &gt; CONSTRUIDA; ","")))</f>
        <v/>
      </c>
      <c r="AO15" s="25">
        <f>IF(AM15="","",IF(COMBINACIONES_PH!$B$18="MUESTRA COMPLETA","SÍ",IF(AUX_PH!F11="","NO (filtrada)",IF(AND(AUX_PH!F11&gt;=COMBINACIONES_PH!$B$22,AUX_PH!F11&lt;=COMBINACIONES_PH!$B$22+COMBINACIONES_PH!$B$23-1),"SÍ","NO"))))</f>
        <v/>
      </c>
      <c r="AP15" s="25">
        <f>IF(A15="","","OFERTA PH "&amp;TEXT(A15,"00"))</f>
        <v/>
      </c>
    </row>
    <row r="16" ht="45.6" customHeight="1" s="54">
      <c r="A16" s="70" t="n">
        <v>8</v>
      </c>
      <c r="B16" s="71" t="n">
        <v>46297</v>
      </c>
      <c r="C16" s="70" t="inlineStr">
        <is>
          <t>Apartamento</t>
        </is>
      </c>
      <c r="D16" s="70" t="inlineStr">
        <is>
          <t>Oferta de venta</t>
        </is>
      </c>
      <c r="E16" s="70" t="inlineStr">
        <is>
          <t>Bello</t>
        </is>
      </c>
      <c r="F16" s="70" t="inlineStr">
        <is>
          <t>Niquía</t>
        </is>
      </c>
      <c r="G16" s="70" t="inlineStr">
        <is>
          <t>Bello, Niquía (ubicación exacta no publicada)</t>
        </is>
      </c>
      <c r="H16" s="70" t="n"/>
      <c r="I16" s="70" t="n"/>
      <c r="J16" s="197" t="n">
        <v>360000000</v>
      </c>
      <c r="K16" s="198">
        <f>DATOS!$C$17</f>
        <v/>
      </c>
      <c r="L16" s="199">
        <f>IF(J16="","",J16*(1-K16))</f>
        <v/>
      </c>
      <c r="M16" s="73" t="n">
        <v>62</v>
      </c>
      <c r="N16" s="73" t="n">
        <v>62</v>
      </c>
      <c r="O16" s="73" t="n"/>
      <c r="P16" s="198">
        <f>DATOS!$C$23</f>
        <v/>
      </c>
      <c r="Q16" s="48">
        <f>IF(N(N16)&lt;=0,"",N16+N(P16)*N(O16))</f>
        <v/>
      </c>
      <c r="R16" s="73" t="n"/>
      <c r="S16" s="70" t="n"/>
      <c r="T16" s="73" t="n"/>
      <c r="U16" s="200">
        <f>DATOS!$C$21</f>
        <v/>
      </c>
      <c r="V16" s="70" t="n"/>
      <c r="W16" s="73" t="n"/>
      <c r="X16" s="200">
        <f>DATOS!$C$22</f>
        <v/>
      </c>
      <c r="Y16" s="199">
        <f>IF(L16="","",N(S16)*N(U16)+N(V16)*N(X16))</f>
        <v/>
      </c>
      <c r="Z16" s="199">
        <f>IF(L16="","",L16-Y16)</f>
        <v/>
      </c>
      <c r="AA16" s="199">
        <f>IF(OR(Z16="",N(N16)&lt;=0),"",Z16/IF(DATOS!$C$24="ÁREA PRIVADA CONSTRUIDA",N16,Q16))</f>
        <v/>
      </c>
      <c r="AB16" s="199">
        <f>IF(OR(Z16="",N(M16)&lt;=0),"",Z16/M16)</f>
        <v/>
      </c>
      <c r="AC16" s="70" t="n"/>
      <c r="AD16" s="70" t="n"/>
      <c r="AE16" s="70" t="n"/>
      <c r="AF16" s="197" t="n"/>
      <c r="AG16" s="70" t="inlineStr">
        <is>
          <t>3 alcobas, 2 baños, 1 garaje. Código Metrocuadrado 21626-M6568241. Área del anuncio; validar el área privada con certificado o reglamento de PH.</t>
        </is>
      </c>
      <c r="AH16" s="70" t="inlineStr">
        <is>
          <t>Metrocuadrado (inmobiliaria no identificada)</t>
        </is>
      </c>
      <c r="AI16" s="70" t="inlineStr">
        <is>
          <t>Solicitar en portal</t>
        </is>
      </c>
      <c r="AJ16" s="80" t="inlineStr">
        <is>
          <t>https://www.metrocuadrado.com/apartamentos/bello/niquia/</t>
        </is>
      </c>
      <c r="AK16" s="70" t="inlineStr">
        <is>
          <t>MEDIA: apartamento urbano de 62 m² en Niquía. Confirmar si el garaje es unidad privada (folio propio).</t>
        </is>
      </c>
      <c r="AL16" s="74" t="inlineStr">
        <is>
          <t>SÍ</t>
        </is>
      </c>
      <c r="AM16" s="199">
        <f>IF(AND(AL16="SÍ",ISNUMBER(AA16)),AA16,"")</f>
        <v/>
      </c>
      <c r="AN16" s="15">
        <f>IF(A16="","",IF(LEN(IF(B16="","SIN FECHA; ",IF(DATOS!$C$12-B16&gt;DATOS!$C$18*30.4,"VENCIDA; ",""))&amp;IF(AJ16="","SIN ENLACE; ","")&amp;IF(I16="","SIN COORDENADAS; ","")&amp;IF(N16="","SIN ÁREA; ","")&amp;IF(AND(ISNUMBER(AM16),ISNUMBER($AA$45),ISNUMBER($AA$46),N($AA$44)&gt;DATOS!$C$16),IF(OR(AM16&lt;$AA$45,AM16&gt;$AA$46),"FUERA DE LÍMITES; ",""),"")&amp;IF(AND(N(M16)&gt;0,N(N16)&gt;N(M16)),"ÁREA PRIVADA &gt; CONSTRUIDA; ",""))=0,"OK",IF(B16="","SIN FECHA; ",IF(DATOS!$C$12-B16&gt;DATOS!$C$18*30.4,"VENCIDA; ",""))&amp;IF(AJ16="","SIN ENLACE; ","")&amp;IF(I16="","SIN COORDENADAS; ","")&amp;IF(N16="","SIN ÁREA; ","")&amp;IF(AND(ISNUMBER(AM16),ISNUMBER($AA$45),ISNUMBER($AA$46),N($AA$44)&gt;DATOS!$C$16),IF(OR(AM16&lt;$AA$45,AM16&gt;$AA$46),"FUERA DE LÍMITES; ",""),"")&amp;IF(AND(N(M16)&gt;0,N(N16)&gt;N(M16)),"ÁREA PRIVADA &gt; CONSTRUIDA; ","")))</f>
        <v/>
      </c>
      <c r="AO16" s="25">
        <f>IF(AM16="","",IF(COMBINACIONES_PH!$B$18="MUESTRA COMPLETA","SÍ",IF(AUX_PH!F12="","NO (filtrada)",IF(AND(AUX_PH!F12&gt;=COMBINACIONES_PH!$B$22,AUX_PH!F12&lt;=COMBINACIONES_PH!$B$22+COMBINACIONES_PH!$B$23-1),"SÍ","NO"))))</f>
        <v/>
      </c>
      <c r="AP16" s="25">
        <f>IF(A16="","","OFERTA PH "&amp;TEXT(A16,"00"))</f>
        <v/>
      </c>
    </row>
    <row r="17">
      <c r="A17" s="70" t="n"/>
      <c r="B17" s="71" t="n"/>
      <c r="C17" s="70" t="n"/>
      <c r="D17" s="70" t="n"/>
      <c r="E17" s="70" t="n"/>
      <c r="F17" s="70" t="n"/>
      <c r="G17" s="70" t="n"/>
      <c r="H17" s="70" t="n"/>
      <c r="I17" s="70" t="n"/>
      <c r="J17" s="197" t="n"/>
      <c r="K17" s="198">
        <f>DATOS!$C$17</f>
        <v/>
      </c>
      <c r="L17" s="199">
        <f>IF(J17="","",J17*(1-K17))</f>
        <v/>
      </c>
      <c r="M17" s="73" t="n"/>
      <c r="N17" s="73" t="n"/>
      <c r="O17" s="73" t="n"/>
      <c r="P17" s="198">
        <f>DATOS!$C$23</f>
        <v/>
      </c>
      <c r="Q17" s="48">
        <f>IF(N(N17)&lt;=0,"",N17+N(P17)*N(O17))</f>
        <v/>
      </c>
      <c r="R17" s="73" t="n"/>
      <c r="S17" s="70" t="n"/>
      <c r="T17" s="73" t="n"/>
      <c r="U17" s="200">
        <f>DATOS!$C$21</f>
        <v/>
      </c>
      <c r="V17" s="70" t="n"/>
      <c r="W17" s="73" t="n"/>
      <c r="X17" s="200">
        <f>DATOS!$C$22</f>
        <v/>
      </c>
      <c r="Y17" s="199">
        <f>IF(L17="","",N(S17)*N(U17)+N(V17)*N(X17))</f>
        <v/>
      </c>
      <c r="Z17" s="199">
        <f>IF(L17="","",L17-Y17)</f>
        <v/>
      </c>
      <c r="AA17" s="199">
        <f>IF(OR(Z17="",N(N17)&lt;=0),"",Z17/IF(DATOS!$C$24="ÁREA PRIVADA CONSTRUIDA",N17,Q17))</f>
        <v/>
      </c>
      <c r="AB17" s="199">
        <f>IF(OR(Z17="",N(M17)&lt;=0),"",Z17/M17)</f>
        <v/>
      </c>
      <c r="AC17" s="70" t="n"/>
      <c r="AD17" s="70" t="n"/>
      <c r="AE17" s="70" t="n"/>
      <c r="AF17" s="197" t="n"/>
      <c r="AG17" s="70" t="n"/>
      <c r="AH17" s="70" t="n"/>
      <c r="AI17" s="70" t="n"/>
      <c r="AJ17" s="70" t="n"/>
      <c r="AK17" s="70" t="n"/>
      <c r="AL17" s="74" t="n"/>
      <c r="AM17" s="199">
        <f>IF(AND(AL17="SÍ",ISNUMBER(AA17)),AA17,"")</f>
        <v/>
      </c>
      <c r="AN17" s="15">
        <f>IF(A17="","",IF(LEN(IF(B17="","SIN FECHA; ",IF(DATOS!$C$12-B17&gt;DATOS!$C$18*30.4,"VENCIDA; ",""))&amp;IF(AJ17="","SIN ENLACE; ","")&amp;IF(I17="","SIN COORDENADAS; ","")&amp;IF(N17="","SIN ÁREA; ","")&amp;IF(AND(ISNUMBER(AM17),ISNUMBER($AA$45),ISNUMBER($AA$46),N($AA$44)&gt;DATOS!$C$16),IF(OR(AM17&lt;$AA$45,AM17&gt;$AA$46),"FUERA DE LÍMITES; ",""),"")&amp;IF(AND(N(M17)&gt;0,N(N17)&gt;N(M17)),"ÁREA PRIVADA &gt; CONSTRUIDA; ",""))=0,"OK",IF(B17="","SIN FECHA; ",IF(DATOS!$C$12-B17&gt;DATOS!$C$18*30.4,"VENCIDA; ",""))&amp;IF(AJ17="","SIN ENLACE; ","")&amp;IF(I17="","SIN COORDENADAS; ","")&amp;IF(N17="","SIN ÁREA; ","")&amp;IF(AND(ISNUMBER(AM17),ISNUMBER($AA$45),ISNUMBER($AA$46),N($AA$44)&gt;DATOS!$C$16),IF(OR(AM17&lt;$AA$45,AM17&gt;$AA$46),"FUERA DE LÍMITES; ",""),"")&amp;IF(AND(N(M17)&gt;0,N(N17)&gt;N(M17)),"ÁREA PRIVADA &gt; CONSTRUIDA; ","")))</f>
        <v/>
      </c>
      <c r="AO17" s="25">
        <f>IF(AM17="","",IF(COMBINACIONES_PH!$B$18="MUESTRA COMPLETA","SÍ",IF(AUX_PH!F13="","NO (filtrada)",IF(AND(AUX_PH!F13&gt;=COMBINACIONES_PH!$B$22,AUX_PH!F13&lt;=COMBINACIONES_PH!$B$22+COMBINACIONES_PH!$B$23-1),"SÍ","NO"))))</f>
        <v/>
      </c>
      <c r="AP17" s="25">
        <f>IF(A17="","","OFERTA PH "&amp;TEXT(A17,"00"))</f>
        <v/>
      </c>
    </row>
    <row r="18">
      <c r="A18" s="70" t="n"/>
      <c r="B18" s="71" t="n"/>
      <c r="C18" s="70" t="n"/>
      <c r="D18" s="70" t="n"/>
      <c r="E18" s="70" t="n"/>
      <c r="F18" s="70" t="n"/>
      <c r="G18" s="70" t="n"/>
      <c r="H18" s="70" t="n"/>
      <c r="I18" s="70" t="n"/>
      <c r="J18" s="197" t="n"/>
      <c r="K18" s="198">
        <f>DATOS!$C$17</f>
        <v/>
      </c>
      <c r="L18" s="199">
        <f>IF(J18="","",J18*(1-K18))</f>
        <v/>
      </c>
      <c r="M18" s="73" t="n"/>
      <c r="N18" s="73" t="n"/>
      <c r="O18" s="73" t="n"/>
      <c r="P18" s="198">
        <f>DATOS!$C$23</f>
        <v/>
      </c>
      <c r="Q18" s="48">
        <f>IF(N(N18)&lt;=0,"",N18+N(P18)*N(O18))</f>
        <v/>
      </c>
      <c r="R18" s="73" t="n"/>
      <c r="S18" s="70" t="n"/>
      <c r="T18" s="73" t="n"/>
      <c r="U18" s="200">
        <f>DATOS!$C$21</f>
        <v/>
      </c>
      <c r="V18" s="70" t="n"/>
      <c r="W18" s="73" t="n"/>
      <c r="X18" s="200">
        <f>DATOS!$C$22</f>
        <v/>
      </c>
      <c r="Y18" s="199">
        <f>IF(L18="","",N(S18)*N(U18)+N(V18)*N(X18))</f>
        <v/>
      </c>
      <c r="Z18" s="199">
        <f>IF(L18="","",L18-Y18)</f>
        <v/>
      </c>
      <c r="AA18" s="199">
        <f>IF(OR(Z18="",N(N18)&lt;=0),"",Z18/IF(DATOS!$C$24="ÁREA PRIVADA CONSTRUIDA",N18,Q18))</f>
        <v/>
      </c>
      <c r="AB18" s="199">
        <f>IF(OR(Z18="",N(M18)&lt;=0),"",Z18/M18)</f>
        <v/>
      </c>
      <c r="AC18" s="70" t="n"/>
      <c r="AD18" s="70" t="n"/>
      <c r="AE18" s="70" t="n"/>
      <c r="AF18" s="197" t="n"/>
      <c r="AG18" s="70" t="n"/>
      <c r="AH18" s="70" t="n"/>
      <c r="AI18" s="70" t="n"/>
      <c r="AJ18" s="70" t="n"/>
      <c r="AK18" s="70" t="n"/>
      <c r="AL18" s="74" t="n"/>
      <c r="AM18" s="199">
        <f>IF(AND(AL18="SÍ",ISNUMBER(AA18)),AA18,"")</f>
        <v/>
      </c>
      <c r="AN18" s="15">
        <f>IF(A18="","",IF(LEN(IF(B18="","SIN FECHA; ",IF(DATOS!$C$12-B18&gt;DATOS!$C$18*30.4,"VENCIDA; ",""))&amp;IF(AJ18="","SIN ENLACE; ","")&amp;IF(I18="","SIN COORDENADAS; ","")&amp;IF(N18="","SIN ÁREA; ","")&amp;IF(AND(ISNUMBER(AM18),ISNUMBER($AA$45),ISNUMBER($AA$46),N($AA$44)&gt;DATOS!$C$16),IF(OR(AM18&lt;$AA$45,AM18&gt;$AA$46),"FUERA DE LÍMITES; ",""),"")&amp;IF(AND(N(M18)&gt;0,N(N18)&gt;N(M18)),"ÁREA PRIVADA &gt; CONSTRUIDA; ",""))=0,"OK",IF(B18="","SIN FECHA; ",IF(DATOS!$C$12-B18&gt;DATOS!$C$18*30.4,"VENCIDA; ",""))&amp;IF(AJ18="","SIN ENLACE; ","")&amp;IF(I18="","SIN COORDENADAS; ","")&amp;IF(N18="","SIN ÁREA; ","")&amp;IF(AND(ISNUMBER(AM18),ISNUMBER($AA$45),ISNUMBER($AA$46),N($AA$44)&gt;DATOS!$C$16),IF(OR(AM18&lt;$AA$45,AM18&gt;$AA$46),"FUERA DE LÍMITES; ",""),"")&amp;IF(AND(N(M18)&gt;0,N(N18)&gt;N(M18)),"ÁREA PRIVADA &gt; CONSTRUIDA; ","")))</f>
        <v/>
      </c>
      <c r="AO18" s="25">
        <f>IF(AM18="","",IF(COMBINACIONES_PH!$B$18="MUESTRA COMPLETA","SÍ",IF(AUX_PH!F14="","NO (filtrada)",IF(AND(AUX_PH!F14&gt;=COMBINACIONES_PH!$B$22,AUX_PH!F14&lt;=COMBINACIONES_PH!$B$22+COMBINACIONES_PH!$B$23-1),"SÍ","NO"))))</f>
        <v/>
      </c>
      <c r="AP18" s="25">
        <f>IF(A18="","","OFERTA PH "&amp;TEXT(A18,"00"))</f>
        <v/>
      </c>
    </row>
    <row r="19">
      <c r="A19" s="70" t="n"/>
      <c r="B19" s="71" t="n"/>
      <c r="C19" s="70" t="n"/>
      <c r="D19" s="70" t="n"/>
      <c r="E19" s="70" t="n"/>
      <c r="F19" s="70" t="n"/>
      <c r="G19" s="70" t="n"/>
      <c r="H19" s="70" t="n"/>
      <c r="I19" s="70" t="n"/>
      <c r="J19" s="197" t="n"/>
      <c r="K19" s="198">
        <f>DATOS!$C$17</f>
        <v/>
      </c>
      <c r="L19" s="199">
        <f>IF(J19="","",J19*(1-K19))</f>
        <v/>
      </c>
      <c r="M19" s="73" t="n"/>
      <c r="N19" s="73" t="n"/>
      <c r="O19" s="73" t="n"/>
      <c r="P19" s="198">
        <f>DATOS!$C$23</f>
        <v/>
      </c>
      <c r="Q19" s="48">
        <f>IF(N(N19)&lt;=0,"",N19+N(P19)*N(O19))</f>
        <v/>
      </c>
      <c r="R19" s="73" t="n"/>
      <c r="S19" s="70" t="n"/>
      <c r="T19" s="73" t="n"/>
      <c r="U19" s="200">
        <f>DATOS!$C$21</f>
        <v/>
      </c>
      <c r="V19" s="70" t="n"/>
      <c r="W19" s="73" t="n"/>
      <c r="X19" s="200">
        <f>DATOS!$C$22</f>
        <v/>
      </c>
      <c r="Y19" s="199">
        <f>IF(L19="","",N(S19)*N(U19)+N(V19)*N(X19))</f>
        <v/>
      </c>
      <c r="Z19" s="199">
        <f>IF(L19="","",L19-Y19)</f>
        <v/>
      </c>
      <c r="AA19" s="199">
        <f>IF(OR(Z19="",N(N19)&lt;=0),"",Z19/IF(DATOS!$C$24="ÁREA PRIVADA CONSTRUIDA",N19,Q19))</f>
        <v/>
      </c>
      <c r="AB19" s="199">
        <f>IF(OR(Z19="",N(M19)&lt;=0),"",Z19/M19)</f>
        <v/>
      </c>
      <c r="AC19" s="70" t="n"/>
      <c r="AD19" s="70" t="n"/>
      <c r="AE19" s="70" t="n"/>
      <c r="AF19" s="197" t="n"/>
      <c r="AG19" s="70" t="n"/>
      <c r="AH19" s="70" t="n"/>
      <c r="AI19" s="70" t="n"/>
      <c r="AJ19" s="70" t="n"/>
      <c r="AK19" s="70" t="n"/>
      <c r="AL19" s="74" t="n"/>
      <c r="AM19" s="199">
        <f>IF(AND(AL19="SÍ",ISNUMBER(AA19)),AA19,"")</f>
        <v/>
      </c>
      <c r="AN19" s="15">
        <f>IF(A19="","",IF(LEN(IF(B19="","SIN FECHA; ",IF(DATOS!$C$12-B19&gt;DATOS!$C$18*30.4,"VENCIDA; ",""))&amp;IF(AJ19="","SIN ENLACE; ","")&amp;IF(I19="","SIN COORDENADAS; ","")&amp;IF(N19="","SIN ÁREA; ","")&amp;IF(AND(ISNUMBER(AM19),ISNUMBER($AA$45),ISNUMBER($AA$46),N($AA$44)&gt;DATOS!$C$16),IF(OR(AM19&lt;$AA$45,AM19&gt;$AA$46),"FUERA DE LÍMITES; ",""),"")&amp;IF(AND(N(M19)&gt;0,N(N19)&gt;N(M19)),"ÁREA PRIVADA &gt; CONSTRUIDA; ",""))=0,"OK",IF(B19="","SIN FECHA; ",IF(DATOS!$C$12-B19&gt;DATOS!$C$18*30.4,"VENCIDA; ",""))&amp;IF(AJ19="","SIN ENLACE; ","")&amp;IF(I19="","SIN COORDENADAS; ","")&amp;IF(N19="","SIN ÁREA; ","")&amp;IF(AND(ISNUMBER(AM19),ISNUMBER($AA$45),ISNUMBER($AA$46),N($AA$44)&gt;DATOS!$C$16),IF(OR(AM19&lt;$AA$45,AM19&gt;$AA$46),"FUERA DE LÍMITES; ",""),"")&amp;IF(AND(N(M19)&gt;0,N(N19)&gt;N(M19)),"ÁREA PRIVADA &gt; CONSTRUIDA; ","")))</f>
        <v/>
      </c>
      <c r="AO19" s="25">
        <f>IF(AM19="","",IF(COMBINACIONES_PH!$B$18="MUESTRA COMPLETA","SÍ",IF(AUX_PH!F15="","NO (filtrada)",IF(AND(AUX_PH!F15&gt;=COMBINACIONES_PH!$B$22,AUX_PH!F15&lt;=COMBINACIONES_PH!$B$22+COMBINACIONES_PH!$B$23-1),"SÍ","NO"))))</f>
        <v/>
      </c>
      <c r="AP19" s="25">
        <f>IF(A19="","","OFERTA PH "&amp;TEXT(A19,"00"))</f>
        <v/>
      </c>
    </row>
    <row r="20">
      <c r="A20" s="70" t="n"/>
      <c r="B20" s="71" t="n"/>
      <c r="C20" s="70" t="n"/>
      <c r="D20" s="70" t="n"/>
      <c r="E20" s="70" t="n"/>
      <c r="F20" s="70" t="n"/>
      <c r="G20" s="70" t="n"/>
      <c r="H20" s="70" t="n"/>
      <c r="I20" s="70" t="n"/>
      <c r="J20" s="197" t="n"/>
      <c r="K20" s="198">
        <f>DATOS!$C$17</f>
        <v/>
      </c>
      <c r="L20" s="199">
        <f>IF(J20="","",J20*(1-K20))</f>
        <v/>
      </c>
      <c r="M20" s="73" t="n"/>
      <c r="N20" s="73" t="n"/>
      <c r="O20" s="73" t="n"/>
      <c r="P20" s="198">
        <f>DATOS!$C$23</f>
        <v/>
      </c>
      <c r="Q20" s="48">
        <f>IF(N(N20)&lt;=0,"",N20+N(P20)*N(O20))</f>
        <v/>
      </c>
      <c r="R20" s="73" t="n"/>
      <c r="S20" s="70" t="n"/>
      <c r="T20" s="73" t="n"/>
      <c r="U20" s="200">
        <f>DATOS!$C$21</f>
        <v/>
      </c>
      <c r="V20" s="70" t="n"/>
      <c r="W20" s="73" t="n"/>
      <c r="X20" s="200">
        <f>DATOS!$C$22</f>
        <v/>
      </c>
      <c r="Y20" s="199">
        <f>IF(L20="","",N(S20)*N(U20)+N(V20)*N(X20))</f>
        <v/>
      </c>
      <c r="Z20" s="199">
        <f>IF(L20="","",L20-Y20)</f>
        <v/>
      </c>
      <c r="AA20" s="199">
        <f>IF(OR(Z20="",N(N20)&lt;=0),"",Z20/IF(DATOS!$C$24="ÁREA PRIVADA CONSTRUIDA",N20,Q20))</f>
        <v/>
      </c>
      <c r="AB20" s="199">
        <f>IF(OR(Z20="",N(M20)&lt;=0),"",Z20/M20)</f>
        <v/>
      </c>
      <c r="AC20" s="70" t="n"/>
      <c r="AD20" s="70" t="n"/>
      <c r="AE20" s="70" t="n"/>
      <c r="AF20" s="197" t="n"/>
      <c r="AG20" s="70" t="n"/>
      <c r="AH20" s="70" t="n"/>
      <c r="AI20" s="70" t="n"/>
      <c r="AJ20" s="70" t="n"/>
      <c r="AK20" s="70" t="n"/>
      <c r="AL20" s="74" t="n"/>
      <c r="AM20" s="199">
        <f>IF(AND(AL20="SÍ",ISNUMBER(AA20)),AA20,"")</f>
        <v/>
      </c>
      <c r="AN20" s="15">
        <f>IF(A20="","",IF(LEN(IF(B20="","SIN FECHA; ",IF(DATOS!$C$12-B20&gt;DATOS!$C$18*30.4,"VENCIDA; ",""))&amp;IF(AJ20="","SIN ENLACE; ","")&amp;IF(I20="","SIN COORDENADAS; ","")&amp;IF(N20="","SIN ÁREA; ","")&amp;IF(AND(ISNUMBER(AM20),ISNUMBER($AA$45),ISNUMBER($AA$46),N($AA$44)&gt;DATOS!$C$16),IF(OR(AM20&lt;$AA$45,AM20&gt;$AA$46),"FUERA DE LÍMITES; ",""),"")&amp;IF(AND(N(M20)&gt;0,N(N20)&gt;N(M20)),"ÁREA PRIVADA &gt; CONSTRUIDA; ",""))=0,"OK",IF(B20="","SIN FECHA; ",IF(DATOS!$C$12-B20&gt;DATOS!$C$18*30.4,"VENCIDA; ",""))&amp;IF(AJ20="","SIN ENLACE; ","")&amp;IF(I20="","SIN COORDENADAS; ","")&amp;IF(N20="","SIN ÁREA; ","")&amp;IF(AND(ISNUMBER(AM20),ISNUMBER($AA$45),ISNUMBER($AA$46),N($AA$44)&gt;DATOS!$C$16),IF(OR(AM20&lt;$AA$45,AM20&gt;$AA$46),"FUERA DE LÍMITES; ",""),"")&amp;IF(AND(N(M20)&gt;0,N(N20)&gt;N(M20)),"ÁREA PRIVADA &gt; CONSTRUIDA; ","")))</f>
        <v/>
      </c>
      <c r="AO20" s="25">
        <f>IF(AM20="","",IF(COMBINACIONES_PH!$B$18="MUESTRA COMPLETA","SÍ",IF(AUX_PH!F16="","NO (filtrada)",IF(AND(AUX_PH!F16&gt;=COMBINACIONES_PH!$B$22,AUX_PH!F16&lt;=COMBINACIONES_PH!$B$22+COMBINACIONES_PH!$B$23-1),"SÍ","NO"))))</f>
        <v/>
      </c>
      <c r="AP20" s="25">
        <f>IF(A20="","","OFERTA PH "&amp;TEXT(A20,"00"))</f>
        <v/>
      </c>
    </row>
    <row r="21">
      <c r="A21" s="70" t="n"/>
      <c r="B21" s="71" t="n"/>
      <c r="C21" s="70" t="n"/>
      <c r="D21" s="70" t="n"/>
      <c r="E21" s="70" t="n"/>
      <c r="F21" s="70" t="n"/>
      <c r="G21" s="70" t="n"/>
      <c r="H21" s="70" t="n"/>
      <c r="I21" s="70" t="n"/>
      <c r="J21" s="197" t="n"/>
      <c r="K21" s="198">
        <f>DATOS!$C$17</f>
        <v/>
      </c>
      <c r="L21" s="199">
        <f>IF(J21="","",J21*(1-K21))</f>
        <v/>
      </c>
      <c r="M21" s="73" t="n"/>
      <c r="N21" s="73" t="n"/>
      <c r="O21" s="73" t="n"/>
      <c r="P21" s="198">
        <f>DATOS!$C$23</f>
        <v/>
      </c>
      <c r="Q21" s="48">
        <f>IF(N(N21)&lt;=0,"",N21+N(P21)*N(O21))</f>
        <v/>
      </c>
      <c r="R21" s="73" t="n"/>
      <c r="S21" s="70" t="n"/>
      <c r="T21" s="73" t="n"/>
      <c r="U21" s="200">
        <f>DATOS!$C$21</f>
        <v/>
      </c>
      <c r="V21" s="70" t="n"/>
      <c r="W21" s="73" t="n"/>
      <c r="X21" s="200">
        <f>DATOS!$C$22</f>
        <v/>
      </c>
      <c r="Y21" s="199">
        <f>IF(L21="","",N(S21)*N(U21)+N(V21)*N(X21))</f>
        <v/>
      </c>
      <c r="Z21" s="199">
        <f>IF(L21="","",L21-Y21)</f>
        <v/>
      </c>
      <c r="AA21" s="199">
        <f>IF(OR(Z21="",N(N21)&lt;=0),"",Z21/IF(DATOS!$C$24="ÁREA PRIVADA CONSTRUIDA",N21,Q21))</f>
        <v/>
      </c>
      <c r="AB21" s="199">
        <f>IF(OR(Z21="",N(M21)&lt;=0),"",Z21/M21)</f>
        <v/>
      </c>
      <c r="AC21" s="70" t="n"/>
      <c r="AD21" s="70" t="n"/>
      <c r="AE21" s="70" t="n"/>
      <c r="AF21" s="197" t="n"/>
      <c r="AG21" s="70" t="n"/>
      <c r="AH21" s="70" t="n"/>
      <c r="AI21" s="70" t="n"/>
      <c r="AJ21" s="70" t="n"/>
      <c r="AK21" s="70" t="n"/>
      <c r="AL21" s="74" t="n"/>
      <c r="AM21" s="199">
        <f>IF(AND(AL21="SÍ",ISNUMBER(AA21)),AA21,"")</f>
        <v/>
      </c>
      <c r="AN21" s="15">
        <f>IF(A21="","",IF(LEN(IF(B21="","SIN FECHA; ",IF(DATOS!$C$12-B21&gt;DATOS!$C$18*30.4,"VENCIDA; ",""))&amp;IF(AJ21="","SIN ENLACE; ","")&amp;IF(I21="","SIN COORDENADAS; ","")&amp;IF(N21="","SIN ÁREA; ","")&amp;IF(AND(ISNUMBER(AM21),ISNUMBER($AA$45),ISNUMBER($AA$46),N($AA$44)&gt;DATOS!$C$16),IF(OR(AM21&lt;$AA$45,AM21&gt;$AA$46),"FUERA DE LÍMITES; ",""),"")&amp;IF(AND(N(M21)&gt;0,N(N21)&gt;N(M21)),"ÁREA PRIVADA &gt; CONSTRUIDA; ",""))=0,"OK",IF(B21="","SIN FECHA; ",IF(DATOS!$C$12-B21&gt;DATOS!$C$18*30.4,"VENCIDA; ",""))&amp;IF(AJ21="","SIN ENLACE; ","")&amp;IF(I21="","SIN COORDENADAS; ","")&amp;IF(N21="","SIN ÁREA; ","")&amp;IF(AND(ISNUMBER(AM21),ISNUMBER($AA$45),ISNUMBER($AA$46),N($AA$44)&gt;DATOS!$C$16),IF(OR(AM21&lt;$AA$45,AM21&gt;$AA$46),"FUERA DE LÍMITES; ",""),"")&amp;IF(AND(N(M21)&gt;0,N(N21)&gt;N(M21)),"ÁREA PRIVADA &gt; CONSTRUIDA; ","")))</f>
        <v/>
      </c>
      <c r="AO21" s="25">
        <f>IF(AM21="","",IF(COMBINACIONES_PH!$B$18="MUESTRA COMPLETA","SÍ",IF(AUX_PH!F17="","NO (filtrada)",IF(AND(AUX_PH!F17&gt;=COMBINACIONES_PH!$B$22,AUX_PH!F17&lt;=COMBINACIONES_PH!$B$22+COMBINACIONES_PH!$B$23-1),"SÍ","NO"))))</f>
        <v/>
      </c>
      <c r="AP21" s="25">
        <f>IF(A21="","","OFERTA PH "&amp;TEXT(A21,"00"))</f>
        <v/>
      </c>
    </row>
    <row r="22">
      <c r="A22" s="70" t="n"/>
      <c r="B22" s="71" t="n"/>
      <c r="C22" s="70" t="n"/>
      <c r="D22" s="70" t="n"/>
      <c r="E22" s="70" t="n"/>
      <c r="F22" s="70" t="n"/>
      <c r="G22" s="70" t="n"/>
      <c r="H22" s="70" t="n"/>
      <c r="I22" s="70" t="n"/>
      <c r="J22" s="197" t="n"/>
      <c r="K22" s="198">
        <f>DATOS!$C$17</f>
        <v/>
      </c>
      <c r="L22" s="199">
        <f>IF(J22="","",J22*(1-K22))</f>
        <v/>
      </c>
      <c r="M22" s="73" t="n"/>
      <c r="N22" s="73" t="n"/>
      <c r="O22" s="73" t="n"/>
      <c r="P22" s="198">
        <f>DATOS!$C$23</f>
        <v/>
      </c>
      <c r="Q22" s="48">
        <f>IF(N(N22)&lt;=0,"",N22+N(P22)*N(O22))</f>
        <v/>
      </c>
      <c r="R22" s="73" t="n"/>
      <c r="S22" s="70" t="n"/>
      <c r="T22" s="73" t="n"/>
      <c r="U22" s="200">
        <f>DATOS!$C$21</f>
        <v/>
      </c>
      <c r="V22" s="70" t="n"/>
      <c r="W22" s="73" t="n"/>
      <c r="X22" s="200">
        <f>DATOS!$C$22</f>
        <v/>
      </c>
      <c r="Y22" s="199">
        <f>IF(L22="","",N(S22)*N(U22)+N(V22)*N(X22))</f>
        <v/>
      </c>
      <c r="Z22" s="199">
        <f>IF(L22="","",L22-Y22)</f>
        <v/>
      </c>
      <c r="AA22" s="199">
        <f>IF(OR(Z22="",N(N22)&lt;=0),"",Z22/IF(DATOS!$C$24="ÁREA PRIVADA CONSTRUIDA",N22,Q22))</f>
        <v/>
      </c>
      <c r="AB22" s="199">
        <f>IF(OR(Z22="",N(M22)&lt;=0),"",Z22/M22)</f>
        <v/>
      </c>
      <c r="AC22" s="70" t="n"/>
      <c r="AD22" s="70" t="n"/>
      <c r="AE22" s="70" t="n"/>
      <c r="AF22" s="197" t="n"/>
      <c r="AG22" s="70" t="n"/>
      <c r="AH22" s="70" t="n"/>
      <c r="AI22" s="70" t="n"/>
      <c r="AJ22" s="70" t="n"/>
      <c r="AK22" s="70" t="n"/>
      <c r="AL22" s="74" t="n"/>
      <c r="AM22" s="199">
        <f>IF(AND(AL22="SÍ",ISNUMBER(AA22)),AA22,"")</f>
        <v/>
      </c>
      <c r="AN22" s="15">
        <f>IF(A22="","",IF(LEN(IF(B22="","SIN FECHA; ",IF(DATOS!$C$12-B22&gt;DATOS!$C$18*30.4,"VENCIDA; ",""))&amp;IF(AJ22="","SIN ENLACE; ","")&amp;IF(I22="","SIN COORDENADAS; ","")&amp;IF(N22="","SIN ÁREA; ","")&amp;IF(AND(ISNUMBER(AM22),ISNUMBER($AA$45),ISNUMBER($AA$46),N($AA$44)&gt;DATOS!$C$16),IF(OR(AM22&lt;$AA$45,AM22&gt;$AA$46),"FUERA DE LÍMITES; ",""),"")&amp;IF(AND(N(M22)&gt;0,N(N22)&gt;N(M22)),"ÁREA PRIVADA &gt; CONSTRUIDA; ",""))=0,"OK",IF(B22="","SIN FECHA; ",IF(DATOS!$C$12-B22&gt;DATOS!$C$18*30.4,"VENCIDA; ",""))&amp;IF(AJ22="","SIN ENLACE; ","")&amp;IF(I22="","SIN COORDENADAS; ","")&amp;IF(N22="","SIN ÁREA; ","")&amp;IF(AND(ISNUMBER(AM22),ISNUMBER($AA$45),ISNUMBER($AA$46),N($AA$44)&gt;DATOS!$C$16),IF(OR(AM22&lt;$AA$45,AM22&gt;$AA$46),"FUERA DE LÍMITES; ",""),"")&amp;IF(AND(N(M22)&gt;0,N(N22)&gt;N(M22)),"ÁREA PRIVADA &gt; CONSTRUIDA; ","")))</f>
        <v/>
      </c>
      <c r="AO22" s="25">
        <f>IF(AM22="","",IF(COMBINACIONES_PH!$B$18="MUESTRA COMPLETA","SÍ",IF(AUX_PH!F18="","NO (filtrada)",IF(AND(AUX_PH!F18&gt;=COMBINACIONES_PH!$B$22,AUX_PH!F18&lt;=COMBINACIONES_PH!$B$22+COMBINACIONES_PH!$B$23-1),"SÍ","NO"))))</f>
        <v/>
      </c>
      <c r="AP22" s="25">
        <f>IF(A22="","","OFERTA PH "&amp;TEXT(A22,"00"))</f>
        <v/>
      </c>
    </row>
    <row r="23">
      <c r="A23" s="70" t="n"/>
      <c r="B23" s="71" t="n"/>
      <c r="C23" s="70" t="n"/>
      <c r="D23" s="70" t="n"/>
      <c r="E23" s="70" t="n"/>
      <c r="F23" s="70" t="n"/>
      <c r="G23" s="70" t="n"/>
      <c r="H23" s="70" t="n"/>
      <c r="I23" s="70" t="n"/>
      <c r="J23" s="197" t="n"/>
      <c r="K23" s="198">
        <f>DATOS!$C$17</f>
        <v/>
      </c>
      <c r="L23" s="199">
        <f>IF(J23="","",J23*(1-K23))</f>
        <v/>
      </c>
      <c r="M23" s="73" t="n"/>
      <c r="N23" s="73" t="n"/>
      <c r="O23" s="73" t="n"/>
      <c r="P23" s="198">
        <f>DATOS!$C$23</f>
        <v/>
      </c>
      <c r="Q23" s="48">
        <f>IF(N(N23)&lt;=0,"",N23+N(P23)*N(O23))</f>
        <v/>
      </c>
      <c r="R23" s="73" t="n"/>
      <c r="S23" s="70" t="n"/>
      <c r="T23" s="73" t="n"/>
      <c r="U23" s="200">
        <f>DATOS!$C$21</f>
        <v/>
      </c>
      <c r="V23" s="70" t="n"/>
      <c r="W23" s="73" t="n"/>
      <c r="X23" s="200">
        <f>DATOS!$C$22</f>
        <v/>
      </c>
      <c r="Y23" s="199">
        <f>IF(L23="","",N(S23)*N(U23)+N(V23)*N(X23))</f>
        <v/>
      </c>
      <c r="Z23" s="199">
        <f>IF(L23="","",L23-Y23)</f>
        <v/>
      </c>
      <c r="AA23" s="199">
        <f>IF(OR(Z23="",N(N23)&lt;=0),"",Z23/IF(DATOS!$C$24="ÁREA PRIVADA CONSTRUIDA",N23,Q23))</f>
        <v/>
      </c>
      <c r="AB23" s="199">
        <f>IF(OR(Z23="",N(M23)&lt;=0),"",Z23/M23)</f>
        <v/>
      </c>
      <c r="AC23" s="70" t="n"/>
      <c r="AD23" s="70" t="n"/>
      <c r="AE23" s="70" t="n"/>
      <c r="AF23" s="197" t="n"/>
      <c r="AG23" s="70" t="n"/>
      <c r="AH23" s="70" t="n"/>
      <c r="AI23" s="70" t="n"/>
      <c r="AJ23" s="70" t="n"/>
      <c r="AK23" s="70" t="n"/>
      <c r="AL23" s="74" t="n"/>
      <c r="AM23" s="199">
        <f>IF(AND(AL23="SÍ",ISNUMBER(AA23)),AA23,"")</f>
        <v/>
      </c>
      <c r="AN23" s="15">
        <f>IF(A23="","",IF(LEN(IF(B23="","SIN FECHA; ",IF(DATOS!$C$12-B23&gt;DATOS!$C$18*30.4,"VENCIDA; ",""))&amp;IF(AJ23="","SIN ENLACE; ","")&amp;IF(I23="","SIN COORDENADAS; ","")&amp;IF(N23="","SIN ÁREA; ","")&amp;IF(AND(ISNUMBER(AM23),ISNUMBER($AA$45),ISNUMBER($AA$46),N($AA$44)&gt;DATOS!$C$16),IF(OR(AM23&lt;$AA$45,AM23&gt;$AA$46),"FUERA DE LÍMITES; ",""),"")&amp;IF(AND(N(M23)&gt;0,N(N23)&gt;N(M23)),"ÁREA PRIVADA &gt; CONSTRUIDA; ",""))=0,"OK",IF(B23="","SIN FECHA; ",IF(DATOS!$C$12-B23&gt;DATOS!$C$18*30.4,"VENCIDA; ",""))&amp;IF(AJ23="","SIN ENLACE; ","")&amp;IF(I23="","SIN COORDENADAS; ","")&amp;IF(N23="","SIN ÁREA; ","")&amp;IF(AND(ISNUMBER(AM23),ISNUMBER($AA$45),ISNUMBER($AA$46),N($AA$44)&gt;DATOS!$C$16),IF(OR(AM23&lt;$AA$45,AM23&gt;$AA$46),"FUERA DE LÍMITES; ",""),"")&amp;IF(AND(N(M23)&gt;0,N(N23)&gt;N(M23)),"ÁREA PRIVADA &gt; CONSTRUIDA; ","")))</f>
        <v/>
      </c>
      <c r="AO23" s="25">
        <f>IF(AM23="","",IF(COMBINACIONES_PH!$B$18="MUESTRA COMPLETA","SÍ",IF(AUX_PH!F19="","NO (filtrada)",IF(AND(AUX_PH!F19&gt;=COMBINACIONES_PH!$B$22,AUX_PH!F19&lt;=COMBINACIONES_PH!$B$22+COMBINACIONES_PH!$B$23-1),"SÍ","NO"))))</f>
        <v/>
      </c>
      <c r="AP23" s="25">
        <f>IF(A23="","","OFERTA PH "&amp;TEXT(A23,"00"))</f>
        <v/>
      </c>
    </row>
    <row r="24">
      <c r="A24" s="70" t="n"/>
      <c r="B24" s="71" t="n"/>
      <c r="C24" s="70" t="n"/>
      <c r="D24" s="70" t="n"/>
      <c r="E24" s="70" t="n"/>
      <c r="F24" s="70" t="n"/>
      <c r="G24" s="70" t="n"/>
      <c r="H24" s="70" t="n"/>
      <c r="I24" s="70" t="n"/>
      <c r="J24" s="197" t="n"/>
      <c r="K24" s="198">
        <f>DATOS!$C$17</f>
        <v/>
      </c>
      <c r="L24" s="199">
        <f>IF(J24="","",J24*(1-K24))</f>
        <v/>
      </c>
      <c r="M24" s="73" t="n"/>
      <c r="N24" s="73" t="n"/>
      <c r="O24" s="73" t="n"/>
      <c r="P24" s="198">
        <f>DATOS!$C$23</f>
        <v/>
      </c>
      <c r="Q24" s="48">
        <f>IF(N(N24)&lt;=0,"",N24+N(P24)*N(O24))</f>
        <v/>
      </c>
      <c r="R24" s="73" t="n"/>
      <c r="S24" s="70" t="n"/>
      <c r="T24" s="73" t="n"/>
      <c r="U24" s="200">
        <f>DATOS!$C$21</f>
        <v/>
      </c>
      <c r="V24" s="70" t="n"/>
      <c r="W24" s="73" t="n"/>
      <c r="X24" s="200">
        <f>DATOS!$C$22</f>
        <v/>
      </c>
      <c r="Y24" s="199">
        <f>IF(L24="","",N(S24)*N(U24)+N(V24)*N(X24))</f>
        <v/>
      </c>
      <c r="Z24" s="199">
        <f>IF(L24="","",L24-Y24)</f>
        <v/>
      </c>
      <c r="AA24" s="199">
        <f>IF(OR(Z24="",N(N24)&lt;=0),"",Z24/IF(DATOS!$C$24="ÁREA PRIVADA CONSTRUIDA",N24,Q24))</f>
        <v/>
      </c>
      <c r="AB24" s="199">
        <f>IF(OR(Z24="",N(M24)&lt;=0),"",Z24/M24)</f>
        <v/>
      </c>
      <c r="AC24" s="70" t="n"/>
      <c r="AD24" s="70" t="n"/>
      <c r="AE24" s="70" t="n"/>
      <c r="AF24" s="197" t="n"/>
      <c r="AG24" s="70" t="n"/>
      <c r="AH24" s="70" t="n"/>
      <c r="AI24" s="70" t="n"/>
      <c r="AJ24" s="70" t="n"/>
      <c r="AK24" s="70" t="n"/>
      <c r="AL24" s="74" t="n"/>
      <c r="AM24" s="199">
        <f>IF(AND(AL24="SÍ",ISNUMBER(AA24)),AA24,"")</f>
        <v/>
      </c>
      <c r="AN24" s="15">
        <f>IF(A24="","",IF(LEN(IF(B24="","SIN FECHA; ",IF(DATOS!$C$12-B24&gt;DATOS!$C$18*30.4,"VENCIDA; ",""))&amp;IF(AJ24="","SIN ENLACE; ","")&amp;IF(I24="","SIN COORDENADAS; ","")&amp;IF(N24="","SIN ÁREA; ","")&amp;IF(AND(ISNUMBER(AM24),ISNUMBER($AA$45),ISNUMBER($AA$46),N($AA$44)&gt;DATOS!$C$16),IF(OR(AM24&lt;$AA$45,AM24&gt;$AA$46),"FUERA DE LÍMITES; ",""),"")&amp;IF(AND(N(M24)&gt;0,N(N24)&gt;N(M24)),"ÁREA PRIVADA &gt; CONSTRUIDA; ",""))=0,"OK",IF(B24="","SIN FECHA; ",IF(DATOS!$C$12-B24&gt;DATOS!$C$18*30.4,"VENCIDA; ",""))&amp;IF(AJ24="","SIN ENLACE; ","")&amp;IF(I24="","SIN COORDENADAS; ","")&amp;IF(N24="","SIN ÁREA; ","")&amp;IF(AND(ISNUMBER(AM24),ISNUMBER($AA$45),ISNUMBER($AA$46),N($AA$44)&gt;DATOS!$C$16),IF(OR(AM24&lt;$AA$45,AM24&gt;$AA$46),"FUERA DE LÍMITES; ",""),"")&amp;IF(AND(N(M24)&gt;0,N(N24)&gt;N(M24)),"ÁREA PRIVADA &gt; CONSTRUIDA; ","")))</f>
        <v/>
      </c>
      <c r="AO24" s="25">
        <f>IF(AM24="","",IF(COMBINACIONES_PH!$B$18="MUESTRA COMPLETA","SÍ",IF(AUX_PH!F20="","NO (filtrada)",IF(AND(AUX_PH!F20&gt;=COMBINACIONES_PH!$B$22,AUX_PH!F20&lt;=COMBINACIONES_PH!$B$22+COMBINACIONES_PH!$B$23-1),"SÍ","NO"))))</f>
        <v/>
      </c>
      <c r="AP24" s="25">
        <f>IF(A24="","","OFERTA PH "&amp;TEXT(A24,"00"))</f>
        <v/>
      </c>
    </row>
    <row r="25">
      <c r="A25" s="70" t="n"/>
      <c r="B25" s="71" t="n"/>
      <c r="C25" s="70" t="n"/>
      <c r="D25" s="70" t="n"/>
      <c r="E25" s="70" t="n"/>
      <c r="F25" s="70" t="n"/>
      <c r="G25" s="70" t="n"/>
      <c r="H25" s="70" t="n"/>
      <c r="I25" s="70" t="n"/>
      <c r="J25" s="197" t="n"/>
      <c r="K25" s="198">
        <f>DATOS!$C$17</f>
        <v/>
      </c>
      <c r="L25" s="199">
        <f>IF(J25="","",J25*(1-K25))</f>
        <v/>
      </c>
      <c r="M25" s="73" t="n"/>
      <c r="N25" s="73" t="n"/>
      <c r="O25" s="73" t="n"/>
      <c r="P25" s="198">
        <f>DATOS!$C$23</f>
        <v/>
      </c>
      <c r="Q25" s="48">
        <f>IF(N(N25)&lt;=0,"",N25+N(P25)*N(O25))</f>
        <v/>
      </c>
      <c r="R25" s="73" t="n"/>
      <c r="S25" s="70" t="n"/>
      <c r="T25" s="73" t="n"/>
      <c r="U25" s="200">
        <f>DATOS!$C$21</f>
        <v/>
      </c>
      <c r="V25" s="70" t="n"/>
      <c r="W25" s="73" t="n"/>
      <c r="X25" s="200">
        <f>DATOS!$C$22</f>
        <v/>
      </c>
      <c r="Y25" s="199">
        <f>IF(L25="","",N(S25)*N(U25)+N(V25)*N(X25))</f>
        <v/>
      </c>
      <c r="Z25" s="199">
        <f>IF(L25="","",L25-Y25)</f>
        <v/>
      </c>
      <c r="AA25" s="199">
        <f>IF(OR(Z25="",N(N25)&lt;=0),"",Z25/IF(DATOS!$C$24="ÁREA PRIVADA CONSTRUIDA",N25,Q25))</f>
        <v/>
      </c>
      <c r="AB25" s="199">
        <f>IF(OR(Z25="",N(M25)&lt;=0),"",Z25/M25)</f>
        <v/>
      </c>
      <c r="AC25" s="70" t="n"/>
      <c r="AD25" s="70" t="n"/>
      <c r="AE25" s="70" t="n"/>
      <c r="AF25" s="197" t="n"/>
      <c r="AG25" s="70" t="n"/>
      <c r="AH25" s="70" t="n"/>
      <c r="AI25" s="70" t="n"/>
      <c r="AJ25" s="70" t="n"/>
      <c r="AK25" s="70" t="n"/>
      <c r="AL25" s="74" t="n"/>
      <c r="AM25" s="199">
        <f>IF(AND(AL25="SÍ",ISNUMBER(AA25)),AA25,"")</f>
        <v/>
      </c>
      <c r="AN25" s="15">
        <f>IF(A25="","",IF(LEN(IF(B25="","SIN FECHA; ",IF(DATOS!$C$12-B25&gt;DATOS!$C$18*30.4,"VENCIDA; ",""))&amp;IF(AJ25="","SIN ENLACE; ","")&amp;IF(I25="","SIN COORDENADAS; ","")&amp;IF(N25="","SIN ÁREA; ","")&amp;IF(AND(ISNUMBER(AM25),ISNUMBER($AA$45),ISNUMBER($AA$46),N($AA$44)&gt;DATOS!$C$16),IF(OR(AM25&lt;$AA$45,AM25&gt;$AA$46),"FUERA DE LÍMITES; ",""),"")&amp;IF(AND(N(M25)&gt;0,N(N25)&gt;N(M25)),"ÁREA PRIVADA &gt; CONSTRUIDA; ",""))=0,"OK",IF(B25="","SIN FECHA; ",IF(DATOS!$C$12-B25&gt;DATOS!$C$18*30.4,"VENCIDA; ",""))&amp;IF(AJ25="","SIN ENLACE; ","")&amp;IF(I25="","SIN COORDENADAS; ","")&amp;IF(N25="","SIN ÁREA; ","")&amp;IF(AND(ISNUMBER(AM25),ISNUMBER($AA$45),ISNUMBER($AA$46),N($AA$44)&gt;DATOS!$C$16),IF(OR(AM25&lt;$AA$45,AM25&gt;$AA$46),"FUERA DE LÍMITES; ",""),"")&amp;IF(AND(N(M25)&gt;0,N(N25)&gt;N(M25)),"ÁREA PRIVADA &gt; CONSTRUIDA; ","")))</f>
        <v/>
      </c>
      <c r="AO25" s="25">
        <f>IF(AM25="","",IF(COMBINACIONES_PH!$B$18="MUESTRA COMPLETA","SÍ",IF(AUX_PH!F21="","NO (filtrada)",IF(AND(AUX_PH!F21&gt;=COMBINACIONES_PH!$B$22,AUX_PH!F21&lt;=COMBINACIONES_PH!$B$22+COMBINACIONES_PH!$B$23-1),"SÍ","NO"))))</f>
        <v/>
      </c>
      <c r="AP25" s="25">
        <f>IF(A25="","","OFERTA PH "&amp;TEXT(A25,"00"))</f>
        <v/>
      </c>
    </row>
    <row r="26">
      <c r="A26" s="70" t="n"/>
      <c r="B26" s="71" t="n"/>
      <c r="C26" s="70" t="n"/>
      <c r="D26" s="70" t="n"/>
      <c r="E26" s="70" t="n"/>
      <c r="F26" s="70" t="n"/>
      <c r="G26" s="70" t="n"/>
      <c r="H26" s="70" t="n"/>
      <c r="I26" s="70" t="n"/>
      <c r="J26" s="197" t="n"/>
      <c r="K26" s="198">
        <f>DATOS!$C$17</f>
        <v/>
      </c>
      <c r="L26" s="199">
        <f>IF(J26="","",J26*(1-K26))</f>
        <v/>
      </c>
      <c r="M26" s="73" t="n"/>
      <c r="N26" s="73" t="n"/>
      <c r="O26" s="73" t="n"/>
      <c r="P26" s="198">
        <f>DATOS!$C$23</f>
        <v/>
      </c>
      <c r="Q26" s="48">
        <f>IF(N(N26)&lt;=0,"",N26+N(P26)*N(O26))</f>
        <v/>
      </c>
      <c r="R26" s="73" t="n"/>
      <c r="S26" s="70" t="n"/>
      <c r="T26" s="73" t="n"/>
      <c r="U26" s="200">
        <f>DATOS!$C$21</f>
        <v/>
      </c>
      <c r="V26" s="70" t="n"/>
      <c r="W26" s="73" t="n"/>
      <c r="X26" s="200">
        <f>DATOS!$C$22</f>
        <v/>
      </c>
      <c r="Y26" s="199">
        <f>IF(L26="","",N(S26)*N(U26)+N(V26)*N(X26))</f>
        <v/>
      </c>
      <c r="Z26" s="199">
        <f>IF(L26="","",L26-Y26)</f>
        <v/>
      </c>
      <c r="AA26" s="199">
        <f>IF(OR(Z26="",N(N26)&lt;=0),"",Z26/IF(DATOS!$C$24="ÁREA PRIVADA CONSTRUIDA",N26,Q26))</f>
        <v/>
      </c>
      <c r="AB26" s="199">
        <f>IF(OR(Z26="",N(M26)&lt;=0),"",Z26/M26)</f>
        <v/>
      </c>
      <c r="AC26" s="70" t="n"/>
      <c r="AD26" s="70" t="n"/>
      <c r="AE26" s="70" t="n"/>
      <c r="AF26" s="197" t="n"/>
      <c r="AG26" s="70" t="n"/>
      <c r="AH26" s="70" t="n"/>
      <c r="AI26" s="70" t="n"/>
      <c r="AJ26" s="70" t="n"/>
      <c r="AK26" s="70" t="n"/>
      <c r="AL26" s="74" t="n"/>
      <c r="AM26" s="199">
        <f>IF(AND(AL26="SÍ",ISNUMBER(AA26)),AA26,"")</f>
        <v/>
      </c>
      <c r="AN26" s="15">
        <f>IF(A26="","",IF(LEN(IF(B26="","SIN FECHA; ",IF(DATOS!$C$12-B26&gt;DATOS!$C$18*30.4,"VENCIDA; ",""))&amp;IF(AJ26="","SIN ENLACE; ","")&amp;IF(I26="","SIN COORDENADAS; ","")&amp;IF(N26="","SIN ÁREA; ","")&amp;IF(AND(ISNUMBER(AM26),ISNUMBER($AA$45),ISNUMBER($AA$46),N($AA$44)&gt;DATOS!$C$16),IF(OR(AM26&lt;$AA$45,AM26&gt;$AA$46),"FUERA DE LÍMITES; ",""),"")&amp;IF(AND(N(M26)&gt;0,N(N26)&gt;N(M26)),"ÁREA PRIVADA &gt; CONSTRUIDA; ",""))=0,"OK",IF(B26="","SIN FECHA; ",IF(DATOS!$C$12-B26&gt;DATOS!$C$18*30.4,"VENCIDA; ",""))&amp;IF(AJ26="","SIN ENLACE; ","")&amp;IF(I26="","SIN COORDENADAS; ","")&amp;IF(N26="","SIN ÁREA; ","")&amp;IF(AND(ISNUMBER(AM26),ISNUMBER($AA$45),ISNUMBER($AA$46),N($AA$44)&gt;DATOS!$C$16),IF(OR(AM26&lt;$AA$45,AM26&gt;$AA$46),"FUERA DE LÍMITES; ",""),"")&amp;IF(AND(N(M26)&gt;0,N(N26)&gt;N(M26)),"ÁREA PRIVADA &gt; CONSTRUIDA; ","")))</f>
        <v/>
      </c>
      <c r="AO26" s="25">
        <f>IF(AM26="","",IF(COMBINACIONES_PH!$B$18="MUESTRA COMPLETA","SÍ",IF(AUX_PH!F22="","NO (filtrada)",IF(AND(AUX_PH!F22&gt;=COMBINACIONES_PH!$B$22,AUX_PH!F22&lt;=COMBINACIONES_PH!$B$22+COMBINACIONES_PH!$B$23-1),"SÍ","NO"))))</f>
        <v/>
      </c>
      <c r="AP26" s="25">
        <f>IF(A26="","","OFERTA PH "&amp;TEXT(A26,"00"))</f>
        <v/>
      </c>
    </row>
    <row r="27">
      <c r="A27" s="70" t="n"/>
      <c r="B27" s="71" t="n"/>
      <c r="C27" s="70" t="n"/>
      <c r="D27" s="70" t="n"/>
      <c r="E27" s="70" t="n"/>
      <c r="F27" s="70" t="n"/>
      <c r="G27" s="70" t="n"/>
      <c r="H27" s="70" t="n"/>
      <c r="I27" s="70" t="n"/>
      <c r="J27" s="197" t="n"/>
      <c r="K27" s="198">
        <f>DATOS!$C$17</f>
        <v/>
      </c>
      <c r="L27" s="199">
        <f>IF(J27="","",J27*(1-K27))</f>
        <v/>
      </c>
      <c r="M27" s="73" t="n"/>
      <c r="N27" s="73" t="n"/>
      <c r="O27" s="73" t="n"/>
      <c r="P27" s="198">
        <f>DATOS!$C$23</f>
        <v/>
      </c>
      <c r="Q27" s="48">
        <f>IF(N(N27)&lt;=0,"",N27+N(P27)*N(O27))</f>
        <v/>
      </c>
      <c r="R27" s="73" t="n"/>
      <c r="S27" s="70" t="n"/>
      <c r="T27" s="73" t="n"/>
      <c r="U27" s="200">
        <f>DATOS!$C$21</f>
        <v/>
      </c>
      <c r="V27" s="70" t="n"/>
      <c r="W27" s="73" t="n"/>
      <c r="X27" s="200">
        <f>DATOS!$C$22</f>
        <v/>
      </c>
      <c r="Y27" s="199">
        <f>IF(L27="","",N(S27)*N(U27)+N(V27)*N(X27))</f>
        <v/>
      </c>
      <c r="Z27" s="199">
        <f>IF(L27="","",L27-Y27)</f>
        <v/>
      </c>
      <c r="AA27" s="199">
        <f>IF(OR(Z27="",N(N27)&lt;=0),"",Z27/IF(DATOS!$C$24="ÁREA PRIVADA CONSTRUIDA",N27,Q27))</f>
        <v/>
      </c>
      <c r="AB27" s="199">
        <f>IF(OR(Z27="",N(M27)&lt;=0),"",Z27/M27)</f>
        <v/>
      </c>
      <c r="AC27" s="70" t="n"/>
      <c r="AD27" s="70" t="n"/>
      <c r="AE27" s="70" t="n"/>
      <c r="AF27" s="197" t="n"/>
      <c r="AG27" s="70" t="n"/>
      <c r="AH27" s="70" t="n"/>
      <c r="AI27" s="70" t="n"/>
      <c r="AJ27" s="70" t="n"/>
      <c r="AK27" s="70" t="n"/>
      <c r="AL27" s="74" t="n"/>
      <c r="AM27" s="199">
        <f>IF(AND(AL27="SÍ",ISNUMBER(AA27)),AA27,"")</f>
        <v/>
      </c>
      <c r="AN27" s="15">
        <f>IF(A27="","",IF(LEN(IF(B27="","SIN FECHA; ",IF(DATOS!$C$12-B27&gt;DATOS!$C$18*30.4,"VENCIDA; ",""))&amp;IF(AJ27="","SIN ENLACE; ","")&amp;IF(I27="","SIN COORDENADAS; ","")&amp;IF(N27="","SIN ÁREA; ","")&amp;IF(AND(ISNUMBER(AM27),ISNUMBER($AA$45),ISNUMBER($AA$46),N($AA$44)&gt;DATOS!$C$16),IF(OR(AM27&lt;$AA$45,AM27&gt;$AA$46),"FUERA DE LÍMITES; ",""),"")&amp;IF(AND(N(M27)&gt;0,N(N27)&gt;N(M27)),"ÁREA PRIVADA &gt; CONSTRUIDA; ",""))=0,"OK",IF(B27="","SIN FECHA; ",IF(DATOS!$C$12-B27&gt;DATOS!$C$18*30.4,"VENCIDA; ",""))&amp;IF(AJ27="","SIN ENLACE; ","")&amp;IF(I27="","SIN COORDENADAS; ","")&amp;IF(N27="","SIN ÁREA; ","")&amp;IF(AND(ISNUMBER(AM27),ISNUMBER($AA$45),ISNUMBER($AA$46),N($AA$44)&gt;DATOS!$C$16),IF(OR(AM27&lt;$AA$45,AM27&gt;$AA$46),"FUERA DE LÍMITES; ",""),"")&amp;IF(AND(N(M27)&gt;0,N(N27)&gt;N(M27)),"ÁREA PRIVADA &gt; CONSTRUIDA; ","")))</f>
        <v/>
      </c>
      <c r="AO27" s="25">
        <f>IF(AM27="","",IF(COMBINACIONES_PH!$B$18="MUESTRA COMPLETA","SÍ",IF(AUX_PH!F23="","NO (filtrada)",IF(AND(AUX_PH!F23&gt;=COMBINACIONES_PH!$B$22,AUX_PH!F23&lt;=COMBINACIONES_PH!$B$22+COMBINACIONES_PH!$B$23-1),"SÍ","NO"))))</f>
        <v/>
      </c>
      <c r="AP27" s="25">
        <f>IF(A27="","","OFERTA PH "&amp;TEXT(A27,"00"))</f>
        <v/>
      </c>
    </row>
    <row r="28">
      <c r="A28" s="70" t="n"/>
      <c r="B28" s="71" t="n"/>
      <c r="C28" s="70" t="n"/>
      <c r="D28" s="70" t="n"/>
      <c r="E28" s="70" t="n"/>
      <c r="F28" s="70" t="n"/>
      <c r="G28" s="70" t="n"/>
      <c r="H28" s="70" t="n"/>
      <c r="I28" s="70" t="n"/>
      <c r="J28" s="197" t="n"/>
      <c r="K28" s="198">
        <f>DATOS!$C$17</f>
        <v/>
      </c>
      <c r="L28" s="199">
        <f>IF(J28="","",J28*(1-K28))</f>
        <v/>
      </c>
      <c r="M28" s="73" t="n"/>
      <c r="N28" s="73" t="n"/>
      <c r="O28" s="73" t="n"/>
      <c r="P28" s="198">
        <f>DATOS!$C$23</f>
        <v/>
      </c>
      <c r="Q28" s="48">
        <f>IF(N(N28)&lt;=0,"",N28+N(P28)*N(O28))</f>
        <v/>
      </c>
      <c r="R28" s="73" t="n"/>
      <c r="S28" s="70" t="n"/>
      <c r="T28" s="73" t="n"/>
      <c r="U28" s="200">
        <f>DATOS!$C$21</f>
        <v/>
      </c>
      <c r="V28" s="70" t="n"/>
      <c r="W28" s="73" t="n"/>
      <c r="X28" s="200">
        <f>DATOS!$C$22</f>
        <v/>
      </c>
      <c r="Y28" s="199">
        <f>IF(L28="","",N(S28)*N(U28)+N(V28)*N(X28))</f>
        <v/>
      </c>
      <c r="Z28" s="199">
        <f>IF(L28="","",L28-Y28)</f>
        <v/>
      </c>
      <c r="AA28" s="199">
        <f>IF(OR(Z28="",N(N28)&lt;=0),"",Z28/IF(DATOS!$C$24="ÁREA PRIVADA CONSTRUIDA",N28,Q28))</f>
        <v/>
      </c>
      <c r="AB28" s="199">
        <f>IF(OR(Z28="",N(M28)&lt;=0),"",Z28/M28)</f>
        <v/>
      </c>
      <c r="AC28" s="70" t="n"/>
      <c r="AD28" s="70" t="n"/>
      <c r="AE28" s="70" t="n"/>
      <c r="AF28" s="197" t="n"/>
      <c r="AG28" s="70" t="n"/>
      <c r="AH28" s="70" t="n"/>
      <c r="AI28" s="70" t="n"/>
      <c r="AJ28" s="70" t="n"/>
      <c r="AK28" s="70" t="n"/>
      <c r="AL28" s="74" t="n"/>
      <c r="AM28" s="199">
        <f>IF(AND(AL28="SÍ",ISNUMBER(AA28)),AA28,"")</f>
        <v/>
      </c>
      <c r="AN28" s="15">
        <f>IF(A28="","",IF(LEN(IF(B28="","SIN FECHA; ",IF(DATOS!$C$12-B28&gt;DATOS!$C$18*30.4,"VENCIDA; ",""))&amp;IF(AJ28="","SIN ENLACE; ","")&amp;IF(I28="","SIN COORDENADAS; ","")&amp;IF(N28="","SIN ÁREA; ","")&amp;IF(AND(ISNUMBER(AM28),ISNUMBER($AA$45),ISNUMBER($AA$46),N($AA$44)&gt;DATOS!$C$16),IF(OR(AM28&lt;$AA$45,AM28&gt;$AA$46),"FUERA DE LÍMITES; ",""),"")&amp;IF(AND(N(M28)&gt;0,N(N28)&gt;N(M28)),"ÁREA PRIVADA &gt; CONSTRUIDA; ",""))=0,"OK",IF(B28="","SIN FECHA; ",IF(DATOS!$C$12-B28&gt;DATOS!$C$18*30.4,"VENCIDA; ",""))&amp;IF(AJ28="","SIN ENLACE; ","")&amp;IF(I28="","SIN COORDENADAS; ","")&amp;IF(N28="","SIN ÁREA; ","")&amp;IF(AND(ISNUMBER(AM28),ISNUMBER($AA$45),ISNUMBER($AA$46),N($AA$44)&gt;DATOS!$C$16),IF(OR(AM28&lt;$AA$45,AM28&gt;$AA$46),"FUERA DE LÍMITES; ",""),"")&amp;IF(AND(N(M28)&gt;0,N(N28)&gt;N(M28)),"ÁREA PRIVADA &gt; CONSTRUIDA; ","")))</f>
        <v/>
      </c>
      <c r="AO28" s="25">
        <f>IF(AM28="","",IF(COMBINACIONES_PH!$B$18="MUESTRA COMPLETA","SÍ",IF(AUX_PH!F24="","NO (filtrada)",IF(AND(AUX_PH!F24&gt;=COMBINACIONES_PH!$B$22,AUX_PH!F24&lt;=COMBINACIONES_PH!$B$22+COMBINACIONES_PH!$B$23-1),"SÍ","NO"))))</f>
        <v/>
      </c>
      <c r="AP28" s="25">
        <f>IF(A28="","","OFERTA PH "&amp;TEXT(A28,"00"))</f>
        <v/>
      </c>
    </row>
    <row r="29">
      <c r="A29" s="70" t="n"/>
      <c r="B29" s="71" t="n"/>
      <c r="C29" s="70" t="n"/>
      <c r="D29" s="70" t="n"/>
      <c r="E29" s="70" t="n"/>
      <c r="F29" s="70" t="n"/>
      <c r="G29" s="70" t="n"/>
      <c r="H29" s="70" t="n"/>
      <c r="I29" s="70" t="n"/>
      <c r="J29" s="197" t="n"/>
      <c r="K29" s="198">
        <f>DATOS!$C$17</f>
        <v/>
      </c>
      <c r="L29" s="199">
        <f>IF(J29="","",J29*(1-K29))</f>
        <v/>
      </c>
      <c r="M29" s="73" t="n"/>
      <c r="N29" s="73" t="n"/>
      <c r="O29" s="73" t="n"/>
      <c r="P29" s="198">
        <f>DATOS!$C$23</f>
        <v/>
      </c>
      <c r="Q29" s="48">
        <f>IF(N(N29)&lt;=0,"",N29+N(P29)*N(O29))</f>
        <v/>
      </c>
      <c r="R29" s="73" t="n"/>
      <c r="S29" s="70" t="n"/>
      <c r="T29" s="73" t="n"/>
      <c r="U29" s="200">
        <f>DATOS!$C$21</f>
        <v/>
      </c>
      <c r="V29" s="70" t="n"/>
      <c r="W29" s="73" t="n"/>
      <c r="X29" s="200">
        <f>DATOS!$C$22</f>
        <v/>
      </c>
      <c r="Y29" s="199">
        <f>IF(L29="","",N(S29)*N(U29)+N(V29)*N(X29))</f>
        <v/>
      </c>
      <c r="Z29" s="199">
        <f>IF(L29="","",L29-Y29)</f>
        <v/>
      </c>
      <c r="AA29" s="199">
        <f>IF(OR(Z29="",N(N29)&lt;=0),"",Z29/IF(DATOS!$C$24="ÁREA PRIVADA CONSTRUIDA",N29,Q29))</f>
        <v/>
      </c>
      <c r="AB29" s="199">
        <f>IF(OR(Z29="",N(M29)&lt;=0),"",Z29/M29)</f>
        <v/>
      </c>
      <c r="AC29" s="70" t="n"/>
      <c r="AD29" s="70" t="n"/>
      <c r="AE29" s="70" t="n"/>
      <c r="AF29" s="197" t="n"/>
      <c r="AG29" s="70" t="n"/>
      <c r="AH29" s="70" t="n"/>
      <c r="AI29" s="70" t="n"/>
      <c r="AJ29" s="70" t="n"/>
      <c r="AK29" s="70" t="n"/>
      <c r="AL29" s="74" t="n"/>
      <c r="AM29" s="199">
        <f>IF(AND(AL29="SÍ",ISNUMBER(AA29)),AA29,"")</f>
        <v/>
      </c>
      <c r="AN29" s="15">
        <f>IF(A29="","",IF(LEN(IF(B29="","SIN FECHA; ",IF(DATOS!$C$12-B29&gt;DATOS!$C$18*30.4,"VENCIDA; ",""))&amp;IF(AJ29="","SIN ENLACE; ","")&amp;IF(I29="","SIN COORDENADAS; ","")&amp;IF(N29="","SIN ÁREA; ","")&amp;IF(AND(ISNUMBER(AM29),ISNUMBER($AA$45),ISNUMBER($AA$46),N($AA$44)&gt;DATOS!$C$16),IF(OR(AM29&lt;$AA$45,AM29&gt;$AA$46),"FUERA DE LÍMITES; ",""),"")&amp;IF(AND(N(M29)&gt;0,N(N29)&gt;N(M29)),"ÁREA PRIVADA &gt; CONSTRUIDA; ",""))=0,"OK",IF(B29="","SIN FECHA; ",IF(DATOS!$C$12-B29&gt;DATOS!$C$18*30.4,"VENCIDA; ",""))&amp;IF(AJ29="","SIN ENLACE; ","")&amp;IF(I29="","SIN COORDENADAS; ","")&amp;IF(N29="","SIN ÁREA; ","")&amp;IF(AND(ISNUMBER(AM29),ISNUMBER($AA$45),ISNUMBER($AA$46),N($AA$44)&gt;DATOS!$C$16),IF(OR(AM29&lt;$AA$45,AM29&gt;$AA$46),"FUERA DE LÍMITES; ",""),"")&amp;IF(AND(N(M29)&gt;0,N(N29)&gt;N(M29)),"ÁREA PRIVADA &gt; CONSTRUIDA; ","")))</f>
        <v/>
      </c>
      <c r="AO29" s="25">
        <f>IF(AM29="","",IF(COMBINACIONES_PH!$B$18="MUESTRA COMPLETA","SÍ",IF(AUX_PH!F25="","NO (filtrada)",IF(AND(AUX_PH!F25&gt;=COMBINACIONES_PH!$B$22,AUX_PH!F25&lt;=COMBINACIONES_PH!$B$22+COMBINACIONES_PH!$B$23-1),"SÍ","NO"))))</f>
        <v/>
      </c>
      <c r="AP29" s="25">
        <f>IF(A29="","","OFERTA PH "&amp;TEXT(A29,"00"))</f>
        <v/>
      </c>
    </row>
    <row r="30">
      <c r="A30" s="70" t="n"/>
      <c r="B30" s="71" t="n"/>
      <c r="C30" s="70" t="n"/>
      <c r="D30" s="70" t="n"/>
      <c r="E30" s="70" t="n"/>
      <c r="F30" s="70" t="n"/>
      <c r="G30" s="70" t="n"/>
      <c r="H30" s="70" t="n"/>
      <c r="I30" s="70" t="n"/>
      <c r="J30" s="197" t="n"/>
      <c r="K30" s="198">
        <f>DATOS!$C$17</f>
        <v/>
      </c>
      <c r="L30" s="199">
        <f>IF(J30="","",J30*(1-K30))</f>
        <v/>
      </c>
      <c r="M30" s="73" t="n"/>
      <c r="N30" s="73" t="n"/>
      <c r="O30" s="73" t="n"/>
      <c r="P30" s="198">
        <f>DATOS!$C$23</f>
        <v/>
      </c>
      <c r="Q30" s="48">
        <f>IF(N(N30)&lt;=0,"",N30+N(P30)*N(O30))</f>
        <v/>
      </c>
      <c r="R30" s="73" t="n"/>
      <c r="S30" s="70" t="n"/>
      <c r="T30" s="73" t="n"/>
      <c r="U30" s="200">
        <f>DATOS!$C$21</f>
        <v/>
      </c>
      <c r="V30" s="70" t="n"/>
      <c r="W30" s="73" t="n"/>
      <c r="X30" s="200">
        <f>DATOS!$C$22</f>
        <v/>
      </c>
      <c r="Y30" s="199">
        <f>IF(L30="","",N(S30)*N(U30)+N(V30)*N(X30))</f>
        <v/>
      </c>
      <c r="Z30" s="199">
        <f>IF(L30="","",L30-Y30)</f>
        <v/>
      </c>
      <c r="AA30" s="199">
        <f>IF(OR(Z30="",N(N30)&lt;=0),"",Z30/IF(DATOS!$C$24="ÁREA PRIVADA CONSTRUIDA",N30,Q30))</f>
        <v/>
      </c>
      <c r="AB30" s="199">
        <f>IF(OR(Z30="",N(M30)&lt;=0),"",Z30/M30)</f>
        <v/>
      </c>
      <c r="AC30" s="70" t="n"/>
      <c r="AD30" s="70" t="n"/>
      <c r="AE30" s="70" t="n"/>
      <c r="AF30" s="197" t="n"/>
      <c r="AG30" s="70" t="n"/>
      <c r="AH30" s="70" t="n"/>
      <c r="AI30" s="70" t="n"/>
      <c r="AJ30" s="70" t="n"/>
      <c r="AK30" s="70" t="n"/>
      <c r="AL30" s="74" t="n"/>
      <c r="AM30" s="199">
        <f>IF(AND(AL30="SÍ",ISNUMBER(AA30)),AA30,"")</f>
        <v/>
      </c>
      <c r="AN30" s="15">
        <f>IF(A30="","",IF(LEN(IF(B30="","SIN FECHA; ",IF(DATOS!$C$12-B30&gt;DATOS!$C$18*30.4,"VENCIDA; ",""))&amp;IF(AJ30="","SIN ENLACE; ","")&amp;IF(I30="","SIN COORDENADAS; ","")&amp;IF(N30="","SIN ÁREA; ","")&amp;IF(AND(ISNUMBER(AM30),ISNUMBER($AA$45),ISNUMBER($AA$46),N($AA$44)&gt;DATOS!$C$16),IF(OR(AM30&lt;$AA$45,AM30&gt;$AA$46),"FUERA DE LÍMITES; ",""),"")&amp;IF(AND(N(M30)&gt;0,N(N30)&gt;N(M30)),"ÁREA PRIVADA &gt; CONSTRUIDA; ",""))=0,"OK",IF(B30="","SIN FECHA; ",IF(DATOS!$C$12-B30&gt;DATOS!$C$18*30.4,"VENCIDA; ",""))&amp;IF(AJ30="","SIN ENLACE; ","")&amp;IF(I30="","SIN COORDENADAS; ","")&amp;IF(N30="","SIN ÁREA; ","")&amp;IF(AND(ISNUMBER(AM30),ISNUMBER($AA$45),ISNUMBER($AA$46),N($AA$44)&gt;DATOS!$C$16),IF(OR(AM30&lt;$AA$45,AM30&gt;$AA$46),"FUERA DE LÍMITES; ",""),"")&amp;IF(AND(N(M30)&gt;0,N(N30)&gt;N(M30)),"ÁREA PRIVADA &gt; CONSTRUIDA; ","")))</f>
        <v/>
      </c>
      <c r="AO30" s="25">
        <f>IF(AM30="","",IF(COMBINACIONES_PH!$B$18="MUESTRA COMPLETA","SÍ",IF(AUX_PH!F26="","NO (filtrada)",IF(AND(AUX_PH!F26&gt;=COMBINACIONES_PH!$B$22,AUX_PH!F26&lt;=COMBINACIONES_PH!$B$22+COMBINACIONES_PH!$B$23-1),"SÍ","NO"))))</f>
        <v/>
      </c>
      <c r="AP30" s="25">
        <f>IF(A30="","","OFERTA PH "&amp;TEXT(A30,"00"))</f>
        <v/>
      </c>
    </row>
    <row r="31">
      <c r="A31" s="70" t="n"/>
      <c r="B31" s="71" t="n"/>
      <c r="C31" s="70" t="n"/>
      <c r="D31" s="70" t="n"/>
      <c r="E31" s="70" t="n"/>
      <c r="F31" s="70" t="n"/>
      <c r="G31" s="70" t="n"/>
      <c r="H31" s="70" t="n"/>
      <c r="I31" s="70" t="n"/>
      <c r="J31" s="197" t="n"/>
      <c r="K31" s="198">
        <f>DATOS!$C$17</f>
        <v/>
      </c>
      <c r="L31" s="199">
        <f>IF(J31="","",J31*(1-K31))</f>
        <v/>
      </c>
      <c r="M31" s="73" t="n"/>
      <c r="N31" s="73" t="n"/>
      <c r="O31" s="73" t="n"/>
      <c r="P31" s="198">
        <f>DATOS!$C$23</f>
        <v/>
      </c>
      <c r="Q31" s="48">
        <f>IF(N(N31)&lt;=0,"",N31+N(P31)*N(O31))</f>
        <v/>
      </c>
      <c r="R31" s="73" t="n"/>
      <c r="S31" s="70" t="n"/>
      <c r="T31" s="73" t="n"/>
      <c r="U31" s="200">
        <f>DATOS!$C$21</f>
        <v/>
      </c>
      <c r="V31" s="70" t="n"/>
      <c r="W31" s="73" t="n"/>
      <c r="X31" s="200">
        <f>DATOS!$C$22</f>
        <v/>
      </c>
      <c r="Y31" s="199">
        <f>IF(L31="","",N(S31)*N(U31)+N(V31)*N(X31))</f>
        <v/>
      </c>
      <c r="Z31" s="199">
        <f>IF(L31="","",L31-Y31)</f>
        <v/>
      </c>
      <c r="AA31" s="199">
        <f>IF(OR(Z31="",N(N31)&lt;=0),"",Z31/IF(DATOS!$C$24="ÁREA PRIVADA CONSTRUIDA",N31,Q31))</f>
        <v/>
      </c>
      <c r="AB31" s="199">
        <f>IF(OR(Z31="",N(M31)&lt;=0),"",Z31/M31)</f>
        <v/>
      </c>
      <c r="AC31" s="70" t="n"/>
      <c r="AD31" s="70" t="n"/>
      <c r="AE31" s="70" t="n"/>
      <c r="AF31" s="197" t="n"/>
      <c r="AG31" s="70" t="n"/>
      <c r="AH31" s="70" t="n"/>
      <c r="AI31" s="70" t="n"/>
      <c r="AJ31" s="70" t="n"/>
      <c r="AK31" s="70" t="n"/>
      <c r="AL31" s="74" t="n"/>
      <c r="AM31" s="199">
        <f>IF(AND(AL31="SÍ",ISNUMBER(AA31)),AA31,"")</f>
        <v/>
      </c>
      <c r="AN31" s="15">
        <f>IF(A31="","",IF(LEN(IF(B31="","SIN FECHA; ",IF(DATOS!$C$12-B31&gt;DATOS!$C$18*30.4,"VENCIDA; ",""))&amp;IF(AJ31="","SIN ENLACE; ","")&amp;IF(I31="","SIN COORDENADAS; ","")&amp;IF(N31="","SIN ÁREA; ","")&amp;IF(AND(ISNUMBER(AM31),ISNUMBER($AA$45),ISNUMBER($AA$46),N($AA$44)&gt;DATOS!$C$16),IF(OR(AM31&lt;$AA$45,AM31&gt;$AA$46),"FUERA DE LÍMITES; ",""),"")&amp;IF(AND(N(M31)&gt;0,N(N31)&gt;N(M31)),"ÁREA PRIVADA &gt; CONSTRUIDA; ",""))=0,"OK",IF(B31="","SIN FECHA; ",IF(DATOS!$C$12-B31&gt;DATOS!$C$18*30.4,"VENCIDA; ",""))&amp;IF(AJ31="","SIN ENLACE; ","")&amp;IF(I31="","SIN COORDENADAS; ","")&amp;IF(N31="","SIN ÁREA; ","")&amp;IF(AND(ISNUMBER(AM31),ISNUMBER($AA$45),ISNUMBER($AA$46),N($AA$44)&gt;DATOS!$C$16),IF(OR(AM31&lt;$AA$45,AM31&gt;$AA$46),"FUERA DE LÍMITES; ",""),"")&amp;IF(AND(N(M31)&gt;0,N(N31)&gt;N(M31)),"ÁREA PRIVADA &gt; CONSTRUIDA; ","")))</f>
        <v/>
      </c>
      <c r="AO31" s="25">
        <f>IF(AM31="","",IF(COMBINACIONES_PH!$B$18="MUESTRA COMPLETA","SÍ",IF(AUX_PH!F27="","NO (filtrada)",IF(AND(AUX_PH!F27&gt;=COMBINACIONES_PH!$B$22,AUX_PH!F27&lt;=COMBINACIONES_PH!$B$22+COMBINACIONES_PH!$B$23-1),"SÍ","NO"))))</f>
        <v/>
      </c>
      <c r="AP31" s="25">
        <f>IF(A31="","","OFERTA PH "&amp;TEXT(A31,"00"))</f>
        <v/>
      </c>
    </row>
    <row r="32">
      <c r="A32" s="70" t="n"/>
      <c r="B32" s="71" t="n"/>
      <c r="C32" s="70" t="n"/>
      <c r="D32" s="70" t="n"/>
      <c r="E32" s="70" t="n"/>
      <c r="F32" s="70" t="n"/>
      <c r="G32" s="70" t="n"/>
      <c r="H32" s="70" t="n"/>
      <c r="I32" s="70" t="n"/>
      <c r="J32" s="197" t="n"/>
      <c r="K32" s="198">
        <f>DATOS!$C$17</f>
        <v/>
      </c>
      <c r="L32" s="199">
        <f>IF(J32="","",J32*(1-K32))</f>
        <v/>
      </c>
      <c r="M32" s="73" t="n"/>
      <c r="N32" s="73" t="n"/>
      <c r="O32" s="73" t="n"/>
      <c r="P32" s="198">
        <f>DATOS!$C$23</f>
        <v/>
      </c>
      <c r="Q32" s="48">
        <f>IF(N(N32)&lt;=0,"",N32+N(P32)*N(O32))</f>
        <v/>
      </c>
      <c r="R32" s="73" t="n"/>
      <c r="S32" s="70" t="n"/>
      <c r="T32" s="73" t="n"/>
      <c r="U32" s="200">
        <f>DATOS!$C$21</f>
        <v/>
      </c>
      <c r="V32" s="70" t="n"/>
      <c r="W32" s="73" t="n"/>
      <c r="X32" s="200">
        <f>DATOS!$C$22</f>
        <v/>
      </c>
      <c r="Y32" s="199">
        <f>IF(L32="","",N(S32)*N(U32)+N(V32)*N(X32))</f>
        <v/>
      </c>
      <c r="Z32" s="199">
        <f>IF(L32="","",L32-Y32)</f>
        <v/>
      </c>
      <c r="AA32" s="199">
        <f>IF(OR(Z32="",N(N32)&lt;=0),"",Z32/IF(DATOS!$C$24="ÁREA PRIVADA CONSTRUIDA",N32,Q32))</f>
        <v/>
      </c>
      <c r="AB32" s="199">
        <f>IF(OR(Z32="",N(M32)&lt;=0),"",Z32/M32)</f>
        <v/>
      </c>
      <c r="AC32" s="70" t="n"/>
      <c r="AD32" s="70" t="n"/>
      <c r="AE32" s="70" t="n"/>
      <c r="AF32" s="197" t="n"/>
      <c r="AG32" s="70" t="n"/>
      <c r="AH32" s="70" t="n"/>
      <c r="AI32" s="70" t="n"/>
      <c r="AJ32" s="70" t="n"/>
      <c r="AK32" s="70" t="n"/>
      <c r="AL32" s="74" t="n"/>
      <c r="AM32" s="199">
        <f>IF(AND(AL32="SÍ",ISNUMBER(AA32)),AA32,"")</f>
        <v/>
      </c>
      <c r="AN32" s="15">
        <f>IF(A32="","",IF(LEN(IF(B32="","SIN FECHA; ",IF(DATOS!$C$12-B32&gt;DATOS!$C$18*30.4,"VENCIDA; ",""))&amp;IF(AJ32="","SIN ENLACE; ","")&amp;IF(I32="","SIN COORDENADAS; ","")&amp;IF(N32="","SIN ÁREA; ","")&amp;IF(AND(ISNUMBER(AM32),ISNUMBER($AA$45),ISNUMBER($AA$46),N($AA$44)&gt;DATOS!$C$16),IF(OR(AM32&lt;$AA$45,AM32&gt;$AA$46),"FUERA DE LÍMITES; ",""),"")&amp;IF(AND(N(M32)&gt;0,N(N32)&gt;N(M32)),"ÁREA PRIVADA &gt; CONSTRUIDA; ",""))=0,"OK",IF(B32="","SIN FECHA; ",IF(DATOS!$C$12-B32&gt;DATOS!$C$18*30.4,"VENCIDA; ",""))&amp;IF(AJ32="","SIN ENLACE; ","")&amp;IF(I32="","SIN COORDENADAS; ","")&amp;IF(N32="","SIN ÁREA; ","")&amp;IF(AND(ISNUMBER(AM32),ISNUMBER($AA$45),ISNUMBER($AA$46),N($AA$44)&gt;DATOS!$C$16),IF(OR(AM32&lt;$AA$45,AM32&gt;$AA$46),"FUERA DE LÍMITES; ",""),"")&amp;IF(AND(N(M32)&gt;0,N(N32)&gt;N(M32)),"ÁREA PRIVADA &gt; CONSTRUIDA; ","")))</f>
        <v/>
      </c>
      <c r="AO32" s="25">
        <f>IF(AM32="","",IF(COMBINACIONES_PH!$B$18="MUESTRA COMPLETA","SÍ",IF(AUX_PH!F28="","NO (filtrada)",IF(AND(AUX_PH!F28&gt;=COMBINACIONES_PH!$B$22,AUX_PH!F28&lt;=COMBINACIONES_PH!$B$22+COMBINACIONES_PH!$B$23-1),"SÍ","NO"))))</f>
        <v/>
      </c>
      <c r="AP32" s="25">
        <f>IF(A32="","","OFERTA PH "&amp;TEXT(A32,"00"))</f>
        <v/>
      </c>
    </row>
    <row r="33">
      <c r="A33" s="70" t="n"/>
      <c r="B33" s="71" t="n"/>
      <c r="C33" s="70" t="n"/>
      <c r="D33" s="70" t="n"/>
      <c r="E33" s="70" t="n"/>
      <c r="F33" s="70" t="n"/>
      <c r="G33" s="70" t="n"/>
      <c r="H33" s="70" t="n"/>
      <c r="I33" s="70" t="n"/>
      <c r="J33" s="197" t="n"/>
      <c r="K33" s="198">
        <f>DATOS!$C$17</f>
        <v/>
      </c>
      <c r="L33" s="199">
        <f>IF(J33="","",J33*(1-K33))</f>
        <v/>
      </c>
      <c r="M33" s="73" t="n"/>
      <c r="N33" s="73" t="n"/>
      <c r="O33" s="73" t="n"/>
      <c r="P33" s="198">
        <f>DATOS!$C$23</f>
        <v/>
      </c>
      <c r="Q33" s="48">
        <f>IF(N(N33)&lt;=0,"",N33+N(P33)*N(O33))</f>
        <v/>
      </c>
      <c r="R33" s="73" t="n"/>
      <c r="S33" s="70" t="n"/>
      <c r="T33" s="73" t="n"/>
      <c r="U33" s="200">
        <f>DATOS!$C$21</f>
        <v/>
      </c>
      <c r="V33" s="70" t="n"/>
      <c r="W33" s="73" t="n"/>
      <c r="X33" s="200">
        <f>DATOS!$C$22</f>
        <v/>
      </c>
      <c r="Y33" s="199">
        <f>IF(L33="","",N(S33)*N(U33)+N(V33)*N(X33))</f>
        <v/>
      </c>
      <c r="Z33" s="199">
        <f>IF(L33="","",L33-Y33)</f>
        <v/>
      </c>
      <c r="AA33" s="199">
        <f>IF(OR(Z33="",N(N33)&lt;=0),"",Z33/IF(DATOS!$C$24="ÁREA PRIVADA CONSTRUIDA",N33,Q33))</f>
        <v/>
      </c>
      <c r="AB33" s="199">
        <f>IF(OR(Z33="",N(M33)&lt;=0),"",Z33/M33)</f>
        <v/>
      </c>
      <c r="AC33" s="70" t="n"/>
      <c r="AD33" s="70" t="n"/>
      <c r="AE33" s="70" t="n"/>
      <c r="AF33" s="197" t="n"/>
      <c r="AG33" s="70" t="n"/>
      <c r="AH33" s="70" t="n"/>
      <c r="AI33" s="70" t="n"/>
      <c r="AJ33" s="70" t="n"/>
      <c r="AK33" s="70" t="n"/>
      <c r="AL33" s="74" t="n"/>
      <c r="AM33" s="199">
        <f>IF(AND(AL33="SÍ",ISNUMBER(AA33)),AA33,"")</f>
        <v/>
      </c>
      <c r="AN33" s="15">
        <f>IF(A33="","",IF(LEN(IF(B33="","SIN FECHA; ",IF(DATOS!$C$12-B33&gt;DATOS!$C$18*30.4,"VENCIDA; ",""))&amp;IF(AJ33="","SIN ENLACE; ","")&amp;IF(I33="","SIN COORDENADAS; ","")&amp;IF(N33="","SIN ÁREA; ","")&amp;IF(AND(ISNUMBER(AM33),ISNUMBER($AA$45),ISNUMBER($AA$46),N($AA$44)&gt;DATOS!$C$16),IF(OR(AM33&lt;$AA$45,AM33&gt;$AA$46),"FUERA DE LÍMITES; ",""),"")&amp;IF(AND(N(M33)&gt;0,N(N33)&gt;N(M33)),"ÁREA PRIVADA &gt; CONSTRUIDA; ",""))=0,"OK",IF(B33="","SIN FECHA; ",IF(DATOS!$C$12-B33&gt;DATOS!$C$18*30.4,"VENCIDA; ",""))&amp;IF(AJ33="","SIN ENLACE; ","")&amp;IF(I33="","SIN COORDENADAS; ","")&amp;IF(N33="","SIN ÁREA; ","")&amp;IF(AND(ISNUMBER(AM33),ISNUMBER($AA$45),ISNUMBER($AA$46),N($AA$44)&gt;DATOS!$C$16),IF(OR(AM33&lt;$AA$45,AM33&gt;$AA$46),"FUERA DE LÍMITES; ",""),"")&amp;IF(AND(N(M33)&gt;0,N(N33)&gt;N(M33)),"ÁREA PRIVADA &gt; CONSTRUIDA; ","")))</f>
        <v/>
      </c>
      <c r="AO33" s="25">
        <f>IF(AM33="","",IF(COMBINACIONES_PH!$B$18="MUESTRA COMPLETA","SÍ",IF(AUX_PH!F29="","NO (filtrada)",IF(AND(AUX_PH!F29&gt;=COMBINACIONES_PH!$B$22,AUX_PH!F29&lt;=COMBINACIONES_PH!$B$22+COMBINACIONES_PH!$B$23-1),"SÍ","NO"))))</f>
        <v/>
      </c>
      <c r="AP33" s="25">
        <f>IF(A33="","","OFERTA PH "&amp;TEXT(A33,"00"))</f>
        <v/>
      </c>
    </row>
    <row r="34">
      <c r="A34" s="70" t="n"/>
      <c r="B34" s="71" t="n"/>
      <c r="C34" s="70" t="n"/>
      <c r="D34" s="70" t="n"/>
      <c r="E34" s="70" t="n"/>
      <c r="F34" s="70" t="n"/>
      <c r="G34" s="70" t="n"/>
      <c r="H34" s="70" t="n"/>
      <c r="I34" s="70" t="n"/>
      <c r="J34" s="197" t="n"/>
      <c r="K34" s="198">
        <f>DATOS!$C$17</f>
        <v/>
      </c>
      <c r="L34" s="199">
        <f>IF(J34="","",J34*(1-K34))</f>
        <v/>
      </c>
      <c r="M34" s="73" t="n"/>
      <c r="N34" s="73" t="n"/>
      <c r="O34" s="73" t="n"/>
      <c r="P34" s="198">
        <f>DATOS!$C$23</f>
        <v/>
      </c>
      <c r="Q34" s="48">
        <f>IF(N(N34)&lt;=0,"",N34+N(P34)*N(O34))</f>
        <v/>
      </c>
      <c r="R34" s="73" t="n"/>
      <c r="S34" s="70" t="n"/>
      <c r="T34" s="73" t="n"/>
      <c r="U34" s="200">
        <f>DATOS!$C$21</f>
        <v/>
      </c>
      <c r="V34" s="70" t="n"/>
      <c r="W34" s="73" t="n"/>
      <c r="X34" s="200">
        <f>DATOS!$C$22</f>
        <v/>
      </c>
      <c r="Y34" s="199">
        <f>IF(L34="","",N(S34)*N(U34)+N(V34)*N(X34))</f>
        <v/>
      </c>
      <c r="Z34" s="199">
        <f>IF(L34="","",L34-Y34)</f>
        <v/>
      </c>
      <c r="AA34" s="199">
        <f>IF(OR(Z34="",N(N34)&lt;=0),"",Z34/IF(DATOS!$C$24="ÁREA PRIVADA CONSTRUIDA",N34,Q34))</f>
        <v/>
      </c>
      <c r="AB34" s="199">
        <f>IF(OR(Z34="",N(M34)&lt;=0),"",Z34/M34)</f>
        <v/>
      </c>
      <c r="AC34" s="70" t="n"/>
      <c r="AD34" s="70" t="n"/>
      <c r="AE34" s="70" t="n"/>
      <c r="AF34" s="197" t="n"/>
      <c r="AG34" s="70" t="n"/>
      <c r="AH34" s="70" t="n"/>
      <c r="AI34" s="70" t="n"/>
      <c r="AJ34" s="70" t="n"/>
      <c r="AK34" s="70" t="n"/>
      <c r="AL34" s="74" t="n"/>
      <c r="AM34" s="199">
        <f>IF(AND(AL34="SÍ",ISNUMBER(AA34)),AA34,"")</f>
        <v/>
      </c>
      <c r="AN34" s="15">
        <f>IF(A34="","",IF(LEN(IF(B34="","SIN FECHA; ",IF(DATOS!$C$12-B34&gt;DATOS!$C$18*30.4,"VENCIDA; ",""))&amp;IF(AJ34="","SIN ENLACE; ","")&amp;IF(I34="","SIN COORDENADAS; ","")&amp;IF(N34="","SIN ÁREA; ","")&amp;IF(AND(ISNUMBER(AM34),ISNUMBER($AA$45),ISNUMBER($AA$46),N($AA$44)&gt;DATOS!$C$16),IF(OR(AM34&lt;$AA$45,AM34&gt;$AA$46),"FUERA DE LÍMITES; ",""),"")&amp;IF(AND(N(M34)&gt;0,N(N34)&gt;N(M34)),"ÁREA PRIVADA &gt; CONSTRUIDA; ",""))=0,"OK",IF(B34="","SIN FECHA; ",IF(DATOS!$C$12-B34&gt;DATOS!$C$18*30.4,"VENCIDA; ",""))&amp;IF(AJ34="","SIN ENLACE; ","")&amp;IF(I34="","SIN COORDENADAS; ","")&amp;IF(N34="","SIN ÁREA; ","")&amp;IF(AND(ISNUMBER(AM34),ISNUMBER($AA$45),ISNUMBER($AA$46),N($AA$44)&gt;DATOS!$C$16),IF(OR(AM34&lt;$AA$45,AM34&gt;$AA$46),"FUERA DE LÍMITES; ",""),"")&amp;IF(AND(N(M34)&gt;0,N(N34)&gt;N(M34)),"ÁREA PRIVADA &gt; CONSTRUIDA; ","")))</f>
        <v/>
      </c>
      <c r="AO34" s="25">
        <f>IF(AM34="","",IF(COMBINACIONES_PH!$B$18="MUESTRA COMPLETA","SÍ",IF(AUX_PH!F30="","NO (filtrada)",IF(AND(AUX_PH!F30&gt;=COMBINACIONES_PH!$B$22,AUX_PH!F30&lt;=COMBINACIONES_PH!$B$22+COMBINACIONES_PH!$B$23-1),"SÍ","NO"))))</f>
        <v/>
      </c>
      <c r="AP34" s="25">
        <f>IF(A34="","","OFERTA PH "&amp;TEXT(A34,"00"))</f>
        <v/>
      </c>
    </row>
    <row r="35">
      <c r="A35" s="70" t="n"/>
      <c r="B35" s="71" t="n"/>
      <c r="C35" s="70" t="n"/>
      <c r="D35" s="70" t="n"/>
      <c r="E35" s="70" t="n"/>
      <c r="F35" s="70" t="n"/>
      <c r="G35" s="70" t="n"/>
      <c r="H35" s="70" t="n"/>
      <c r="I35" s="70" t="n"/>
      <c r="J35" s="197" t="n"/>
      <c r="K35" s="198">
        <f>DATOS!$C$17</f>
        <v/>
      </c>
      <c r="L35" s="199">
        <f>IF(J35="","",J35*(1-K35))</f>
        <v/>
      </c>
      <c r="M35" s="73" t="n"/>
      <c r="N35" s="73" t="n"/>
      <c r="O35" s="73" t="n"/>
      <c r="P35" s="198">
        <f>DATOS!$C$23</f>
        <v/>
      </c>
      <c r="Q35" s="48">
        <f>IF(N(N35)&lt;=0,"",N35+N(P35)*N(O35))</f>
        <v/>
      </c>
      <c r="R35" s="73" t="n"/>
      <c r="S35" s="70" t="n"/>
      <c r="T35" s="73" t="n"/>
      <c r="U35" s="200">
        <f>DATOS!$C$21</f>
        <v/>
      </c>
      <c r="V35" s="70" t="n"/>
      <c r="W35" s="73" t="n"/>
      <c r="X35" s="200">
        <f>DATOS!$C$22</f>
        <v/>
      </c>
      <c r="Y35" s="199">
        <f>IF(L35="","",N(S35)*N(U35)+N(V35)*N(X35))</f>
        <v/>
      </c>
      <c r="Z35" s="199">
        <f>IF(L35="","",L35-Y35)</f>
        <v/>
      </c>
      <c r="AA35" s="199">
        <f>IF(OR(Z35="",N(N35)&lt;=0),"",Z35/IF(DATOS!$C$24="ÁREA PRIVADA CONSTRUIDA",N35,Q35))</f>
        <v/>
      </c>
      <c r="AB35" s="199">
        <f>IF(OR(Z35="",N(M35)&lt;=0),"",Z35/M35)</f>
        <v/>
      </c>
      <c r="AC35" s="70" t="n"/>
      <c r="AD35" s="70" t="n"/>
      <c r="AE35" s="70" t="n"/>
      <c r="AF35" s="197" t="n"/>
      <c r="AG35" s="70" t="n"/>
      <c r="AH35" s="70" t="n"/>
      <c r="AI35" s="70" t="n"/>
      <c r="AJ35" s="70" t="n"/>
      <c r="AK35" s="70" t="n"/>
      <c r="AL35" s="74" t="n"/>
      <c r="AM35" s="199">
        <f>IF(AND(AL35="SÍ",ISNUMBER(AA35)),AA35,"")</f>
        <v/>
      </c>
      <c r="AN35" s="15">
        <f>IF(A35="","",IF(LEN(IF(B35="","SIN FECHA; ",IF(DATOS!$C$12-B35&gt;DATOS!$C$18*30.4,"VENCIDA; ",""))&amp;IF(AJ35="","SIN ENLACE; ","")&amp;IF(I35="","SIN COORDENADAS; ","")&amp;IF(N35="","SIN ÁREA; ","")&amp;IF(AND(ISNUMBER(AM35),ISNUMBER($AA$45),ISNUMBER($AA$46),N($AA$44)&gt;DATOS!$C$16),IF(OR(AM35&lt;$AA$45,AM35&gt;$AA$46),"FUERA DE LÍMITES; ",""),"")&amp;IF(AND(N(M35)&gt;0,N(N35)&gt;N(M35)),"ÁREA PRIVADA &gt; CONSTRUIDA; ",""))=0,"OK",IF(B35="","SIN FECHA; ",IF(DATOS!$C$12-B35&gt;DATOS!$C$18*30.4,"VENCIDA; ",""))&amp;IF(AJ35="","SIN ENLACE; ","")&amp;IF(I35="","SIN COORDENADAS; ","")&amp;IF(N35="","SIN ÁREA; ","")&amp;IF(AND(ISNUMBER(AM35),ISNUMBER($AA$45),ISNUMBER($AA$46),N($AA$44)&gt;DATOS!$C$16),IF(OR(AM35&lt;$AA$45,AM35&gt;$AA$46),"FUERA DE LÍMITES; ",""),"")&amp;IF(AND(N(M35)&gt;0,N(N35)&gt;N(M35)),"ÁREA PRIVADA &gt; CONSTRUIDA; ","")))</f>
        <v/>
      </c>
      <c r="AO35" s="25">
        <f>IF(AM35="","",IF(COMBINACIONES_PH!$B$18="MUESTRA COMPLETA","SÍ",IF(AUX_PH!F31="","NO (filtrada)",IF(AND(AUX_PH!F31&gt;=COMBINACIONES_PH!$B$22,AUX_PH!F31&lt;=COMBINACIONES_PH!$B$22+COMBINACIONES_PH!$B$23-1),"SÍ","NO"))))</f>
        <v/>
      </c>
      <c r="AP35" s="25">
        <f>IF(A35="","","OFERTA PH "&amp;TEXT(A35,"00"))</f>
        <v/>
      </c>
    </row>
    <row r="36">
      <c r="A36" s="70" t="n"/>
      <c r="B36" s="71" t="n"/>
      <c r="C36" s="70" t="n"/>
      <c r="D36" s="70" t="n"/>
      <c r="E36" s="70" t="n"/>
      <c r="F36" s="70" t="n"/>
      <c r="G36" s="70" t="n"/>
      <c r="H36" s="70" t="n"/>
      <c r="I36" s="70" t="n"/>
      <c r="J36" s="197" t="n"/>
      <c r="K36" s="198">
        <f>DATOS!$C$17</f>
        <v/>
      </c>
      <c r="L36" s="199">
        <f>IF(J36="","",J36*(1-K36))</f>
        <v/>
      </c>
      <c r="M36" s="73" t="n"/>
      <c r="N36" s="73" t="n"/>
      <c r="O36" s="73" t="n"/>
      <c r="P36" s="198">
        <f>DATOS!$C$23</f>
        <v/>
      </c>
      <c r="Q36" s="48">
        <f>IF(N(N36)&lt;=0,"",N36+N(P36)*N(O36))</f>
        <v/>
      </c>
      <c r="R36" s="73" t="n"/>
      <c r="S36" s="70" t="n"/>
      <c r="T36" s="73" t="n"/>
      <c r="U36" s="200">
        <f>DATOS!$C$21</f>
        <v/>
      </c>
      <c r="V36" s="70" t="n"/>
      <c r="W36" s="73" t="n"/>
      <c r="X36" s="200">
        <f>DATOS!$C$22</f>
        <v/>
      </c>
      <c r="Y36" s="199">
        <f>IF(L36="","",N(S36)*N(U36)+N(V36)*N(X36))</f>
        <v/>
      </c>
      <c r="Z36" s="199">
        <f>IF(L36="","",L36-Y36)</f>
        <v/>
      </c>
      <c r="AA36" s="199">
        <f>IF(OR(Z36="",N(N36)&lt;=0),"",Z36/IF(DATOS!$C$24="ÁREA PRIVADA CONSTRUIDA",N36,Q36))</f>
        <v/>
      </c>
      <c r="AB36" s="199">
        <f>IF(OR(Z36="",N(M36)&lt;=0),"",Z36/M36)</f>
        <v/>
      </c>
      <c r="AC36" s="70" t="n"/>
      <c r="AD36" s="70" t="n"/>
      <c r="AE36" s="70" t="n"/>
      <c r="AF36" s="197" t="n"/>
      <c r="AG36" s="70" t="n"/>
      <c r="AH36" s="70" t="n"/>
      <c r="AI36" s="70" t="n"/>
      <c r="AJ36" s="70" t="n"/>
      <c r="AK36" s="70" t="n"/>
      <c r="AL36" s="74" t="n"/>
      <c r="AM36" s="199">
        <f>IF(AND(AL36="SÍ",ISNUMBER(AA36)),AA36,"")</f>
        <v/>
      </c>
      <c r="AN36" s="15">
        <f>IF(A36="","",IF(LEN(IF(B36="","SIN FECHA; ",IF(DATOS!$C$12-B36&gt;DATOS!$C$18*30.4,"VENCIDA; ",""))&amp;IF(AJ36="","SIN ENLACE; ","")&amp;IF(I36="","SIN COORDENADAS; ","")&amp;IF(N36="","SIN ÁREA; ","")&amp;IF(AND(ISNUMBER(AM36),ISNUMBER($AA$45),ISNUMBER($AA$46),N($AA$44)&gt;DATOS!$C$16),IF(OR(AM36&lt;$AA$45,AM36&gt;$AA$46),"FUERA DE LÍMITES; ",""),"")&amp;IF(AND(N(M36)&gt;0,N(N36)&gt;N(M36)),"ÁREA PRIVADA &gt; CONSTRUIDA; ",""))=0,"OK",IF(B36="","SIN FECHA; ",IF(DATOS!$C$12-B36&gt;DATOS!$C$18*30.4,"VENCIDA; ",""))&amp;IF(AJ36="","SIN ENLACE; ","")&amp;IF(I36="","SIN COORDENADAS; ","")&amp;IF(N36="","SIN ÁREA; ","")&amp;IF(AND(ISNUMBER(AM36),ISNUMBER($AA$45),ISNUMBER($AA$46),N($AA$44)&gt;DATOS!$C$16),IF(OR(AM36&lt;$AA$45,AM36&gt;$AA$46),"FUERA DE LÍMITES; ",""),"")&amp;IF(AND(N(M36)&gt;0,N(N36)&gt;N(M36)),"ÁREA PRIVADA &gt; CONSTRUIDA; ","")))</f>
        <v/>
      </c>
      <c r="AO36" s="25">
        <f>IF(AM36="","",IF(COMBINACIONES_PH!$B$18="MUESTRA COMPLETA","SÍ",IF(AUX_PH!F32="","NO (filtrada)",IF(AND(AUX_PH!F32&gt;=COMBINACIONES_PH!$B$22,AUX_PH!F32&lt;=COMBINACIONES_PH!$B$22+COMBINACIONES_PH!$B$23-1),"SÍ","NO"))))</f>
        <v/>
      </c>
      <c r="AP36" s="25">
        <f>IF(A36="","","OFERTA PH "&amp;TEXT(A36,"00"))</f>
        <v/>
      </c>
    </row>
    <row r="37">
      <c r="A37" s="70" t="n"/>
      <c r="B37" s="71" t="n"/>
      <c r="C37" s="70" t="n"/>
      <c r="D37" s="70" t="n"/>
      <c r="E37" s="70" t="n"/>
      <c r="F37" s="70" t="n"/>
      <c r="G37" s="70" t="n"/>
      <c r="H37" s="70" t="n"/>
      <c r="I37" s="70" t="n"/>
      <c r="J37" s="197" t="n"/>
      <c r="K37" s="198">
        <f>DATOS!$C$17</f>
        <v/>
      </c>
      <c r="L37" s="199">
        <f>IF(J37="","",J37*(1-K37))</f>
        <v/>
      </c>
      <c r="M37" s="73" t="n"/>
      <c r="N37" s="73" t="n"/>
      <c r="O37" s="73" t="n"/>
      <c r="P37" s="198">
        <f>DATOS!$C$23</f>
        <v/>
      </c>
      <c r="Q37" s="48">
        <f>IF(N(N37)&lt;=0,"",N37+N(P37)*N(O37))</f>
        <v/>
      </c>
      <c r="R37" s="73" t="n"/>
      <c r="S37" s="70" t="n"/>
      <c r="T37" s="73" t="n"/>
      <c r="U37" s="200">
        <f>DATOS!$C$21</f>
        <v/>
      </c>
      <c r="V37" s="70" t="n"/>
      <c r="W37" s="73" t="n"/>
      <c r="X37" s="200">
        <f>DATOS!$C$22</f>
        <v/>
      </c>
      <c r="Y37" s="199">
        <f>IF(L37="","",N(S37)*N(U37)+N(V37)*N(X37))</f>
        <v/>
      </c>
      <c r="Z37" s="199">
        <f>IF(L37="","",L37-Y37)</f>
        <v/>
      </c>
      <c r="AA37" s="199">
        <f>IF(OR(Z37="",N(N37)&lt;=0),"",Z37/IF(DATOS!$C$24="ÁREA PRIVADA CONSTRUIDA",N37,Q37))</f>
        <v/>
      </c>
      <c r="AB37" s="199">
        <f>IF(OR(Z37="",N(M37)&lt;=0),"",Z37/M37)</f>
        <v/>
      </c>
      <c r="AC37" s="70" t="n"/>
      <c r="AD37" s="70" t="n"/>
      <c r="AE37" s="70" t="n"/>
      <c r="AF37" s="197" t="n"/>
      <c r="AG37" s="70" t="n"/>
      <c r="AH37" s="70" t="n"/>
      <c r="AI37" s="70" t="n"/>
      <c r="AJ37" s="70" t="n"/>
      <c r="AK37" s="70" t="n"/>
      <c r="AL37" s="74" t="n"/>
      <c r="AM37" s="199">
        <f>IF(AND(AL37="SÍ",ISNUMBER(AA37)),AA37,"")</f>
        <v/>
      </c>
      <c r="AN37" s="15">
        <f>IF(A37="","",IF(LEN(IF(B37="","SIN FECHA; ",IF(DATOS!$C$12-B37&gt;DATOS!$C$18*30.4,"VENCIDA; ",""))&amp;IF(AJ37="","SIN ENLACE; ","")&amp;IF(I37="","SIN COORDENADAS; ","")&amp;IF(N37="","SIN ÁREA; ","")&amp;IF(AND(ISNUMBER(AM37),ISNUMBER($AA$45),ISNUMBER($AA$46),N($AA$44)&gt;DATOS!$C$16),IF(OR(AM37&lt;$AA$45,AM37&gt;$AA$46),"FUERA DE LÍMITES; ",""),"")&amp;IF(AND(N(M37)&gt;0,N(N37)&gt;N(M37)),"ÁREA PRIVADA &gt; CONSTRUIDA; ",""))=0,"OK",IF(B37="","SIN FECHA; ",IF(DATOS!$C$12-B37&gt;DATOS!$C$18*30.4,"VENCIDA; ",""))&amp;IF(AJ37="","SIN ENLACE; ","")&amp;IF(I37="","SIN COORDENADAS; ","")&amp;IF(N37="","SIN ÁREA; ","")&amp;IF(AND(ISNUMBER(AM37),ISNUMBER($AA$45),ISNUMBER($AA$46),N($AA$44)&gt;DATOS!$C$16),IF(OR(AM37&lt;$AA$45,AM37&gt;$AA$46),"FUERA DE LÍMITES; ",""),"")&amp;IF(AND(N(M37)&gt;0,N(N37)&gt;N(M37)),"ÁREA PRIVADA &gt; CONSTRUIDA; ","")))</f>
        <v/>
      </c>
      <c r="AO37" s="25">
        <f>IF(AM37="","",IF(COMBINACIONES_PH!$B$18="MUESTRA COMPLETA","SÍ",IF(AUX_PH!F33="","NO (filtrada)",IF(AND(AUX_PH!F33&gt;=COMBINACIONES_PH!$B$22,AUX_PH!F33&lt;=COMBINACIONES_PH!$B$22+COMBINACIONES_PH!$B$23-1),"SÍ","NO"))))</f>
        <v/>
      </c>
      <c r="AP37" s="25">
        <f>IF(A37="","","OFERTA PH "&amp;TEXT(A37,"00"))</f>
        <v/>
      </c>
    </row>
    <row r="38">
      <c r="A38" s="70" t="n"/>
      <c r="B38" s="71" t="n"/>
      <c r="C38" s="70" t="n"/>
      <c r="D38" s="70" t="n"/>
      <c r="E38" s="70" t="n"/>
      <c r="F38" s="70" t="n"/>
      <c r="G38" s="70" t="n"/>
      <c r="H38" s="70" t="n"/>
      <c r="I38" s="70" t="n"/>
      <c r="J38" s="197" t="n"/>
      <c r="K38" s="198">
        <f>DATOS!$C$17</f>
        <v/>
      </c>
      <c r="L38" s="199">
        <f>IF(J38="","",J38*(1-K38))</f>
        <v/>
      </c>
      <c r="M38" s="73" t="n"/>
      <c r="N38" s="73" t="n"/>
      <c r="O38" s="73" t="n"/>
      <c r="P38" s="198">
        <f>DATOS!$C$23</f>
        <v/>
      </c>
      <c r="Q38" s="48">
        <f>IF(N(N38)&lt;=0,"",N38+N(P38)*N(O38))</f>
        <v/>
      </c>
      <c r="R38" s="73" t="n"/>
      <c r="S38" s="70" t="n"/>
      <c r="T38" s="73" t="n"/>
      <c r="U38" s="200">
        <f>DATOS!$C$21</f>
        <v/>
      </c>
      <c r="V38" s="70" t="n"/>
      <c r="W38" s="73" t="n"/>
      <c r="X38" s="200">
        <f>DATOS!$C$22</f>
        <v/>
      </c>
      <c r="Y38" s="199">
        <f>IF(L38="","",N(S38)*N(U38)+N(V38)*N(X38))</f>
        <v/>
      </c>
      <c r="Z38" s="199">
        <f>IF(L38="","",L38-Y38)</f>
        <v/>
      </c>
      <c r="AA38" s="199">
        <f>IF(OR(Z38="",N(N38)&lt;=0),"",Z38/IF(DATOS!$C$24="ÁREA PRIVADA CONSTRUIDA",N38,Q38))</f>
        <v/>
      </c>
      <c r="AB38" s="199">
        <f>IF(OR(Z38="",N(M38)&lt;=0),"",Z38/M38)</f>
        <v/>
      </c>
      <c r="AC38" s="70" t="n"/>
      <c r="AD38" s="70" t="n"/>
      <c r="AE38" s="70" t="n"/>
      <c r="AF38" s="197" t="n"/>
      <c r="AG38" s="70" t="n"/>
      <c r="AH38" s="70" t="n"/>
      <c r="AI38" s="70" t="n"/>
      <c r="AJ38" s="70" t="n"/>
      <c r="AK38" s="70" t="n"/>
      <c r="AL38" s="74" t="n"/>
      <c r="AM38" s="199">
        <f>IF(AND(AL38="SÍ",ISNUMBER(AA38)),AA38,"")</f>
        <v/>
      </c>
      <c r="AN38" s="15">
        <f>IF(A38="","",IF(LEN(IF(B38="","SIN FECHA; ",IF(DATOS!$C$12-B38&gt;DATOS!$C$18*30.4,"VENCIDA; ",""))&amp;IF(AJ38="","SIN ENLACE; ","")&amp;IF(I38="","SIN COORDENADAS; ","")&amp;IF(N38="","SIN ÁREA; ","")&amp;IF(AND(ISNUMBER(AM38),ISNUMBER($AA$45),ISNUMBER($AA$46),N($AA$44)&gt;DATOS!$C$16),IF(OR(AM38&lt;$AA$45,AM38&gt;$AA$46),"FUERA DE LÍMITES; ",""),"")&amp;IF(AND(N(M38)&gt;0,N(N38)&gt;N(M38)),"ÁREA PRIVADA &gt; CONSTRUIDA; ",""))=0,"OK",IF(B38="","SIN FECHA; ",IF(DATOS!$C$12-B38&gt;DATOS!$C$18*30.4,"VENCIDA; ",""))&amp;IF(AJ38="","SIN ENLACE; ","")&amp;IF(I38="","SIN COORDENADAS; ","")&amp;IF(N38="","SIN ÁREA; ","")&amp;IF(AND(ISNUMBER(AM38),ISNUMBER($AA$45),ISNUMBER($AA$46),N($AA$44)&gt;DATOS!$C$16),IF(OR(AM38&lt;$AA$45,AM38&gt;$AA$46),"FUERA DE LÍMITES; ",""),"")&amp;IF(AND(N(M38)&gt;0,N(N38)&gt;N(M38)),"ÁREA PRIVADA &gt; CONSTRUIDA; ","")))</f>
        <v/>
      </c>
      <c r="AO38" s="25">
        <f>IF(AM38="","",IF(COMBINACIONES_PH!$B$18="MUESTRA COMPLETA","SÍ",IF(AUX_PH!F34="","NO (filtrada)",IF(AND(AUX_PH!F34&gt;=COMBINACIONES_PH!$B$22,AUX_PH!F34&lt;=COMBINACIONES_PH!$B$22+COMBINACIONES_PH!$B$23-1),"SÍ","NO"))))</f>
        <v/>
      </c>
      <c r="AP38" s="25">
        <f>IF(A38="","","OFERTA PH "&amp;TEXT(A38,"00"))</f>
        <v/>
      </c>
    </row>
    <row r="40" ht="15" customHeight="1" s="54">
      <c r="X40" s="6" t="inlineStr">
        <is>
          <t>Nº DE OFERTAS INCLUIDAS</t>
        </is>
      </c>
      <c r="Y40" s="188" t="n"/>
      <c r="Z40" s="188" t="n"/>
      <c r="AA40" s="26">
        <f>COUNT($AM$9:$AM$38)</f>
        <v/>
      </c>
    </row>
    <row r="41" ht="15" customHeight="1" s="54">
      <c r="X41" s="6" t="inlineStr">
        <is>
          <t>PROMEDIO (media aritmética)</t>
        </is>
      </c>
      <c r="Y41" s="188" t="n"/>
      <c r="Z41" s="188" t="n"/>
      <c r="AA41" s="201">
        <f>IFERROR(AVERAGE($AM$9:$AM$38),"")</f>
        <v/>
      </c>
    </row>
    <row r="42" ht="15" customHeight="1" s="54">
      <c r="X42" s="6" t="inlineStr">
        <is>
          <t>MEDIANA</t>
        </is>
      </c>
      <c r="Y42" s="188" t="n"/>
      <c r="Z42" s="188" t="n"/>
      <c r="AA42" s="202">
        <f>IFERROR(MEDIAN($AM$9:$AM$38),"")</f>
        <v/>
      </c>
    </row>
    <row r="43" ht="15" customHeight="1" s="54">
      <c r="X43" s="6" t="inlineStr">
        <is>
          <t>DESVIACIÓN ESTÁNDAR</t>
        </is>
      </c>
      <c r="Y43" s="188" t="n"/>
      <c r="Z43" s="188" t="n"/>
      <c r="AA43" s="202">
        <f>IFERROR(_xlfn.STDEV.S($AM$9:$AM$38),"")</f>
        <v/>
      </c>
    </row>
    <row r="44" ht="15" customHeight="1" s="54">
      <c r="X44" s="6" t="inlineStr">
        <is>
          <t>COEFICIENTE DE VARIACIÓN</t>
        </is>
      </c>
      <c r="Y44" s="188" t="n"/>
      <c r="Z44" s="188" t="n"/>
      <c r="AA44" s="29">
        <f>IFERROR(AA43/AA41,"")</f>
        <v/>
      </c>
    </row>
    <row r="45" ht="15" customHeight="1" s="54">
      <c r="X45" s="6" t="inlineStr">
        <is>
          <t>LÍMITE INFERIOR (promedio − desv.)</t>
        </is>
      </c>
      <c r="Y45" s="188" t="n"/>
      <c r="Z45" s="188" t="n"/>
      <c r="AA45" s="202">
        <f>IFERROR(AA41-AA43,"")</f>
        <v/>
      </c>
    </row>
    <row r="46" ht="15" customHeight="1" s="54">
      <c r="X46" s="6" t="inlineStr">
        <is>
          <t>LÍMITE SUPERIOR (promedio + desv.)</t>
        </is>
      </c>
      <c r="Y46" s="188" t="n"/>
      <c r="Z46" s="188" t="n"/>
      <c r="AA46" s="202">
        <f>IFERROR(AA41+AA43,"")</f>
        <v/>
      </c>
    </row>
    <row r="47" ht="15" customHeight="1" s="54">
      <c r="X47" s="6" t="inlineStr">
        <is>
          <t>COEFICIENTE DE ASIMETRÍA</t>
        </is>
      </c>
      <c r="Y47" s="188" t="n"/>
      <c r="Z47" s="188" t="n"/>
      <c r="AA47" s="30">
        <f>IFERROR(SKEW($AM$9:$AM$38),"")</f>
        <v/>
      </c>
    </row>
    <row r="48" ht="15" customHeight="1" s="54">
      <c r="X48" s="6" t="inlineStr">
        <is>
          <t>¿CV MUESTRA COMPLETA ≤ MÁXIMO?</t>
        </is>
      </c>
      <c r="Y48" s="188" t="n"/>
      <c r="Z48" s="188" t="n"/>
      <c r="AA48" s="25">
        <f>IF(ISNUMBER(AA44),IF(AA44&lt;=DATOS!$C$16,"SÍ","NO – ver COMBINACIONES"),"")</f>
        <v/>
      </c>
    </row>
    <row r="49" ht="15" customHeight="1" s="54">
      <c r="X49" s="6" t="inlineStr">
        <is>
          <t>PROMEDIO REDONDEADO (muestra completa)</t>
        </is>
      </c>
      <c r="Y49" s="188" t="n"/>
      <c r="Z49" s="188" t="n"/>
      <c r="AA49" s="203">
        <f>IFERROR(ROUND(AA41,-2),"")</f>
        <v/>
      </c>
    </row>
    <row r="51" ht="15" customHeight="1" s="54">
      <c r="A51" s="3" t="inlineStr">
        <is>
          <t>OBSERVACIONES: 1) Registre el área construida del anuncio o certificado (M) y el área privada construida del folio / reglamento de PH (N); el divisor nunca es el área construida total, porque incluye muros, ductos y zonas comunes. 2) Áreas privadas libres (balcones, terrazas, patios): se ponderan con el coeficiente P (por defecto 1/3, «regla del tercio», práctica valuatoria entre 25 % y 50 %; no es parámetro de la Res. 941 y debe sustentarse). Con divisor ÁREA EQUIVALENTE el mismo coeficiente se usa en la liquidación del objeto, de modo que mercado y liquidación quedan coherentes. 3) Parqueaderos y cuartos útiles: registre siempre número y área (m²); su valor se descuenta solo si son unidades privadas independientes (folio propio). Si son de uso exclusivo (bien común), deje el valor unitario en 0. 4) En condominios registre el área de terreno (Anexo, Nota 1). 5) No se aplican factores de homogenización por ubicación, piso, edad o tamaño (Anexo, num. 2.1, Nota 2).</t>
        </is>
      </c>
      <c r="B51" s="204" t="n"/>
      <c r="C51" s="204" t="n"/>
      <c r="D51" s="204" t="n"/>
      <c r="E51" s="204" t="n"/>
      <c r="F51" s="204" t="n"/>
      <c r="G51" s="204" t="n"/>
      <c r="H51" s="204" t="n"/>
      <c r="I51" s="204" t="n"/>
      <c r="J51" s="204" t="n"/>
      <c r="K51" s="204" t="n"/>
      <c r="L51" s="204" t="n"/>
      <c r="M51" s="204" t="n"/>
      <c r="N51" s="204" t="n"/>
      <c r="O51" s="204" t="n"/>
      <c r="P51" s="204" t="n"/>
      <c r="Q51" s="204" t="n"/>
      <c r="R51" s="204" t="n"/>
      <c r="S51" s="204" t="n"/>
      <c r="T51" s="204" t="n"/>
      <c r="U51" s="204" t="n"/>
      <c r="V51" s="204" t="n"/>
      <c r="W51" s="204" t="n"/>
      <c r="X51" s="204" t="n"/>
      <c r="Y51" s="204" t="n"/>
      <c r="Z51" s="204" t="n"/>
      <c r="AA51" s="204" t="n"/>
      <c r="AB51" s="204" t="n"/>
      <c r="AC51" s="204" t="n"/>
      <c r="AD51" s="204" t="n"/>
      <c r="AE51" s="204" t="n"/>
      <c r="AF51" s="204" t="n"/>
      <c r="AG51" s="204" t="n"/>
      <c r="AH51" s="204" t="n"/>
      <c r="AI51" s="204" t="n"/>
      <c r="AJ51" s="204" t="n"/>
      <c r="AK51" s="204" t="n"/>
    </row>
    <row r="52">
      <c r="A52" s="205" t="n"/>
    </row>
    <row r="53">
      <c r="A53" s="205" t="n"/>
    </row>
    <row r="54">
      <c r="A54" s="205" t="n"/>
    </row>
    <row r="55">
      <c r="A55" s="205" t="n"/>
    </row>
    <row r="56">
      <c r="A56" s="205" t="n"/>
    </row>
  </sheetData>
  <mergeCells count="24">
    <mergeCell ref="AO2:AP2"/>
    <mergeCell ref="X47:Z47"/>
    <mergeCell ref="X49:Z49"/>
    <mergeCell ref="A3:C3"/>
    <mergeCell ref="N6:Q6"/>
    <mergeCell ref="X42:Z42"/>
    <mergeCell ref="A5:C5"/>
    <mergeCell ref="A1:C2"/>
    <mergeCell ref="X45:Z45"/>
    <mergeCell ref="A51:AK56"/>
    <mergeCell ref="X41:Z41"/>
    <mergeCell ref="D1:AM2"/>
    <mergeCell ref="A4:C4"/>
    <mergeCell ref="X46:Z46"/>
    <mergeCell ref="X44:Z44"/>
    <mergeCell ref="AO1:AP1"/>
    <mergeCell ref="X43:Z43"/>
    <mergeCell ref="X48:Z48"/>
    <mergeCell ref="D4:K4"/>
    <mergeCell ref="X40:Z40"/>
    <mergeCell ref="D3:K3"/>
    <mergeCell ref="A6:C6"/>
    <mergeCell ref="E6:K6"/>
    <mergeCell ref="D5:K5"/>
  </mergeCells>
  <conditionalFormatting sqref="AN9:AN38">
    <cfRule type="expression" priority="2" dxfId="1">
      <formula>AND(AN9&lt;&gt;"",AN9&lt;&gt;"OK")</formula>
    </cfRule>
  </conditionalFormatting>
  <conditionalFormatting sqref="AO9:AO38">
    <cfRule type="cellIs" priority="3" operator="equal" dxfId="0">
      <formula>"SÍ"</formula>
    </cfRule>
  </conditionalFormatting>
  <dataValidations count="3">
    <dataValidation sqref="C9:C38" showDropDown="0" showInputMessage="0" showErrorMessage="0" allowBlank="1" type="list">
      <formula1>"Apartamento,Casa en PH,Apartaestudio,Oficina,Local,Consultorio,Bodega en PH,Otro"</formula1>
      <formula2>0</formula2>
    </dataValidation>
    <dataValidation sqref="D9:D38" showDropDown="0" showInputMessage="0" showErrorMessage="0" allowBlank="1" type="list">
      <formula1>"Oferta de venta,Transacción,Arriendo"</formula1>
      <formula2>0</formula2>
    </dataValidation>
    <dataValidation sqref="AL9:AL38" showDropDown="0" showInputMessage="0" showErrorMessage="0" allowBlank="1" type="list">
      <formula1>"SÍ,NO"</formula1>
      <formula2>0</formula2>
    </dataValidation>
  </dataValidations>
  <hyperlinks>
    <hyperlink xmlns:r="http://schemas.openxmlformats.org/officeDocument/2006/relationships" ref="AJ9" r:id="rId1"/>
    <hyperlink xmlns:r="http://schemas.openxmlformats.org/officeDocument/2006/relationships" ref="AJ10" r:id="rId2"/>
    <hyperlink xmlns:r="http://schemas.openxmlformats.org/officeDocument/2006/relationships" ref="AJ11" r:id="rId3"/>
    <hyperlink xmlns:r="http://schemas.openxmlformats.org/officeDocument/2006/relationships" ref="AJ12" r:id="rId4"/>
    <hyperlink xmlns:r="http://schemas.openxmlformats.org/officeDocument/2006/relationships" ref="AJ13" r:id="rId5"/>
    <hyperlink xmlns:r="http://schemas.openxmlformats.org/officeDocument/2006/relationships" ref="AJ14" r:id="rId6"/>
    <hyperlink xmlns:r="http://schemas.openxmlformats.org/officeDocument/2006/relationships" ref="AJ15" r:id="rId7"/>
    <hyperlink xmlns:r="http://schemas.openxmlformats.org/officeDocument/2006/relationships" ref="AJ16" r:id="rId8"/>
  </hyperlink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548235"/>
    <outlinePr summaryBelow="1" summaryRight="1"/>
    <pageSetUpPr/>
  </sheetPr>
  <dimension ref="A1:O29"/>
  <sheetViews>
    <sheetView showGridLines="0" zoomScaleNormal="100" workbookViewId="0">
      <selection activeCell="A1" sqref="A1:O1"/>
    </sheetView>
  </sheetViews>
  <sheetFormatPr baseColWidth="10" defaultColWidth="8.6640625" defaultRowHeight="14.4"/>
  <cols>
    <col width="62" customWidth="1" style="54" min="1" max="1"/>
    <col width="15" customWidth="1" style="54" min="2" max="2"/>
    <col width="30" customWidth="1" style="54" min="3" max="3"/>
    <col width="15" customWidth="1" style="54" min="4" max="15"/>
  </cols>
  <sheetData>
    <row r="1" ht="16.8" customHeight="1" s="54">
      <c r="A1" s="12" t="inlineStr">
        <is>
          <t>COMBINACIONES DE MERCADO – PH (valor unitario integral) – VALOR UNITARIO ($/m²)</t>
        </is>
      </c>
    </row>
    <row r="2" ht="15" customHeight="1" s="54">
      <c r="A2" s="19" t="inlineStr">
        <is>
          <t>Usa las ofertas con ¿INCLUIR?=SÍ de 'MERCADO PH'. Ordena por valor unitario y evalúa grupos de ofertas consecutivas (mínimo según DATOS). Prioriza el grupo con más ofertas que cumpla el CV máximo; a igual tamaño, el de menor CV.</t>
        </is>
      </c>
    </row>
    <row r="3">
      <c r="A3" s="16" t="inlineStr">
        <is>
          <t>Límite inferior muestra completa ($/m²)</t>
        </is>
      </c>
      <c r="B3" s="210">
        <f>'MERCADO PH'!AA45</f>
        <v/>
      </c>
    </row>
    <row r="4">
      <c r="A4" s="16" t="inlineStr">
        <is>
          <t>Límite superior muestra completa ($/m²)</t>
        </is>
      </c>
      <c r="B4" s="210">
        <f>'MERCADO PH'!AA46</f>
        <v/>
      </c>
    </row>
    <row r="5">
      <c r="A5" s="16" t="inlineStr">
        <is>
          <t>Coeficiente de variación máximo admisible (Res. 941, Art. 21 – urbano)</t>
        </is>
      </c>
      <c r="B5" s="21">
        <f>DATOS!$C$16</f>
        <v/>
      </c>
    </row>
    <row r="6" ht="24" customHeight="1" s="54">
      <c r="A6" s="16" t="inlineStr">
        <is>
          <t>Filtrar ofertas por límites (SÍ/NO) – solo si la muestra completa supera el CV máximo</t>
        </is>
      </c>
      <c r="B6" s="36">
        <f>DATOS!$C$20</f>
        <v/>
      </c>
    </row>
    <row r="7">
      <c r="A7" s="16" t="inlineStr">
        <is>
          <t>Ofertas elegibles para combinar</t>
        </is>
      </c>
      <c r="B7" s="37">
        <f>AUX_PH!J2</f>
        <v/>
      </c>
    </row>
    <row r="8">
      <c r="A8" s="16" t="inlineStr">
        <is>
          <t>Ofertas incluidas en la tabla de mercado</t>
        </is>
      </c>
      <c r="B8" s="37">
        <f>'MERCADO PH'!AA40</f>
        <v/>
      </c>
    </row>
    <row r="9">
      <c r="A9" s="16" t="inlineStr">
        <is>
          <t>Mínimo de ofertas por combinación</t>
        </is>
      </c>
      <c r="B9" s="37">
        <f>DATOS!$C$19</f>
        <v/>
      </c>
    </row>
    <row r="10">
      <c r="A10" s="16" t="inlineStr">
        <is>
          <t>Combinaciones evaluadas</t>
        </is>
      </c>
      <c r="B10" s="37">
        <f>COUNTIF(AUX_PH!M5:M410,1)</f>
        <v/>
      </c>
    </row>
    <row r="11">
      <c r="A11" s="16" t="inlineStr">
        <is>
          <t>CV de la muestra completa</t>
        </is>
      </c>
      <c r="B11" s="21">
        <f>'MERCADO PH'!AA44</f>
        <v/>
      </c>
    </row>
    <row r="13" ht="39.75" customHeight="1" s="54">
      <c r="A13" s="13" t="inlineStr">
        <is>
          <t>Combinación</t>
        </is>
      </c>
      <c r="B13" s="13" t="inlineStr">
        <is>
          <t>Nº de ofertas</t>
        </is>
      </c>
      <c r="C13" s="13" t="inlineStr">
        <is>
          <t>Ofertas utilizadas (No., de menor a mayor valor)</t>
        </is>
      </c>
      <c r="D13" s="13" t="inlineStr">
        <is>
          <t>Valor mínimo $/m²</t>
        </is>
      </c>
      <c r="E13" s="13" t="inlineStr">
        <is>
          <t>Valor máximo $/m²</t>
        </is>
      </c>
      <c r="F13" s="13" t="inlineStr">
        <is>
          <t>Promedio $/m²</t>
        </is>
      </c>
      <c r="G13" s="13" t="inlineStr">
        <is>
          <t>Desviación estándar</t>
        </is>
      </c>
      <c r="H13" s="13" t="inlineStr">
        <is>
          <t>Coef. de variación</t>
        </is>
      </c>
      <c r="I13" s="13" t="inlineStr">
        <is>
          <t>Límite inferior</t>
        </is>
      </c>
      <c r="J13" s="13" t="inlineStr">
        <is>
          <t>Límite superior</t>
        </is>
      </c>
      <c r="K13" s="13" t="inlineStr">
        <is>
          <t>Coef. de asimetría</t>
        </is>
      </c>
      <c r="L13" s="13" t="inlineStr">
        <is>
          <t>¿CV ≤ máximo?</t>
        </is>
      </c>
      <c r="M13" s="13" t="inlineStr">
        <is>
          <t>Valor adoptado $/m² (redondeo a 100)</t>
        </is>
      </c>
      <c r="N13" s="13" t="inlineStr">
        <is>
          <t>Mediana $/m²</t>
        </is>
      </c>
      <c r="O13" s="13" t="inlineStr">
        <is>
          <t>Posición en AUX</t>
        </is>
      </c>
    </row>
    <row r="14">
      <c r="A14" s="25">
        <f>IF($O14="","—","COMBINACIÓN 1")</f>
        <v/>
      </c>
      <c r="B14" s="25">
        <f>IF($O14="","",INDEX(AUX_PH!$L$5:$L$410,$O14))</f>
        <v/>
      </c>
      <c r="C14" s="25">
        <f>IF($O14="","",MID(INDEX(AUX_PH!$Q$5:$Q$34,INDEX(AUX_PH!$K$5:$K$410,$O14)+$B14-1),IF(INDEX(AUX_PH!$K$5:$K$410,$O14)&gt;1,LEN(INDEX(AUX_PH!$Q$5:$Q$34,INDEX(AUX_PH!$K$5:$K$410,$O14)-1))+3,1),999))</f>
        <v/>
      </c>
      <c r="D14" s="202">
        <f>IF($O14="","",MIN(INDEX(AUX_PH!$J$5:$J$34,INDEX(AUX_PH!$K$5:$K$410,$O14)):INDEX(AUX_PH!$J$5:$J$34,INDEX(AUX_PH!$K$5:$K$410,$O14)+$B14-1)))</f>
        <v/>
      </c>
      <c r="E14" s="202">
        <f>IF($O14="","",MAX(INDEX(AUX_PH!$J$5:$J$34,INDEX(AUX_PH!$K$5:$K$410,$O14)):INDEX(AUX_PH!$J$5:$J$34,INDEX(AUX_PH!$K$5:$K$410,$O14)+$B14-1)))</f>
        <v/>
      </c>
      <c r="F14" s="202">
        <f>IF($O14="","",AVERAGE(INDEX(AUX_PH!$J$5:$J$34,INDEX(AUX_PH!$K$5:$K$410,$O14)):INDEX(AUX_PH!$J$5:$J$34,INDEX(AUX_PH!$K$5:$K$410,$O14)+$B14-1)))</f>
        <v/>
      </c>
      <c r="G14" s="202">
        <f>IF($O14="","",_xlfn.STDEV.S(INDEX(AUX_PH!$J$5:$J$34,INDEX(AUX_PH!$K$5:$K$410,$O14)):INDEX(AUX_PH!$J$5:$J$34,INDEX(AUX_PH!$K$5:$K$410,$O14)+$B14-1)))</f>
        <v/>
      </c>
      <c r="H14" s="38">
        <f>IF($O14="","",G14/F14)</f>
        <v/>
      </c>
      <c r="I14" s="202">
        <f>IF($O14="","",F14-G14)</f>
        <v/>
      </c>
      <c r="J14" s="202">
        <f>IF($O14="","",F14+G14)</f>
        <v/>
      </c>
      <c r="K14" s="30">
        <f>IF($O14="","",SKEW(INDEX(AUX_PH!$J$5:$J$34,INDEX(AUX_PH!$K$5:$K$410,$O14)):INDEX(AUX_PH!$J$5:$J$34,INDEX(AUX_PH!$K$5:$K$410,$O14)+$B14-1)))</f>
        <v/>
      </c>
      <c r="L14" s="25">
        <f>IF($O14="","",IF(H14&lt;=$B$5,"SÍ","NO"))</f>
        <v/>
      </c>
      <c r="M14" s="203">
        <f>IF($O14="","",ROUND(F14,-2))</f>
        <v/>
      </c>
      <c r="N14" s="202">
        <f>IF($O14="","",MEDIAN(INDEX(AUX_PH!$J$5:$J$34,INDEX(AUX_PH!$K$5:$K$410,$O14)):INDEX(AUX_PH!$J$5:$J$34,INDEX(AUX_PH!$K$5:$K$410,$O14)+$B14-1)))</f>
        <v/>
      </c>
      <c r="O14" s="25">
        <f>IFERROR(MATCH(SMALL(AUX_PH!$P$5:$P$410,1),AUX_PH!$P$5:$P$410,0),"")</f>
        <v/>
      </c>
    </row>
    <row r="15">
      <c r="A15" s="25">
        <f>IF($O15="","—","COMBINACIÓN 2")</f>
        <v/>
      </c>
      <c r="B15" s="25">
        <f>IF($O15="","",INDEX(AUX_PH!$L$5:$L$410,$O15))</f>
        <v/>
      </c>
      <c r="C15" s="25">
        <f>IF($O15="","",MID(INDEX(AUX_PH!$Q$5:$Q$34,INDEX(AUX_PH!$K$5:$K$410,$O15)+$B15-1),IF(INDEX(AUX_PH!$K$5:$K$410,$O15)&gt;1,LEN(INDEX(AUX_PH!$Q$5:$Q$34,INDEX(AUX_PH!$K$5:$K$410,$O15)-1))+3,1),999))</f>
        <v/>
      </c>
      <c r="D15" s="202">
        <f>IF($O15="","",MIN(INDEX(AUX_PH!$J$5:$J$34,INDEX(AUX_PH!$K$5:$K$410,$O15)):INDEX(AUX_PH!$J$5:$J$34,INDEX(AUX_PH!$K$5:$K$410,$O15)+$B15-1)))</f>
        <v/>
      </c>
      <c r="E15" s="202">
        <f>IF($O15="","",MAX(INDEX(AUX_PH!$J$5:$J$34,INDEX(AUX_PH!$K$5:$K$410,$O15)):INDEX(AUX_PH!$J$5:$J$34,INDEX(AUX_PH!$K$5:$K$410,$O15)+$B15-1)))</f>
        <v/>
      </c>
      <c r="F15" s="202">
        <f>IF($O15="","",AVERAGE(INDEX(AUX_PH!$J$5:$J$34,INDEX(AUX_PH!$K$5:$K$410,$O15)):INDEX(AUX_PH!$J$5:$J$34,INDEX(AUX_PH!$K$5:$K$410,$O15)+$B15-1)))</f>
        <v/>
      </c>
      <c r="G15" s="202">
        <f>IF($O15="","",_xlfn.STDEV.S(INDEX(AUX_PH!$J$5:$J$34,INDEX(AUX_PH!$K$5:$K$410,$O15)):INDEX(AUX_PH!$J$5:$J$34,INDEX(AUX_PH!$K$5:$K$410,$O15)+$B15-1)))</f>
        <v/>
      </c>
      <c r="H15" s="38">
        <f>IF($O15="","",G15/F15)</f>
        <v/>
      </c>
      <c r="I15" s="202">
        <f>IF($O15="","",F15-G15)</f>
        <v/>
      </c>
      <c r="J15" s="202">
        <f>IF($O15="","",F15+G15)</f>
        <v/>
      </c>
      <c r="K15" s="30">
        <f>IF($O15="","",SKEW(INDEX(AUX_PH!$J$5:$J$34,INDEX(AUX_PH!$K$5:$K$410,$O15)):INDEX(AUX_PH!$J$5:$J$34,INDEX(AUX_PH!$K$5:$K$410,$O15)+$B15-1)))</f>
        <v/>
      </c>
      <c r="L15" s="25">
        <f>IF($O15="","",IF(H15&lt;=$B$5,"SÍ","NO"))</f>
        <v/>
      </c>
      <c r="M15" s="203">
        <f>IF($O15="","",ROUND(F15,-2))</f>
        <v/>
      </c>
      <c r="N15" s="202">
        <f>IF($O15="","",MEDIAN(INDEX(AUX_PH!$J$5:$J$34,INDEX(AUX_PH!$K$5:$K$410,$O15)):INDEX(AUX_PH!$J$5:$J$34,INDEX(AUX_PH!$K$5:$K$410,$O15)+$B15-1)))</f>
        <v/>
      </c>
      <c r="O15" s="25">
        <f>IFERROR(MATCH(SMALL(AUX_PH!$P$5:$P$410,2),AUX_PH!$P$5:$P$410,0),"")</f>
        <v/>
      </c>
    </row>
    <row r="16">
      <c r="A16" s="25">
        <f>IF($O16="","—","COMBINACIÓN 3")</f>
        <v/>
      </c>
      <c r="B16" s="25">
        <f>IF($O16="","",INDEX(AUX_PH!$L$5:$L$410,$O16))</f>
        <v/>
      </c>
      <c r="C16" s="25">
        <f>IF($O16="","",MID(INDEX(AUX_PH!$Q$5:$Q$34,INDEX(AUX_PH!$K$5:$K$410,$O16)+$B16-1),IF(INDEX(AUX_PH!$K$5:$K$410,$O16)&gt;1,LEN(INDEX(AUX_PH!$Q$5:$Q$34,INDEX(AUX_PH!$K$5:$K$410,$O16)-1))+3,1),999))</f>
        <v/>
      </c>
      <c r="D16" s="202">
        <f>IF($O16="","",MIN(INDEX(AUX_PH!$J$5:$J$34,INDEX(AUX_PH!$K$5:$K$410,$O16)):INDEX(AUX_PH!$J$5:$J$34,INDEX(AUX_PH!$K$5:$K$410,$O16)+$B16-1)))</f>
        <v/>
      </c>
      <c r="E16" s="202">
        <f>IF($O16="","",MAX(INDEX(AUX_PH!$J$5:$J$34,INDEX(AUX_PH!$K$5:$K$410,$O16)):INDEX(AUX_PH!$J$5:$J$34,INDEX(AUX_PH!$K$5:$K$410,$O16)+$B16-1)))</f>
        <v/>
      </c>
      <c r="F16" s="202">
        <f>IF($O16="","",AVERAGE(INDEX(AUX_PH!$J$5:$J$34,INDEX(AUX_PH!$K$5:$K$410,$O16)):INDEX(AUX_PH!$J$5:$J$34,INDEX(AUX_PH!$K$5:$K$410,$O16)+$B16-1)))</f>
        <v/>
      </c>
      <c r="G16" s="202">
        <f>IF($O16="","",_xlfn.STDEV.S(INDEX(AUX_PH!$J$5:$J$34,INDEX(AUX_PH!$K$5:$K$410,$O16)):INDEX(AUX_PH!$J$5:$J$34,INDEX(AUX_PH!$K$5:$K$410,$O16)+$B16-1)))</f>
        <v/>
      </c>
      <c r="H16" s="38">
        <f>IF($O16="","",G16/F16)</f>
        <v/>
      </c>
      <c r="I16" s="202">
        <f>IF($O16="","",F16-G16)</f>
        <v/>
      </c>
      <c r="J16" s="202">
        <f>IF($O16="","",F16+G16)</f>
        <v/>
      </c>
      <c r="K16" s="30">
        <f>IF($O16="","",SKEW(INDEX(AUX_PH!$J$5:$J$34,INDEX(AUX_PH!$K$5:$K$410,$O16)):INDEX(AUX_PH!$J$5:$J$34,INDEX(AUX_PH!$K$5:$K$410,$O16)+$B16-1)))</f>
        <v/>
      </c>
      <c r="L16" s="25">
        <f>IF($O16="","",IF(H16&lt;=$B$5,"SÍ","NO"))</f>
        <v/>
      </c>
      <c r="M16" s="203">
        <f>IF($O16="","",ROUND(F16,-2))</f>
        <v/>
      </c>
      <c r="N16" s="202">
        <f>IF($O16="","",MEDIAN(INDEX(AUX_PH!$J$5:$J$34,INDEX(AUX_PH!$K$5:$K$410,$O16)):INDEX(AUX_PH!$J$5:$J$34,INDEX(AUX_PH!$K$5:$K$410,$O16)+$B16-1)))</f>
        <v/>
      </c>
      <c r="O16" s="25">
        <f>IFERROR(MATCH(SMALL(AUX_PH!$P$5:$P$410,3),AUX_PH!$P$5:$P$410,0),"")</f>
        <v/>
      </c>
    </row>
    <row r="18" ht="15" customHeight="1" s="54">
      <c r="A18" s="16" t="inlineStr">
        <is>
          <t>FUENTE DEL VALOR ADOPTADO (seleccione)</t>
        </is>
      </c>
      <c r="B18" s="77" t="inlineStr">
        <is>
          <t>COMBINACIÓN 1</t>
        </is>
      </c>
      <c r="C18" s="211" t="n"/>
    </row>
    <row r="19">
      <c r="A19" s="39" t="inlineStr">
        <is>
          <t>VALOR UNITARIO ADOPTADO ($/m²)</t>
        </is>
      </c>
      <c r="B19" s="201">
        <f>IFERROR(IF($B$18="MUESTRA COMPLETA",'MERCADO PH'!AA49,INDEX($M$14:$M$16,MATCH($B$18,$A$14:$A$16,0))),"")</f>
        <v/>
      </c>
    </row>
    <row r="20">
      <c r="A20" s="16" t="inlineStr">
        <is>
          <t>CV correspondiente</t>
        </is>
      </c>
      <c r="B20" s="33">
        <f>IFERROR(IF($B$18="MUESTRA COMPLETA",'MERCADO PH'!AA44,INDEX($H$14:$H$16,MATCH($B$18,$A$14:$A$16,0))),"")</f>
        <v/>
      </c>
    </row>
    <row r="21">
      <c r="A21" s="16" t="inlineStr">
        <is>
          <t>Nº de ofertas que soportan el valor</t>
        </is>
      </c>
      <c r="B21" s="26">
        <f>IFERROR(IF($B$18="MUESTRA COMPLETA",'MERCADO PH'!AA40,INDEX($B$14:$B$16,MATCH($B$18,$A$14:$A$16,0))),"")</f>
        <v/>
      </c>
    </row>
    <row r="22">
      <c r="A22" s="16" t="inlineStr">
        <is>
          <t>Posición inicial en la lista ordenada (control)</t>
        </is>
      </c>
      <c r="B22" s="26">
        <f>IFERROR(IF($B$18="MUESTRA COMPLETA",1,INDEX(AUX_PH!$K$5:$K$410,INDEX($O$14:$O$16,MATCH($B$18,$A$14:$A$16,0)))),0)</f>
        <v/>
      </c>
    </row>
    <row r="23">
      <c r="A23" s="16" t="inlineStr">
        <is>
          <t>Nº de ofertas consecutivas (control)</t>
        </is>
      </c>
      <c r="B23" s="26">
        <f>IFERROR(B21+0,0)</f>
        <v/>
      </c>
    </row>
    <row r="24">
      <c r="A24" s="16" t="inlineStr">
        <is>
          <t>DICTAMEN</t>
        </is>
      </c>
      <c r="B24" s="56">
        <f>IF(B19="","Sin datos suficientes: se requieren al menos "&amp;$B$9&amp;" ofertas incluidas.",IF(B20&lt;=$B$5,"CUMPLE: el valor de $ "&amp;FIXED(B19,0)&amp;" /m² se soporta en "&amp;B21&amp;" ofertas con CV de "&amp;ROUND(B20*100,2)&amp;" % (máximo "&amp;ROUND($B$5*100,2)&amp;" %, Res. 941 Art. 21).","NO CUMPLE: el CV de "&amp;ROUND(B20*100,2)&amp;" % supera el máximo de "&amp;ROUND($B$5*100,2)&amp;" %. No adopte la media; refuerce la muestra con más ofertas comparables."))</f>
        <v/>
      </c>
      <c r="C24" s="204" t="n"/>
      <c r="D24" s="204" t="n"/>
      <c r="E24" s="204" t="n"/>
      <c r="F24" s="204" t="n"/>
      <c r="G24" s="204" t="n"/>
      <c r="H24" s="204" t="n"/>
      <c r="I24" s="204" t="n"/>
      <c r="J24" s="204" t="n"/>
      <c r="K24" s="204" t="n"/>
      <c r="L24" s="204" t="n"/>
      <c r="M24" s="204" t="n"/>
      <c r="N24" s="204" t="n"/>
      <c r="O24" s="204" t="n"/>
    </row>
    <row r="25">
      <c r="B25" s="205" t="n"/>
    </row>
    <row r="27" ht="15" customHeight="1" s="54">
      <c r="A27" s="3" t="inlineStr">
        <is>
          <t>Notas: (1) Art. 21 Res. 941: para adoptar la media, el CV no puede superar 7,5 % en inmuebles urbanos. (2) Si se adopta un valor distinto a la media (p. ej. la mediana), sustente con media, mediana, atípicos, comparabilidad y condiciones del mercado (Art. 21, Parágrafo 1) y escriba el valor directamente en la liquidación dejando constancia. (3) El signo de la asimetría no obliga a ubicar el valor por encima o por debajo de la media.</t>
        </is>
      </c>
      <c r="B27" s="204" t="n"/>
      <c r="C27" s="204" t="n"/>
      <c r="D27" s="204" t="n"/>
      <c r="E27" s="204" t="n"/>
      <c r="F27" s="204" t="n"/>
      <c r="G27" s="204" t="n"/>
      <c r="H27" s="204" t="n"/>
      <c r="I27" s="204" t="n"/>
      <c r="J27" s="204" t="n"/>
      <c r="K27" s="204" t="n"/>
      <c r="L27" s="204" t="n"/>
      <c r="M27" s="204" t="n"/>
      <c r="N27" s="204" t="n"/>
      <c r="O27" s="204" t="n"/>
    </row>
    <row r="28">
      <c r="A28" s="205" t="n"/>
    </row>
    <row r="29">
      <c r="A29" s="205" t="n"/>
    </row>
  </sheetData>
  <mergeCells count="5">
    <mergeCell ref="A2:O2"/>
    <mergeCell ref="A1:O1"/>
    <mergeCell ref="A27:O29"/>
    <mergeCell ref="B18:C18"/>
    <mergeCell ref="B24:O25"/>
  </mergeCells>
  <conditionalFormatting sqref="L14:L16">
    <cfRule type="cellIs" priority="2" operator="equal" dxfId="0">
      <formula>"SÍ"</formula>
    </cfRule>
    <cfRule type="cellIs" priority="3" operator="equal" dxfId="2">
      <formula>"NO"</formula>
    </cfRule>
  </conditionalFormatting>
  <conditionalFormatting sqref="B20">
    <cfRule type="cellIs" priority="4" operator="greaterThan" dxfId="2">
      <formula>$B$5</formula>
    </cfRule>
    <cfRule type="cellIs" priority="5" operator="lessThanOrEqual" dxfId="0">
      <formula>$B$5</formula>
    </cfRule>
  </conditionalFormatting>
  <dataValidations count="1">
    <dataValidation sqref="B18" showDropDown="0" showInputMessage="0" showErrorMessage="0" allowBlank="1" type="list">
      <formula1>"MUESTRA COMPLETA,COMBINACIÓN 1,COMBINACIÓN 2,COMBINACIÓN 3"</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3.xml><?xml version="1.0" encoding="utf-8"?>
<worksheet xmlns="http://schemas.openxmlformats.org/spreadsheetml/2006/main">
  <sheetPr>
    <tabColor rgb="FF00B050"/>
    <outlinePr summaryBelow="1" summaryRight="1"/>
    <pageSetUpPr/>
  </sheetPr>
  <dimension ref="B1:O33"/>
  <sheetViews>
    <sheetView showGridLines="0" zoomScaleNormal="100" workbookViewId="0">
      <selection activeCell="A1" sqref="A1"/>
    </sheetView>
  </sheetViews>
  <sheetFormatPr baseColWidth="10" defaultColWidth="8.6640625" defaultRowHeight="14.4"/>
  <cols>
    <col width="2" customWidth="1" style="54" min="1" max="1"/>
    <col width="48" customWidth="1" style="54" min="2" max="2"/>
    <col width="17" customWidth="1" style="54" min="3" max="6"/>
    <col width="14" customWidth="1" style="54" min="8" max="9"/>
    <col width="30" customWidth="1" style="54" min="10" max="11"/>
    <col width="14" customWidth="1" style="54" min="14" max="15"/>
  </cols>
  <sheetData>
    <row r="1" ht="16.2" customHeight="1" s="54">
      <c r="B1" s="11" t="inlineStr">
        <is>
          <t>LIQUIDACIÓN – INMUEBLE URBANO EN PROPIEDAD HORIZONTAL (PH)</t>
        </is>
      </c>
    </row>
    <row r="2">
      <c r="B2" s="57">
        <f>DATOS!C6&amp;" – "&amp;DATOS!C7</f>
        <v/>
      </c>
      <c r="C2" s="188" t="n"/>
      <c r="D2" s="188" t="n"/>
      <c r="E2" s="188" t="n"/>
      <c r="F2" s="188" t="n"/>
    </row>
    <row r="3" ht="15" customHeight="1" s="54">
      <c r="B3" s="58" t="inlineStr">
        <is>
          <t>UNIDAD PRIVADA Y UNIDADES COMPLEMENTARIAS</t>
        </is>
      </c>
      <c r="C3" s="188" t="n"/>
      <c r="D3" s="188" t="n"/>
      <c r="E3" s="188" t="n"/>
      <c r="F3" s="188" t="n"/>
      <c r="H3" s="40" t="inlineStr">
        <is>
          <t>CÁLCULO AUXILIAR – VALOR EN LETRAS (no editar)</t>
        </is>
      </c>
    </row>
    <row r="4">
      <c r="B4" s="13" t="inlineStr">
        <is>
          <t>DESCRIPCIÓN</t>
        </is>
      </c>
      <c r="C4" s="13" t="inlineStr">
        <is>
          <t>UNIDAD</t>
        </is>
      </c>
      <c r="D4" s="13" t="inlineStr">
        <is>
          <t>CANTIDAD</t>
        </is>
      </c>
      <c r="E4" s="13" t="inlineStr">
        <is>
          <t>VALOR UNITARIO</t>
        </is>
      </c>
      <c r="F4" s="13" t="inlineStr">
        <is>
          <t>VALOR TOTAL</t>
        </is>
      </c>
      <c r="H4" s="41" t="inlineStr">
        <is>
          <t>CONCEPTO</t>
        </is>
      </c>
      <c r="I4" s="41" t="inlineStr">
        <is>
          <t>VALOR</t>
        </is>
      </c>
      <c r="J4" s="41" t="inlineStr">
        <is>
          <t>TEXTO</t>
        </is>
      </c>
      <c r="K4" s="41" t="inlineStr">
        <is>
          <t>TEXTO (APOCOPADO)</t>
        </is>
      </c>
      <c r="N4" s="41" t="inlineStr">
        <is>
          <t>UNIDADES 1–29</t>
        </is>
      </c>
      <c r="O4" s="41" t="inlineStr">
        <is>
          <t>DECENAS 30–90</t>
        </is>
      </c>
    </row>
    <row r="5">
      <c r="B5" s="15" t="inlineStr">
        <is>
          <t>Área privada construida</t>
        </is>
      </c>
      <c r="C5" s="25" t="inlineStr">
        <is>
          <t>m²</t>
        </is>
      </c>
      <c r="D5" s="78" t="n">
        <v>0</v>
      </c>
      <c r="E5" s="210">
        <f>COMBINACIONES_PH!B19</f>
        <v/>
      </c>
      <c r="F5" s="202">
        <f>IFERROR(MROUND(D5*E5,100),0)</f>
        <v/>
      </c>
      <c r="H5" s="42" t="inlineStr">
        <is>
          <t>Valor total (entero)</t>
        </is>
      </c>
      <c r="I5" s="43">
        <f>ROUND(F22,0)</f>
        <v/>
      </c>
      <c r="N5" s="79" t="inlineStr">
        <is>
          <t>UNO</t>
        </is>
      </c>
      <c r="O5" s="79" t="inlineStr">
        <is>
          <t>TREINTA</t>
        </is>
      </c>
    </row>
    <row r="6" ht="22.8" customHeight="1" s="54">
      <c r="B6" s="44">
        <f>"Área privada libre (balcón / terraza / patio) – "&amp;IF(DATOS!$C$24="ÁREA EQUIVALENTE",TEXT(DATOS!$C$23,"0.0%")&amp;" del $/m² construido","no se liquida aparte (divisor = área privada construida)")</f>
        <v/>
      </c>
      <c r="C6" s="25" t="inlineStr">
        <is>
          <t>m²</t>
        </is>
      </c>
      <c r="D6" s="78" t="n">
        <v>0</v>
      </c>
      <c r="E6" s="210">
        <f>IFERROR(IF(DATOS!$C$24="ÁREA EQUIVALENTE",ROUND(COMBINACIONES_PH!B19*DATOS!$C$23,-2),0),0)</f>
        <v/>
      </c>
      <c r="F6" s="202">
        <f>IFERROR(MROUND(D6*E6,100),0)</f>
        <v/>
      </c>
      <c r="H6" s="42" t="inlineStr">
        <is>
          <t>Millones totales</t>
        </is>
      </c>
      <c r="I6" s="43">
        <f>INT(I5/10^6)</f>
        <v/>
      </c>
      <c r="N6" s="79" t="inlineStr">
        <is>
          <t>DOS</t>
        </is>
      </c>
      <c r="O6" s="79" t="inlineStr">
        <is>
          <t>CUARENTA</t>
        </is>
      </c>
    </row>
    <row r="7">
      <c r="B7" s="15" t="inlineStr">
        <is>
          <t>Parqueadero(s) – unidad privada independiente</t>
        </is>
      </c>
      <c r="C7" s="25" t="inlineStr">
        <is>
          <t>und</t>
        </is>
      </c>
      <c r="D7" s="67" t="n">
        <v>0</v>
      </c>
      <c r="E7" s="210">
        <f>DATOS!$C$21</f>
        <v/>
      </c>
      <c r="F7" s="202">
        <f>IFERROR(MROUND(D7*E7,100),0)</f>
        <v/>
      </c>
      <c r="H7" s="42" t="inlineStr">
        <is>
          <t>Bloque miles de millones</t>
        </is>
      </c>
      <c r="I7" s="43">
        <f>INT(I6/1000)</f>
        <v/>
      </c>
      <c r="J7" s="42">
        <f>IF(I7=0,"",IF(I7=100,"CIEN",TRIM(CHOOSE(INT(I7/100)+1,"","CIENTO ","DOSCIENTOS ","TRESCIENTOS ","CUATROCIENTOS ","QUINIENTOS ","SEISCIENTOS ","SETECIENTOS ","OCHOCIENTOS ","NOVECIENTOS ")&amp;IF(MOD(I7,100)=0,"",IF(MOD(I7,100)&lt;30,INDEX($N$5:$N$33,MOD(I7,100)),INDEX($O$5:$O$11,INT(MOD(I7,100)/10)-2)&amp;IF(MOD(I7,10)=0,""," Y "&amp;INDEX($N$5:$N$13,MOD(I7,10))))))))</f>
        <v/>
      </c>
      <c r="K7" s="42">
        <f>IF(RIGHT(J7,9)="VEINTIUNO",LEFT(J7,LEN(J7)-9)&amp;"VEINTIÚN",IF(RIGHT(J7,3)="UNO",LEFT(J7,LEN(J7)-1),J7))</f>
        <v/>
      </c>
      <c r="N7" s="79" t="inlineStr">
        <is>
          <t>TRES</t>
        </is>
      </c>
      <c r="O7" s="79" t="inlineStr">
        <is>
          <t>CINCUENTA</t>
        </is>
      </c>
    </row>
    <row r="8">
      <c r="B8" s="15" t="inlineStr">
        <is>
          <t>Cuarto(s) útil(es) / depósito(s) – unidad privada independiente</t>
        </is>
      </c>
      <c r="C8" s="25" t="inlineStr">
        <is>
          <t>und</t>
        </is>
      </c>
      <c r="D8" s="67" t="n">
        <v>0</v>
      </c>
      <c r="E8" s="210">
        <f>DATOS!$C$22</f>
        <v/>
      </c>
      <c r="F8" s="202">
        <f>IFERROR(MROUND(D8*E8,100),0)</f>
        <v/>
      </c>
      <c r="H8" s="42" t="inlineStr">
        <is>
          <t>Bloque millones</t>
        </is>
      </c>
      <c r="I8" s="43">
        <f>MOD(I6,1000)</f>
        <v/>
      </c>
      <c r="J8" s="42">
        <f>IF(I8=0,"",IF(I8=100,"CIEN",TRIM(CHOOSE(INT(I8/100)+1,"","CIENTO ","DOSCIENTOS ","TRESCIENTOS ","CUATROCIENTOS ","QUINIENTOS ","SEISCIENTOS ","SETECIENTOS ","OCHOCIENTOS ","NOVECIENTOS ")&amp;IF(MOD(I8,100)=0,"",IF(MOD(I8,100)&lt;30,INDEX($N$5:$N$33,MOD(I8,100)),INDEX($O$5:$O$11,INT(MOD(I8,100)/10)-2)&amp;IF(MOD(I8,10)=0,""," Y "&amp;INDEX($N$5:$N$13,MOD(I8,10))))))))</f>
        <v/>
      </c>
      <c r="K8" s="42">
        <f>IF(RIGHT(J8,9)="VEINTIUNO",LEFT(J8,LEN(J8)-9)&amp;"VEINTIÚN",IF(RIGHT(J8,3)="UNO",LEFT(J8,LEN(J8)-1),J8))</f>
        <v/>
      </c>
      <c r="N8" s="79" t="inlineStr">
        <is>
          <t>CUATRO</t>
        </is>
      </c>
      <c r="O8" s="79" t="inlineStr">
        <is>
          <t>SESENTA</t>
        </is>
      </c>
    </row>
    <row r="9">
      <c r="H9" s="42" t="inlineStr">
        <is>
          <t>Bloque miles</t>
        </is>
      </c>
      <c r="I9" s="43">
        <f>INT(MOD(I5,10^6)/1000)</f>
        <v/>
      </c>
      <c r="J9" s="42">
        <f>IF(I9=0,"",IF(I9=100,"CIEN",TRIM(CHOOSE(INT(I9/100)+1,"","CIENTO ","DOSCIENTOS ","TRESCIENTOS ","CUATROCIENTOS ","QUINIENTOS ","SEISCIENTOS ","SETECIENTOS ","OCHOCIENTOS ","NOVECIENTOS ")&amp;IF(MOD(I9,100)=0,"",IF(MOD(I9,100)&lt;30,INDEX($N$5:$N$33,MOD(I9,100)),INDEX($O$5:$O$11,INT(MOD(I9,100)/10)-2)&amp;IF(MOD(I9,10)=0,""," Y "&amp;INDEX($N$5:$N$13,MOD(I9,10))))))))</f>
        <v/>
      </c>
      <c r="K9" s="42">
        <f>IF(RIGHT(J9,9)="VEINTIUNO",LEFT(J9,LEN(J9)-9)&amp;"VEINTIÚN",IF(RIGHT(J9,3)="UNO",LEFT(J9,LEN(J9)-1),J9))</f>
        <v/>
      </c>
      <c r="N9" s="79" t="inlineStr">
        <is>
          <t>CINCO</t>
        </is>
      </c>
      <c r="O9" s="79" t="inlineStr">
        <is>
          <t>SETENTA</t>
        </is>
      </c>
    </row>
    <row r="10" ht="15" customHeight="1" s="54">
      <c r="B10" s="59" t="inlineStr">
        <is>
          <t>Referencia: valor promedio de parqueaderos descontados en MERCADO PH</t>
        </is>
      </c>
      <c r="C10" s="188" t="n"/>
      <c r="D10" s="188" t="n"/>
      <c r="E10" s="188" t="n"/>
      <c r="F10" s="214">
        <f>IFERROR(SUMPRODUCT('MERCADO PH'!S9:S38,'MERCADO PH'!U9:U38)/SUM('MERCADO PH'!S9:S38),"")</f>
        <v/>
      </c>
      <c r="H10" s="42" t="inlineStr">
        <is>
          <t>Bloque unidades</t>
        </is>
      </c>
      <c r="I10" s="43">
        <f>MOD(I5,1000)</f>
        <v/>
      </c>
      <c r="J10" s="42">
        <f>IF(I10=0,"",IF(I10=100,"CIEN",TRIM(CHOOSE(INT(I10/100)+1,"","CIENTO ","DOSCIENTOS ","TRESCIENTOS ","CUATROCIENTOS ","QUINIENTOS ","SEISCIENTOS ","SETECIENTOS ","OCHOCIENTOS ","NOVECIENTOS ")&amp;IF(MOD(I10,100)=0,"",IF(MOD(I10,100)&lt;30,INDEX($N$5:$N$33,MOD(I10,100)),INDEX($O$5:$O$11,INT(MOD(I10,100)/10)-2)&amp;IF(MOD(I10,10)=0,""," Y "&amp;INDEX($N$5:$N$13,MOD(I10,10))))))))</f>
        <v/>
      </c>
      <c r="N10" s="79" t="inlineStr">
        <is>
          <t>SEIS</t>
        </is>
      </c>
      <c r="O10" s="79" t="inlineStr">
        <is>
          <t>OCHENTA</t>
        </is>
      </c>
    </row>
    <row r="11" ht="15" customHeight="1" s="54">
      <c r="B11" s="59" t="inlineStr">
        <is>
          <t>Área equivalente del objeto (m²) = construida + coef. × libre</t>
        </is>
      </c>
      <c r="C11" s="188" t="n"/>
      <c r="D11" s="188" t="n"/>
      <c r="E11" s="188" t="n"/>
      <c r="F11" s="49">
        <f>D5+IF(DATOS!$C$24="ÁREA EQUIVALENTE",DATOS!$C$23*D6,0)</f>
        <v/>
      </c>
      <c r="N11" s="79" t="inlineStr">
        <is>
          <t>SIETE</t>
        </is>
      </c>
      <c r="O11" s="79" t="inlineStr">
        <is>
          <t>NOVENTA</t>
        </is>
      </c>
    </row>
    <row r="12" ht="15" customHeight="1" s="54">
      <c r="B12" s="63" t="inlineStr">
        <is>
          <t>Área parqueadero(s) del objeto (m²) – registro</t>
        </is>
      </c>
      <c r="C12" s="188" t="n"/>
      <c r="D12" s="188" t="n"/>
      <c r="E12" s="188" t="n"/>
      <c r="F12" s="78" t="n">
        <v>0</v>
      </c>
      <c r="N12" s="79" t="inlineStr">
        <is>
          <t>OCHO</t>
        </is>
      </c>
    </row>
    <row r="13" ht="15" customHeight="1" s="54">
      <c r="B13" s="63" t="inlineStr">
        <is>
          <t>Área cuarto(s) útil(es) del objeto (m²) – registro</t>
        </is>
      </c>
      <c r="C13" s="188" t="n"/>
      <c r="D13" s="188" t="n"/>
      <c r="E13" s="188" t="n"/>
      <c r="F13" s="78" t="n">
        <v>0</v>
      </c>
      <c r="N13" s="79" t="inlineStr">
        <is>
          <t>NUEVE</t>
        </is>
      </c>
    </row>
    <row r="14">
      <c r="N14" s="79" t="inlineStr">
        <is>
          <t>DIEZ</t>
        </is>
      </c>
    </row>
    <row r="15">
      <c r="N15" s="79" t="inlineStr">
        <is>
          <t>ONCE</t>
        </is>
      </c>
    </row>
    <row r="16">
      <c r="N16" s="79" t="inlineStr">
        <is>
          <t>DOCE</t>
        </is>
      </c>
    </row>
    <row r="17">
      <c r="N17" s="79" t="inlineStr">
        <is>
          <t>TRECE</t>
        </is>
      </c>
    </row>
    <row r="18">
      <c r="N18" s="79" t="inlineStr">
        <is>
          <t>CATORCE</t>
        </is>
      </c>
    </row>
    <row r="19">
      <c r="N19" s="79" t="inlineStr">
        <is>
          <t>QUINCE</t>
        </is>
      </c>
    </row>
    <row r="20">
      <c r="N20" s="79" t="inlineStr">
        <is>
          <t>DIECISÉIS</t>
        </is>
      </c>
    </row>
    <row r="21">
      <c r="N21" s="79" t="inlineStr">
        <is>
          <t>DIECISIETE</t>
        </is>
      </c>
    </row>
    <row r="22" ht="15" customHeight="1" s="54">
      <c r="B22" s="60" t="inlineStr">
        <is>
          <t>VALOR TOTAL DEL AVALÚO</t>
        </is>
      </c>
      <c r="C22" s="188" t="n"/>
      <c r="D22" s="188" t="n"/>
      <c r="E22" s="188" t="n"/>
      <c r="F22" s="201">
        <f>IFERROR(MROUND(SUM(F5:F8),100),0)</f>
        <v/>
      </c>
      <c r="N22" s="79" t="inlineStr">
        <is>
          <t>DIECIOCHO</t>
        </is>
      </c>
    </row>
    <row r="23" ht="15" customHeight="1" s="54">
      <c r="B23" s="61" t="inlineStr">
        <is>
          <t>VALOR TOTAL EN LETRAS</t>
        </is>
      </c>
      <c r="C23" s="62">
        <f>TRIM(IF(I6=0,"",IF(I7=0,"",IF(I7=1,"",K7&amp;" ")&amp;"MIL ")&amp;IF(I8=0,"",K8&amp;" ")&amp;IF(I6=1,"MILLÓN ","MILLONES "))&amp;IF(I9=0,"",IF(I9=1,"",K9&amp;" ")&amp;"MIL ")&amp;J10)&amp;IF(I5=0,"CERO","")&amp;" PESOS MLV"</f>
        <v/>
      </c>
      <c r="D23" s="204" t="n"/>
      <c r="E23" s="204" t="n"/>
      <c r="F23" s="204" t="n"/>
      <c r="N23" s="79" t="inlineStr">
        <is>
          <t>DIECINUEVE</t>
        </is>
      </c>
    </row>
    <row r="24">
      <c r="B24" s="215" t="n"/>
      <c r="C24" s="205" t="n"/>
      <c r="N24" s="79" t="inlineStr">
        <is>
          <t>VEINTE</t>
        </is>
      </c>
    </row>
    <row r="25">
      <c r="B25" s="215" t="n"/>
      <c r="C25" s="205" t="n"/>
      <c r="N25" s="79" t="inlineStr">
        <is>
          <t>VEINTIUNO</t>
        </is>
      </c>
    </row>
    <row r="26">
      <c r="N26" s="79" t="inlineStr">
        <is>
          <t>VEINTIDÓS</t>
        </is>
      </c>
    </row>
    <row r="27" ht="15" customHeight="1" s="54">
      <c r="B27" s="3" t="inlineStr">
        <is>
          <t>Notas: (1) El valor unitario integral (COMBINACIONES_PH) incluye implícitamente la participación en bienes comunes (Anexo, definición de valor integral). (2) Área privada libre: con divisor ÁREA EQUIVALENTE se liquida al coeficiente de DATOS (por defecto 1/3) del $/m² construido, el mismo usado para depurar el mercado; con divisor ÁREA PRIVADA CONSTRUIDA no se liquida aparte, porque el valor integral de los comparables ya absorbe sus áreas libres. (3) Parqueaderos y depósitos se liquidan aparte solo si son unidades privadas con folio propio; si son de uso exclusivo, deje cantidad 0. (4) Totales redondeados a la centena.</t>
        </is>
      </c>
      <c r="C27" s="204" t="n"/>
      <c r="D27" s="204" t="n"/>
      <c r="E27" s="204" t="n"/>
      <c r="F27" s="204" t="n"/>
      <c r="N27" s="79" t="inlineStr">
        <is>
          <t>VEINTITRÉS</t>
        </is>
      </c>
    </row>
    <row r="28">
      <c r="B28" s="205" t="n"/>
      <c r="N28" s="79" t="inlineStr">
        <is>
          <t>VEINTICUATRO</t>
        </is>
      </c>
    </row>
    <row r="29">
      <c r="B29" s="205" t="n"/>
      <c r="N29" s="79" t="inlineStr">
        <is>
          <t>VEINTICINCO</t>
        </is>
      </c>
    </row>
    <row r="30">
      <c r="B30" s="205" t="n"/>
      <c r="N30" s="79" t="inlineStr">
        <is>
          <t>VEINTISÉIS</t>
        </is>
      </c>
    </row>
    <row r="31">
      <c r="B31" s="205" t="n"/>
      <c r="N31" s="79" t="inlineStr">
        <is>
          <t>VEINTISIETE</t>
        </is>
      </c>
    </row>
    <row r="32">
      <c r="N32" s="79" t="inlineStr">
        <is>
          <t>VEINTIOCHO</t>
        </is>
      </c>
    </row>
    <row r="33">
      <c r="N33" s="79" t="inlineStr">
        <is>
          <t>VEINTINUEVE</t>
        </is>
      </c>
    </row>
  </sheetData>
  <mergeCells count="11">
    <mergeCell ref="B23:B25"/>
    <mergeCell ref="B2:F2"/>
    <mergeCell ref="B12:E12"/>
    <mergeCell ref="B13:E13"/>
    <mergeCell ref="B3:F3"/>
    <mergeCell ref="B11:E11"/>
    <mergeCell ref="B1:F1"/>
    <mergeCell ref="B27:F31"/>
    <mergeCell ref="B10:E10"/>
    <mergeCell ref="C23:F25"/>
    <mergeCell ref="B22:E22"/>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FF0000"/>
    <outlinePr summaryBelow="1" summaryRight="1"/>
    <pageSetUpPr/>
  </sheetPr>
  <dimension ref="A1:F22"/>
  <sheetViews>
    <sheetView showGridLines="0" zoomScaleNormal="100" workbookViewId="0">
      <selection activeCell="A1" sqref="A1:F1"/>
    </sheetView>
  </sheetViews>
  <sheetFormatPr baseColWidth="10" defaultColWidth="8.6640625" defaultRowHeight="14.4"/>
  <cols>
    <col width="6" customWidth="1" style="54" min="1" max="1"/>
    <col width="70" customWidth="1" style="54" min="2" max="2"/>
    <col width="18" customWidth="1" style="54" min="3" max="4"/>
    <col width="14" customWidth="1" style="54" min="5" max="5"/>
    <col width="12" customWidth="1" style="54" min="6" max="6"/>
  </cols>
  <sheetData>
    <row r="1" ht="16.8" customHeight="1" s="54">
      <c r="A1" s="12" t="inlineStr">
        <is>
          <t>CHEQUEOS – RECÁLCULO INDEPENDIENTE DE LAS HOJAS DEL ESTUDIO</t>
        </is>
      </c>
    </row>
    <row r="3">
      <c r="B3" s="16" t="inlineStr">
        <is>
          <t>Verificaciones</t>
        </is>
      </c>
      <c r="C3" s="26">
        <f>COUNTA(B8:B40)</f>
        <v/>
      </c>
    </row>
    <row r="4">
      <c r="B4" s="16" t="inlineStr">
        <is>
          <t>Con diferencia</t>
        </is>
      </c>
      <c r="C4" s="50">
        <f>COUNTIF(F8:F40,"REVISAR")</f>
        <v/>
      </c>
    </row>
    <row r="7">
      <c r="A7" s="13" t="inlineStr">
        <is>
          <t>#</t>
        </is>
      </c>
      <c r="B7" s="13" t="inlineStr">
        <is>
          <t>Verificación</t>
        </is>
      </c>
      <c r="C7" s="13" t="inlineStr">
        <is>
          <t>Valor en la hoja</t>
        </is>
      </c>
      <c r="D7" s="13" t="inlineStr">
        <is>
          <t>Recálculo</t>
        </is>
      </c>
      <c r="E7" s="13" t="inlineStr">
        <is>
          <t>Diferencia</t>
        </is>
      </c>
      <c r="F7" s="13" t="inlineStr">
        <is>
          <t>Estado</t>
        </is>
      </c>
    </row>
    <row r="8">
      <c r="A8" s="25" t="n">
        <v>1</v>
      </c>
      <c r="B8" s="15" t="inlineStr">
        <is>
          <t>NPH – promedio muestra completa</t>
        </is>
      </c>
      <c r="C8" s="210">
        <f>N('MERCADO NPH'!P41)</f>
        <v/>
      </c>
      <c r="D8" s="202">
        <f>IFERROR(SUMIFS('MERCADO NPH'!$P$9:$P$38,'MERCADO NPH'!$Z$9:$Z$38,"SÍ")/COUNTIFS('MERCADO NPH'!$Z$9:$Z$38,"SÍ",'MERCADO NPH'!$P$9:$P$38,"&gt;0"),0)</f>
        <v/>
      </c>
      <c r="E8" s="202">
        <f>IFERROR(C8-D8,0)</f>
        <v/>
      </c>
      <c r="F8" s="51">
        <f>IF(ABS(E8)&lt;=1,"OK","REVISAR")</f>
        <v/>
      </c>
    </row>
    <row r="9">
      <c r="A9" s="25" t="n">
        <v>2</v>
      </c>
      <c r="B9" s="15" t="inlineStr">
        <is>
          <t>NPH – desviación estándar</t>
        </is>
      </c>
      <c r="C9" s="210">
        <f>N('MERCADO NPH'!P43)</f>
        <v/>
      </c>
      <c r="D9" s="202">
        <f>IFERROR(SQRT(DEVSQ('MERCADO NPH'!$AA$9:$AA$38)/(COUNT('MERCADO NPH'!$AA$9:$AA$38)-1)),0)</f>
        <v/>
      </c>
      <c r="E9" s="202">
        <f>IFERROR(C9-D9,0)</f>
        <v/>
      </c>
      <c r="F9" s="51">
        <f>IF(ABS(E9)&lt;=1,"OK","REVISAR")</f>
        <v/>
      </c>
    </row>
    <row r="10">
      <c r="A10" s="25" t="n">
        <v>3</v>
      </c>
      <c r="B10" s="15" t="inlineStr">
        <is>
          <t>NPH – coeficiente de variación</t>
        </is>
      </c>
      <c r="C10" s="21">
        <f>N('MERCADO NPH'!P44)</f>
        <v/>
      </c>
      <c r="D10" s="33">
        <f>IFERROR(SQRT(DEVSQ('MERCADO NPH'!$AA$9:$AA$38)/(COUNT('MERCADO NPH'!$AA$9:$AA$38)-1))/AVERAGE('MERCADO NPH'!$AA$9:$AA$38),0)</f>
        <v/>
      </c>
      <c r="E10" s="33">
        <f>IFERROR(C10-D10,0)</f>
        <v/>
      </c>
      <c r="F10" s="51">
        <f>IF(ABS(E10)&lt;=0.0001,"OK","REVISAR")</f>
        <v/>
      </c>
    </row>
    <row r="11">
      <c r="A11" s="25" t="n">
        <v>4</v>
      </c>
      <c r="B11" s="15" t="inlineStr">
        <is>
          <t>NPH – suma valores negociados = Σ pedido × (1 − %neg)</t>
        </is>
      </c>
      <c r="C11" s="210">
        <f>SUM('MERCADO NPH'!$K$9:$K$38)</f>
        <v/>
      </c>
      <c r="D11" s="202">
        <f>SUM('MERCADO NPH'!$I$9:$I$38)-SUMPRODUCT('MERCADO NPH'!$I$9:$I$38,'MERCADO NPH'!$J$9:$J$38)</f>
        <v/>
      </c>
      <c r="E11" s="202">
        <f>IFERROR(C11-D11,0)</f>
        <v/>
      </c>
      <c r="F11" s="51">
        <f>IF(ABS(E11)&lt;=1,"OK","REVISAR")</f>
        <v/>
      </c>
    </row>
    <row r="12">
      <c r="A12" s="25" t="n">
        <v>5</v>
      </c>
      <c r="B12" s="15" t="inlineStr">
        <is>
          <t>NPH – promedio de ofertas marcadas «SÍ en valor adoptado» = valor de la fuente elegida</t>
        </is>
      </c>
      <c r="C12" s="210">
        <f>N(COMBINACIONES_NPH!B19)</f>
        <v/>
      </c>
      <c r="D12" s="202">
        <f>IFERROR(ROUND(AVERAGEIFS('MERCADO NPH'!$AA$9:$AA$38,'MERCADO NPH'!$AC$9:$AC$38,"SÍ"),-2),0)</f>
        <v/>
      </c>
      <c r="E12" s="202">
        <f>IFERROR(C12-D12,0)</f>
        <v/>
      </c>
      <c r="F12" s="51">
        <f>IF(ABS(E12)&lt;=1,"OK","REVISAR")</f>
        <v/>
      </c>
    </row>
    <row r="13">
      <c r="A13" s="25" t="n">
        <v>6</v>
      </c>
      <c r="B13" s="15" t="inlineStr">
        <is>
          <t>NPH – Nº ofertas que soportan el valor = Nº marcadas «SÍ»</t>
        </is>
      </c>
      <c r="C13" s="37">
        <f>N(COMBINACIONES_NPH!B21)</f>
        <v/>
      </c>
      <c r="D13" s="26">
        <f>COUNTIF('MERCADO NPH'!$AC$9:$AC$38,"SÍ")</f>
        <v/>
      </c>
      <c r="E13" s="26">
        <f>IFERROR(C13-D13,0)</f>
        <v/>
      </c>
      <c r="F13" s="51">
        <f>IF(ABS(E13)&lt;=1,"OK","REVISAR")</f>
        <v/>
      </c>
    </row>
    <row r="14">
      <c r="A14" s="25" t="n">
        <v>7</v>
      </c>
      <c r="B14" s="15" t="inlineStr">
        <is>
          <t>DEPRECIACIÓN – asignado a ofertas = columna N de MERCADO NPH</t>
        </is>
      </c>
      <c r="C14" s="210">
        <f>DEPRECIACIÓN!P27</f>
        <v/>
      </c>
      <c r="D14" s="202">
        <f>SUM('MERCADO NPH'!$N$9:$N$38)</f>
        <v/>
      </c>
      <c r="E14" s="202">
        <f>IFERROR(C14-D14,0)</f>
        <v/>
      </c>
      <c r="F14" s="51">
        <f>IF(ABS(E14)&lt;=1,"OK","REVISAR")</f>
        <v/>
      </c>
    </row>
    <row r="15" ht="22.8" customHeight="1" s="54">
      <c r="A15" s="25" t="n">
        <v>8</v>
      </c>
      <c r="B15" s="15" t="inlineStr">
        <is>
          <t>LIQUIDACIÓN_NPH – construcciones listadas = construcciones del objeto en DEPRECIACIÓN</t>
        </is>
      </c>
      <c r="C15" s="210">
        <f>LIQUIDACIÓN_NPH!F19</f>
        <v/>
      </c>
      <c r="D15" s="202">
        <f>MROUND(DEPRECIACIÓN!P28,100)</f>
        <v/>
      </c>
      <c r="E15" s="202">
        <f>IFERROR(C15-D15,0)</f>
        <v/>
      </c>
      <c r="F15" s="51">
        <f>IF(ABS(E15)&lt;=1,"OK","REVISAR")</f>
        <v/>
      </c>
    </row>
    <row r="16">
      <c r="A16" s="25" t="n">
        <v>9</v>
      </c>
      <c r="B16" s="15" t="inlineStr">
        <is>
          <t>LIQUIDACIÓN_NPH – total = terreno + construcciones</t>
        </is>
      </c>
      <c r="C16" s="210">
        <f>LIQUIDACIÓN_NPH!F22</f>
        <v/>
      </c>
      <c r="D16" s="202">
        <f>MROUND(LIQUIDACIÓN_NPH!F5+LIQUIDACIÓN_NPH!F19,100)</f>
        <v/>
      </c>
      <c r="E16" s="202">
        <f>IFERROR(C16-D16,0)</f>
        <v/>
      </c>
      <c r="F16" s="51">
        <f>IF(ABS(E16)&lt;=1,"OK","REVISAR")</f>
        <v/>
      </c>
    </row>
    <row r="17">
      <c r="A17" s="25" t="n">
        <v>10</v>
      </c>
      <c r="B17" s="15" t="inlineStr">
        <is>
          <t>PH – promedio muestra completa</t>
        </is>
      </c>
      <c r="C17" s="210">
        <f>N('MERCADO PH'!AA41)</f>
        <v/>
      </c>
      <c r="D17" s="202">
        <f>IFERROR(SUMIFS('MERCADO PH'!$AA$9:$AA$38,'MERCADO PH'!$AL$9:$AL$38,"SÍ")/COUNTIFS('MERCADO PH'!$AL$9:$AL$38,"SÍ",'MERCADO PH'!$AA$9:$AA$38,"&gt;0"),0)</f>
        <v/>
      </c>
      <c r="E17" s="202">
        <f>IFERROR(C17-D17,0)</f>
        <v/>
      </c>
      <c r="F17" s="51">
        <f>IF(ABS(E17)&lt;=1,"OK","REVISAR")</f>
        <v/>
      </c>
    </row>
    <row r="18">
      <c r="A18" s="25" t="n">
        <v>11</v>
      </c>
      <c r="B18" s="15" t="inlineStr">
        <is>
          <t>PH – coeficiente de variación</t>
        </is>
      </c>
      <c r="C18" s="21">
        <f>N('MERCADO PH'!AA44)</f>
        <v/>
      </c>
      <c r="D18" s="33">
        <f>IFERROR(SQRT(DEVSQ('MERCADO PH'!$AM$9:$AM$38)/(COUNT('MERCADO PH'!$AM$9:$AM$38)-1))/AVERAGE('MERCADO PH'!$AM$9:$AM$38),0)</f>
        <v/>
      </c>
      <c r="E18" s="33">
        <f>IFERROR(C18-D18,0)</f>
        <v/>
      </c>
      <c r="F18" s="51">
        <f>IF(ABS(E18)&lt;=0.0001,"OK","REVISAR")</f>
        <v/>
      </c>
    </row>
    <row r="19">
      <c r="A19" s="25" t="n">
        <v>12</v>
      </c>
      <c r="B19" s="15" t="inlineStr">
        <is>
          <t>PH – suma valores negociados</t>
        </is>
      </c>
      <c r="C19" s="210">
        <f>SUM('MERCADO PH'!$L$9:$L$38)</f>
        <v/>
      </c>
      <c r="D19" s="202">
        <f>SUM('MERCADO PH'!$J$9:$J$38)-SUMPRODUCT('MERCADO PH'!$J$9:$J$38,'MERCADO PH'!$K$9:$K$38)</f>
        <v/>
      </c>
      <c r="E19" s="202">
        <f>IFERROR(C19-D19,0)</f>
        <v/>
      </c>
      <c r="F19" s="51">
        <f>IF(ABS(E19)&lt;=1,"OK","REVISAR")</f>
        <v/>
      </c>
    </row>
    <row r="20">
      <c r="A20" s="25" t="n">
        <v>13</v>
      </c>
      <c r="B20" s="15" t="inlineStr">
        <is>
          <t>PH – promedio de ofertas «SÍ en valor adoptado» = valor de la fuente elegida</t>
        </is>
      </c>
      <c r="C20" s="210">
        <f>N(COMBINACIONES_PH!B19)</f>
        <v/>
      </c>
      <c r="D20" s="202">
        <f>IFERROR(ROUND(AVERAGEIFS('MERCADO PH'!$AM$9:$AM$38,'MERCADO PH'!$AO$9:$AO$38,"SÍ"),-2),0)</f>
        <v/>
      </c>
      <c r="E20" s="202">
        <f>IFERROR(C20-D20,0)</f>
        <v/>
      </c>
      <c r="F20" s="51">
        <f>IF(ABS(E20)&lt;=1,"OK","REVISAR")</f>
        <v/>
      </c>
    </row>
    <row r="21">
      <c r="A21" s="25" t="n">
        <v>14</v>
      </c>
      <c r="B21" s="15" t="inlineStr">
        <is>
          <t>PH – Nº ofertas que soportan el valor = Nº marcadas «SÍ»</t>
        </is>
      </c>
      <c r="C21" s="37">
        <f>N(COMBINACIONES_PH!B21)</f>
        <v/>
      </c>
      <c r="D21" s="26">
        <f>COUNTIF('MERCADO PH'!$AO$9:$AO$38,"SÍ")</f>
        <v/>
      </c>
      <c r="E21" s="26">
        <f>IFERROR(C21-D21,0)</f>
        <v/>
      </c>
      <c r="F21" s="51">
        <f>IF(ABS(E21)&lt;=1,"OK","REVISAR")</f>
        <v/>
      </c>
    </row>
    <row r="22">
      <c r="A22" s="25" t="n">
        <v>15</v>
      </c>
      <c r="B22" s="15" t="inlineStr">
        <is>
          <t>LIQUIDACIÓN_PH – total = suma de componentes</t>
        </is>
      </c>
      <c r="C22" s="210">
        <f>LIQUIDACIÓN_PH!F22</f>
        <v/>
      </c>
      <c r="D22" s="202">
        <f>MROUND(SUM(LIQUIDACIÓN_PH!F5:F8),100)</f>
        <v/>
      </c>
      <c r="E22" s="202">
        <f>IFERROR(C22-D22,0)</f>
        <v/>
      </c>
      <c r="F22" s="51">
        <f>IF(ABS(E22)&lt;=1,"OK","REVISAR")</f>
        <v/>
      </c>
    </row>
  </sheetData>
  <mergeCells count="1">
    <mergeCell ref="A1:F1"/>
  </mergeCells>
  <conditionalFormatting sqref="F8:F40">
    <cfRule type="cellIs" priority="2" operator="equal" dxfId="0">
      <formula>"OK"</formula>
    </cfRule>
    <cfRule type="cellIs" priority="3" operator="equal" dxfId="2">
      <formula>"REVISAR"</formula>
    </cfRule>
  </conditionalFormatting>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D9D9D9"/>
    <outlinePr summaryBelow="1" summaryRight="1"/>
    <pageSetUpPr/>
  </sheetPr>
  <dimension ref="A1:C62"/>
  <sheetViews>
    <sheetView showGridLines="0" zoomScaleNormal="100" workbookViewId="0">
      <selection activeCell="A1" sqref="A1"/>
    </sheetView>
  </sheetViews>
  <sheetFormatPr baseColWidth="10" defaultColWidth="8.6640625" defaultRowHeight="14.4"/>
  <cols>
    <col width="150" customWidth="1" style="54" min="1" max="1"/>
  </cols>
  <sheetData>
    <row r="1">
      <c r="A1" t="inlineStr">
        <is>
          <t>&lt;?xml version="1.0" encoding="UTF-8"?&gt;&lt;kml xmlns="http://www.opengis.net/kml/2.2"&gt;&lt;Document&gt;&lt;name&gt;Ofertas mercado urbano&lt;/name&gt;</t>
        </is>
      </c>
      <c r="C1" s="17" t="inlineStr">
        <is>
          <t>Copie A1:A62 a un editor de texto y guárdelo con extensión .kml para abrirlo en Google Earth / ArcGIS Pro.</t>
        </is>
      </c>
    </row>
    <row r="2">
      <c r="A2">
        <f>IF('MERCADO NPH'!H9="","","&lt;Placemark&gt;&lt;name&gt;NPH "&amp;'MERCADO NPH'!A9&amp;"&lt;/name&gt;&lt;description&gt;"&amp;IF(ISNUMBER('MERCADO NPH'!P9),TEXT('MERCADO NPH'!P9,"$ #,##0")&amp;" /m²","")&amp;"&lt;/description&gt;&lt;Point&gt;&lt;coordinates&gt;"&amp;TRIM(MID('MERCADO NPH'!H9,FIND(",",'MERCADO NPH'!H9)+1,50))&amp;","&amp;TRIM(LEFT('MERCADO NPH'!H9,FIND(",",'MERCADO NPH'!H9)-1))&amp;",0&lt;/coordinates&gt;&lt;/Point&gt;&lt;/Placemark&gt;")</f>
        <v/>
      </c>
    </row>
    <row r="3">
      <c r="A3">
        <f>IF('MERCADO NPH'!H10="","","&lt;Placemark&gt;&lt;name&gt;NPH "&amp;'MERCADO NPH'!A10&amp;"&lt;/name&gt;&lt;description&gt;"&amp;IF(ISNUMBER('MERCADO NPH'!P10),TEXT('MERCADO NPH'!P10,"$ #,##0")&amp;" /m²","")&amp;"&lt;/description&gt;&lt;Point&gt;&lt;coordinates&gt;"&amp;TRIM(MID('MERCADO NPH'!H10,FIND(",",'MERCADO NPH'!H10)+1,50))&amp;","&amp;TRIM(LEFT('MERCADO NPH'!H10,FIND(",",'MERCADO NPH'!H10)-1))&amp;",0&lt;/coordinates&gt;&lt;/Point&gt;&lt;/Placemark&gt;")</f>
        <v/>
      </c>
    </row>
    <row r="4">
      <c r="A4">
        <f>IF('MERCADO NPH'!H11="","","&lt;Placemark&gt;&lt;name&gt;NPH "&amp;'MERCADO NPH'!A11&amp;"&lt;/name&gt;&lt;description&gt;"&amp;IF(ISNUMBER('MERCADO NPH'!P11),TEXT('MERCADO NPH'!P11,"$ #,##0")&amp;" /m²","")&amp;"&lt;/description&gt;&lt;Point&gt;&lt;coordinates&gt;"&amp;TRIM(MID('MERCADO NPH'!H11,FIND(",",'MERCADO NPH'!H11)+1,50))&amp;","&amp;TRIM(LEFT('MERCADO NPH'!H11,FIND(",",'MERCADO NPH'!H11)-1))&amp;",0&lt;/coordinates&gt;&lt;/Point&gt;&lt;/Placemark&gt;")</f>
        <v/>
      </c>
    </row>
    <row r="5">
      <c r="A5">
        <f>IF('MERCADO NPH'!H12="","","&lt;Placemark&gt;&lt;name&gt;NPH "&amp;'MERCADO NPH'!A12&amp;"&lt;/name&gt;&lt;description&gt;"&amp;IF(ISNUMBER('MERCADO NPH'!P12),TEXT('MERCADO NPH'!P12,"$ #,##0")&amp;" /m²","")&amp;"&lt;/description&gt;&lt;Point&gt;&lt;coordinates&gt;"&amp;TRIM(MID('MERCADO NPH'!H12,FIND(",",'MERCADO NPH'!H12)+1,50))&amp;","&amp;TRIM(LEFT('MERCADO NPH'!H12,FIND(",",'MERCADO NPH'!H12)-1))&amp;",0&lt;/coordinates&gt;&lt;/Point&gt;&lt;/Placemark&gt;")</f>
        <v/>
      </c>
    </row>
    <row r="6">
      <c r="A6">
        <f>IF('MERCADO NPH'!H13="","","&lt;Placemark&gt;&lt;name&gt;NPH "&amp;'MERCADO NPH'!A13&amp;"&lt;/name&gt;&lt;description&gt;"&amp;IF(ISNUMBER('MERCADO NPH'!P13),TEXT('MERCADO NPH'!P13,"$ #,##0")&amp;" /m²","")&amp;"&lt;/description&gt;&lt;Point&gt;&lt;coordinates&gt;"&amp;TRIM(MID('MERCADO NPH'!H13,FIND(",",'MERCADO NPH'!H13)+1,50))&amp;","&amp;TRIM(LEFT('MERCADO NPH'!H13,FIND(",",'MERCADO NPH'!H13)-1))&amp;",0&lt;/coordinates&gt;&lt;/Point&gt;&lt;/Placemark&gt;")</f>
        <v/>
      </c>
    </row>
    <row r="7">
      <c r="A7">
        <f>IF('MERCADO NPH'!H14="","","&lt;Placemark&gt;&lt;name&gt;NPH "&amp;'MERCADO NPH'!A14&amp;"&lt;/name&gt;&lt;description&gt;"&amp;IF(ISNUMBER('MERCADO NPH'!P14),TEXT('MERCADO NPH'!P14,"$ #,##0")&amp;" /m²","")&amp;"&lt;/description&gt;&lt;Point&gt;&lt;coordinates&gt;"&amp;TRIM(MID('MERCADO NPH'!H14,FIND(",",'MERCADO NPH'!H14)+1,50))&amp;","&amp;TRIM(LEFT('MERCADO NPH'!H14,FIND(",",'MERCADO NPH'!H14)-1))&amp;",0&lt;/coordinates&gt;&lt;/Point&gt;&lt;/Placemark&gt;")</f>
        <v/>
      </c>
    </row>
    <row r="8">
      <c r="A8">
        <f>IF('MERCADO NPH'!H15="","","&lt;Placemark&gt;&lt;name&gt;NPH "&amp;'MERCADO NPH'!A15&amp;"&lt;/name&gt;&lt;description&gt;"&amp;IF(ISNUMBER('MERCADO NPH'!P15),TEXT('MERCADO NPH'!P15,"$ #,##0")&amp;" /m²","")&amp;"&lt;/description&gt;&lt;Point&gt;&lt;coordinates&gt;"&amp;TRIM(MID('MERCADO NPH'!H15,FIND(",",'MERCADO NPH'!H15)+1,50))&amp;","&amp;TRIM(LEFT('MERCADO NPH'!H15,FIND(",",'MERCADO NPH'!H15)-1))&amp;",0&lt;/coordinates&gt;&lt;/Point&gt;&lt;/Placemark&gt;")</f>
        <v/>
      </c>
    </row>
    <row r="9">
      <c r="A9">
        <f>IF('MERCADO NPH'!H16="","","&lt;Placemark&gt;&lt;name&gt;NPH "&amp;'MERCADO NPH'!A16&amp;"&lt;/name&gt;&lt;description&gt;"&amp;IF(ISNUMBER('MERCADO NPH'!P16),TEXT('MERCADO NPH'!P16,"$ #,##0")&amp;" /m²","")&amp;"&lt;/description&gt;&lt;Point&gt;&lt;coordinates&gt;"&amp;TRIM(MID('MERCADO NPH'!H16,FIND(",",'MERCADO NPH'!H16)+1,50))&amp;","&amp;TRIM(LEFT('MERCADO NPH'!H16,FIND(",",'MERCADO NPH'!H16)-1))&amp;",0&lt;/coordinates&gt;&lt;/Point&gt;&lt;/Placemark&gt;")</f>
        <v/>
      </c>
    </row>
    <row r="10">
      <c r="A10">
        <f>IF('MERCADO NPH'!H17="","","&lt;Placemark&gt;&lt;name&gt;NPH "&amp;'MERCADO NPH'!A17&amp;"&lt;/name&gt;&lt;description&gt;"&amp;IF(ISNUMBER('MERCADO NPH'!P17),TEXT('MERCADO NPH'!P17,"$ #,##0")&amp;" /m²","")&amp;"&lt;/description&gt;&lt;Point&gt;&lt;coordinates&gt;"&amp;TRIM(MID('MERCADO NPH'!H17,FIND(",",'MERCADO NPH'!H17)+1,50))&amp;","&amp;TRIM(LEFT('MERCADO NPH'!H17,FIND(",",'MERCADO NPH'!H17)-1))&amp;",0&lt;/coordinates&gt;&lt;/Point&gt;&lt;/Placemark&gt;")</f>
        <v/>
      </c>
    </row>
    <row r="11">
      <c r="A11">
        <f>IF('MERCADO NPH'!H18="","","&lt;Placemark&gt;&lt;name&gt;NPH "&amp;'MERCADO NPH'!A18&amp;"&lt;/name&gt;&lt;description&gt;"&amp;IF(ISNUMBER('MERCADO NPH'!P18),TEXT('MERCADO NPH'!P18,"$ #,##0")&amp;" /m²","")&amp;"&lt;/description&gt;&lt;Point&gt;&lt;coordinates&gt;"&amp;TRIM(MID('MERCADO NPH'!H18,FIND(",",'MERCADO NPH'!H18)+1,50))&amp;","&amp;TRIM(LEFT('MERCADO NPH'!H18,FIND(",",'MERCADO NPH'!H18)-1))&amp;",0&lt;/coordinates&gt;&lt;/Point&gt;&lt;/Placemark&gt;")</f>
        <v/>
      </c>
    </row>
    <row r="12">
      <c r="A12">
        <f>IF('MERCADO NPH'!H19="","","&lt;Placemark&gt;&lt;name&gt;NPH "&amp;'MERCADO NPH'!A19&amp;"&lt;/name&gt;&lt;description&gt;"&amp;IF(ISNUMBER('MERCADO NPH'!P19),TEXT('MERCADO NPH'!P19,"$ #,##0")&amp;" /m²","")&amp;"&lt;/description&gt;&lt;Point&gt;&lt;coordinates&gt;"&amp;TRIM(MID('MERCADO NPH'!H19,FIND(",",'MERCADO NPH'!H19)+1,50))&amp;","&amp;TRIM(LEFT('MERCADO NPH'!H19,FIND(",",'MERCADO NPH'!H19)-1))&amp;",0&lt;/coordinates&gt;&lt;/Point&gt;&lt;/Placemark&gt;")</f>
        <v/>
      </c>
    </row>
    <row r="13">
      <c r="A13">
        <f>IF('MERCADO NPH'!H20="","","&lt;Placemark&gt;&lt;name&gt;NPH "&amp;'MERCADO NPH'!A20&amp;"&lt;/name&gt;&lt;description&gt;"&amp;IF(ISNUMBER('MERCADO NPH'!P20),TEXT('MERCADO NPH'!P20,"$ #,##0")&amp;" /m²","")&amp;"&lt;/description&gt;&lt;Point&gt;&lt;coordinates&gt;"&amp;TRIM(MID('MERCADO NPH'!H20,FIND(",",'MERCADO NPH'!H20)+1,50))&amp;","&amp;TRIM(LEFT('MERCADO NPH'!H20,FIND(",",'MERCADO NPH'!H20)-1))&amp;",0&lt;/coordinates&gt;&lt;/Point&gt;&lt;/Placemark&gt;")</f>
        <v/>
      </c>
    </row>
    <row r="14">
      <c r="A14">
        <f>IF('MERCADO NPH'!H21="","","&lt;Placemark&gt;&lt;name&gt;NPH "&amp;'MERCADO NPH'!A21&amp;"&lt;/name&gt;&lt;description&gt;"&amp;IF(ISNUMBER('MERCADO NPH'!P21),TEXT('MERCADO NPH'!P21,"$ #,##0")&amp;" /m²","")&amp;"&lt;/description&gt;&lt;Point&gt;&lt;coordinates&gt;"&amp;TRIM(MID('MERCADO NPH'!H21,FIND(",",'MERCADO NPH'!H21)+1,50))&amp;","&amp;TRIM(LEFT('MERCADO NPH'!H21,FIND(",",'MERCADO NPH'!H21)-1))&amp;",0&lt;/coordinates&gt;&lt;/Point&gt;&lt;/Placemark&gt;")</f>
        <v/>
      </c>
    </row>
    <row r="15">
      <c r="A15">
        <f>IF('MERCADO NPH'!H22="","","&lt;Placemark&gt;&lt;name&gt;NPH "&amp;'MERCADO NPH'!A22&amp;"&lt;/name&gt;&lt;description&gt;"&amp;IF(ISNUMBER('MERCADO NPH'!P22),TEXT('MERCADO NPH'!P22,"$ #,##0")&amp;" /m²","")&amp;"&lt;/description&gt;&lt;Point&gt;&lt;coordinates&gt;"&amp;TRIM(MID('MERCADO NPH'!H22,FIND(",",'MERCADO NPH'!H22)+1,50))&amp;","&amp;TRIM(LEFT('MERCADO NPH'!H22,FIND(",",'MERCADO NPH'!H22)-1))&amp;",0&lt;/coordinates&gt;&lt;/Point&gt;&lt;/Placemark&gt;")</f>
        <v/>
      </c>
    </row>
    <row r="16">
      <c r="A16">
        <f>IF('MERCADO NPH'!H23="","","&lt;Placemark&gt;&lt;name&gt;NPH "&amp;'MERCADO NPH'!A23&amp;"&lt;/name&gt;&lt;description&gt;"&amp;IF(ISNUMBER('MERCADO NPH'!P23),TEXT('MERCADO NPH'!P23,"$ #,##0")&amp;" /m²","")&amp;"&lt;/description&gt;&lt;Point&gt;&lt;coordinates&gt;"&amp;TRIM(MID('MERCADO NPH'!H23,FIND(",",'MERCADO NPH'!H23)+1,50))&amp;","&amp;TRIM(LEFT('MERCADO NPH'!H23,FIND(",",'MERCADO NPH'!H23)-1))&amp;",0&lt;/coordinates&gt;&lt;/Point&gt;&lt;/Placemark&gt;")</f>
        <v/>
      </c>
    </row>
    <row r="17">
      <c r="A17">
        <f>IF('MERCADO NPH'!H24="","","&lt;Placemark&gt;&lt;name&gt;NPH "&amp;'MERCADO NPH'!A24&amp;"&lt;/name&gt;&lt;description&gt;"&amp;IF(ISNUMBER('MERCADO NPH'!P24),TEXT('MERCADO NPH'!P24,"$ #,##0")&amp;" /m²","")&amp;"&lt;/description&gt;&lt;Point&gt;&lt;coordinates&gt;"&amp;TRIM(MID('MERCADO NPH'!H24,FIND(",",'MERCADO NPH'!H24)+1,50))&amp;","&amp;TRIM(LEFT('MERCADO NPH'!H24,FIND(",",'MERCADO NPH'!H24)-1))&amp;",0&lt;/coordinates&gt;&lt;/Point&gt;&lt;/Placemark&gt;")</f>
        <v/>
      </c>
    </row>
    <row r="18">
      <c r="A18">
        <f>IF('MERCADO NPH'!H25="","","&lt;Placemark&gt;&lt;name&gt;NPH "&amp;'MERCADO NPH'!A25&amp;"&lt;/name&gt;&lt;description&gt;"&amp;IF(ISNUMBER('MERCADO NPH'!P25),TEXT('MERCADO NPH'!P25,"$ #,##0")&amp;" /m²","")&amp;"&lt;/description&gt;&lt;Point&gt;&lt;coordinates&gt;"&amp;TRIM(MID('MERCADO NPH'!H25,FIND(",",'MERCADO NPH'!H25)+1,50))&amp;","&amp;TRIM(LEFT('MERCADO NPH'!H25,FIND(",",'MERCADO NPH'!H25)-1))&amp;",0&lt;/coordinates&gt;&lt;/Point&gt;&lt;/Placemark&gt;")</f>
        <v/>
      </c>
    </row>
    <row r="19">
      <c r="A19">
        <f>IF('MERCADO NPH'!H26="","","&lt;Placemark&gt;&lt;name&gt;NPH "&amp;'MERCADO NPH'!A26&amp;"&lt;/name&gt;&lt;description&gt;"&amp;IF(ISNUMBER('MERCADO NPH'!P26),TEXT('MERCADO NPH'!P26,"$ #,##0")&amp;" /m²","")&amp;"&lt;/description&gt;&lt;Point&gt;&lt;coordinates&gt;"&amp;TRIM(MID('MERCADO NPH'!H26,FIND(",",'MERCADO NPH'!H26)+1,50))&amp;","&amp;TRIM(LEFT('MERCADO NPH'!H26,FIND(",",'MERCADO NPH'!H26)-1))&amp;",0&lt;/coordinates&gt;&lt;/Point&gt;&lt;/Placemark&gt;")</f>
        <v/>
      </c>
    </row>
    <row r="20">
      <c r="A20">
        <f>IF('MERCADO NPH'!H27="","","&lt;Placemark&gt;&lt;name&gt;NPH "&amp;'MERCADO NPH'!A27&amp;"&lt;/name&gt;&lt;description&gt;"&amp;IF(ISNUMBER('MERCADO NPH'!P27),TEXT('MERCADO NPH'!P27,"$ #,##0")&amp;" /m²","")&amp;"&lt;/description&gt;&lt;Point&gt;&lt;coordinates&gt;"&amp;TRIM(MID('MERCADO NPH'!H27,FIND(",",'MERCADO NPH'!H27)+1,50))&amp;","&amp;TRIM(LEFT('MERCADO NPH'!H27,FIND(",",'MERCADO NPH'!H27)-1))&amp;",0&lt;/coordinates&gt;&lt;/Point&gt;&lt;/Placemark&gt;")</f>
        <v/>
      </c>
    </row>
    <row r="21">
      <c r="A21">
        <f>IF('MERCADO NPH'!H28="","","&lt;Placemark&gt;&lt;name&gt;NPH "&amp;'MERCADO NPH'!A28&amp;"&lt;/name&gt;&lt;description&gt;"&amp;IF(ISNUMBER('MERCADO NPH'!P28),TEXT('MERCADO NPH'!P28,"$ #,##0")&amp;" /m²","")&amp;"&lt;/description&gt;&lt;Point&gt;&lt;coordinates&gt;"&amp;TRIM(MID('MERCADO NPH'!H28,FIND(",",'MERCADO NPH'!H28)+1,50))&amp;","&amp;TRIM(LEFT('MERCADO NPH'!H28,FIND(",",'MERCADO NPH'!H28)-1))&amp;",0&lt;/coordinates&gt;&lt;/Point&gt;&lt;/Placemark&gt;")</f>
        <v/>
      </c>
    </row>
    <row r="22">
      <c r="A22">
        <f>IF('MERCADO NPH'!H29="","","&lt;Placemark&gt;&lt;name&gt;NPH "&amp;'MERCADO NPH'!A29&amp;"&lt;/name&gt;&lt;description&gt;"&amp;IF(ISNUMBER('MERCADO NPH'!P29),TEXT('MERCADO NPH'!P29,"$ #,##0")&amp;" /m²","")&amp;"&lt;/description&gt;&lt;Point&gt;&lt;coordinates&gt;"&amp;TRIM(MID('MERCADO NPH'!H29,FIND(",",'MERCADO NPH'!H29)+1,50))&amp;","&amp;TRIM(LEFT('MERCADO NPH'!H29,FIND(",",'MERCADO NPH'!H29)-1))&amp;",0&lt;/coordinates&gt;&lt;/Point&gt;&lt;/Placemark&gt;")</f>
        <v/>
      </c>
    </row>
    <row r="23">
      <c r="A23">
        <f>IF('MERCADO NPH'!H30="","","&lt;Placemark&gt;&lt;name&gt;NPH "&amp;'MERCADO NPH'!A30&amp;"&lt;/name&gt;&lt;description&gt;"&amp;IF(ISNUMBER('MERCADO NPH'!P30),TEXT('MERCADO NPH'!P30,"$ #,##0")&amp;" /m²","")&amp;"&lt;/description&gt;&lt;Point&gt;&lt;coordinates&gt;"&amp;TRIM(MID('MERCADO NPH'!H30,FIND(",",'MERCADO NPH'!H30)+1,50))&amp;","&amp;TRIM(LEFT('MERCADO NPH'!H30,FIND(",",'MERCADO NPH'!H30)-1))&amp;",0&lt;/coordinates&gt;&lt;/Point&gt;&lt;/Placemark&gt;")</f>
        <v/>
      </c>
    </row>
    <row r="24">
      <c r="A24">
        <f>IF('MERCADO NPH'!H31="","","&lt;Placemark&gt;&lt;name&gt;NPH "&amp;'MERCADO NPH'!A31&amp;"&lt;/name&gt;&lt;description&gt;"&amp;IF(ISNUMBER('MERCADO NPH'!P31),TEXT('MERCADO NPH'!P31,"$ #,##0")&amp;" /m²","")&amp;"&lt;/description&gt;&lt;Point&gt;&lt;coordinates&gt;"&amp;TRIM(MID('MERCADO NPH'!H31,FIND(",",'MERCADO NPH'!H31)+1,50))&amp;","&amp;TRIM(LEFT('MERCADO NPH'!H31,FIND(",",'MERCADO NPH'!H31)-1))&amp;",0&lt;/coordinates&gt;&lt;/Point&gt;&lt;/Placemark&gt;")</f>
        <v/>
      </c>
    </row>
    <row r="25">
      <c r="A25">
        <f>IF('MERCADO NPH'!H32="","","&lt;Placemark&gt;&lt;name&gt;NPH "&amp;'MERCADO NPH'!A32&amp;"&lt;/name&gt;&lt;description&gt;"&amp;IF(ISNUMBER('MERCADO NPH'!P32),TEXT('MERCADO NPH'!P32,"$ #,##0")&amp;" /m²","")&amp;"&lt;/description&gt;&lt;Point&gt;&lt;coordinates&gt;"&amp;TRIM(MID('MERCADO NPH'!H32,FIND(",",'MERCADO NPH'!H32)+1,50))&amp;","&amp;TRIM(LEFT('MERCADO NPH'!H32,FIND(",",'MERCADO NPH'!H32)-1))&amp;",0&lt;/coordinates&gt;&lt;/Point&gt;&lt;/Placemark&gt;")</f>
        <v/>
      </c>
    </row>
    <row r="26">
      <c r="A26">
        <f>IF('MERCADO NPH'!H33="","","&lt;Placemark&gt;&lt;name&gt;NPH "&amp;'MERCADO NPH'!A33&amp;"&lt;/name&gt;&lt;description&gt;"&amp;IF(ISNUMBER('MERCADO NPH'!P33),TEXT('MERCADO NPH'!P33,"$ #,##0")&amp;" /m²","")&amp;"&lt;/description&gt;&lt;Point&gt;&lt;coordinates&gt;"&amp;TRIM(MID('MERCADO NPH'!H33,FIND(",",'MERCADO NPH'!H33)+1,50))&amp;","&amp;TRIM(LEFT('MERCADO NPH'!H33,FIND(",",'MERCADO NPH'!H33)-1))&amp;",0&lt;/coordinates&gt;&lt;/Point&gt;&lt;/Placemark&gt;")</f>
        <v/>
      </c>
    </row>
    <row r="27">
      <c r="A27">
        <f>IF('MERCADO NPH'!H34="","","&lt;Placemark&gt;&lt;name&gt;NPH "&amp;'MERCADO NPH'!A34&amp;"&lt;/name&gt;&lt;description&gt;"&amp;IF(ISNUMBER('MERCADO NPH'!P34),TEXT('MERCADO NPH'!P34,"$ #,##0")&amp;" /m²","")&amp;"&lt;/description&gt;&lt;Point&gt;&lt;coordinates&gt;"&amp;TRIM(MID('MERCADO NPH'!H34,FIND(",",'MERCADO NPH'!H34)+1,50))&amp;","&amp;TRIM(LEFT('MERCADO NPH'!H34,FIND(",",'MERCADO NPH'!H34)-1))&amp;",0&lt;/coordinates&gt;&lt;/Point&gt;&lt;/Placemark&gt;")</f>
        <v/>
      </c>
    </row>
    <row r="28">
      <c r="A28">
        <f>IF('MERCADO NPH'!H35="","","&lt;Placemark&gt;&lt;name&gt;NPH "&amp;'MERCADO NPH'!A35&amp;"&lt;/name&gt;&lt;description&gt;"&amp;IF(ISNUMBER('MERCADO NPH'!P35),TEXT('MERCADO NPH'!P35,"$ #,##0")&amp;" /m²","")&amp;"&lt;/description&gt;&lt;Point&gt;&lt;coordinates&gt;"&amp;TRIM(MID('MERCADO NPH'!H35,FIND(",",'MERCADO NPH'!H35)+1,50))&amp;","&amp;TRIM(LEFT('MERCADO NPH'!H35,FIND(",",'MERCADO NPH'!H35)-1))&amp;",0&lt;/coordinates&gt;&lt;/Point&gt;&lt;/Placemark&gt;")</f>
        <v/>
      </c>
    </row>
    <row r="29">
      <c r="A29">
        <f>IF('MERCADO NPH'!H36="","","&lt;Placemark&gt;&lt;name&gt;NPH "&amp;'MERCADO NPH'!A36&amp;"&lt;/name&gt;&lt;description&gt;"&amp;IF(ISNUMBER('MERCADO NPH'!P36),TEXT('MERCADO NPH'!P36,"$ #,##0")&amp;" /m²","")&amp;"&lt;/description&gt;&lt;Point&gt;&lt;coordinates&gt;"&amp;TRIM(MID('MERCADO NPH'!H36,FIND(",",'MERCADO NPH'!H36)+1,50))&amp;","&amp;TRIM(LEFT('MERCADO NPH'!H36,FIND(",",'MERCADO NPH'!H36)-1))&amp;",0&lt;/coordinates&gt;&lt;/Point&gt;&lt;/Placemark&gt;")</f>
        <v/>
      </c>
    </row>
    <row r="30">
      <c r="A30">
        <f>IF('MERCADO NPH'!H37="","","&lt;Placemark&gt;&lt;name&gt;NPH "&amp;'MERCADO NPH'!A37&amp;"&lt;/name&gt;&lt;description&gt;"&amp;IF(ISNUMBER('MERCADO NPH'!P37),TEXT('MERCADO NPH'!P37,"$ #,##0")&amp;" /m²","")&amp;"&lt;/description&gt;&lt;Point&gt;&lt;coordinates&gt;"&amp;TRIM(MID('MERCADO NPH'!H37,FIND(",",'MERCADO NPH'!H37)+1,50))&amp;","&amp;TRIM(LEFT('MERCADO NPH'!H37,FIND(",",'MERCADO NPH'!H37)-1))&amp;",0&lt;/coordinates&gt;&lt;/Point&gt;&lt;/Placemark&gt;")</f>
        <v/>
      </c>
    </row>
    <row r="31">
      <c r="A31">
        <f>IF('MERCADO NPH'!H38="","","&lt;Placemark&gt;&lt;name&gt;NPH "&amp;'MERCADO NPH'!A38&amp;"&lt;/name&gt;&lt;description&gt;"&amp;IF(ISNUMBER('MERCADO NPH'!P38),TEXT('MERCADO NPH'!P38,"$ #,##0")&amp;" /m²","")&amp;"&lt;/description&gt;&lt;Point&gt;&lt;coordinates&gt;"&amp;TRIM(MID('MERCADO NPH'!H38,FIND(",",'MERCADO NPH'!H38)+1,50))&amp;","&amp;TRIM(LEFT('MERCADO NPH'!H38,FIND(",",'MERCADO NPH'!H38)-1))&amp;",0&lt;/coordinates&gt;&lt;/Point&gt;&lt;/Placemark&gt;")</f>
        <v/>
      </c>
    </row>
    <row r="32">
      <c r="A32">
        <f>IF('MERCADO PH'!I9="","","&lt;Placemark&gt;&lt;name&gt;PH "&amp;'MERCADO PH'!A9&amp;"&lt;/name&gt;&lt;description&gt;"&amp;IF(ISNUMBER('MERCADO PH'!AA9),TEXT('MERCADO PH'!AA9,"$ #,##0")&amp;" /m²","")&amp;"&lt;/description&gt;&lt;Point&gt;&lt;coordinates&gt;"&amp;TRIM(MID('MERCADO PH'!I9,FIND(",",'MERCADO PH'!I9)+1,50))&amp;","&amp;TRIM(LEFT('MERCADO PH'!I9,FIND(",",'MERCADO PH'!I9)-1))&amp;",0&lt;/coordinates&gt;&lt;/Point&gt;&lt;/Placemark&gt;")</f>
        <v/>
      </c>
    </row>
    <row r="33">
      <c r="A33">
        <f>IF('MERCADO PH'!I10="","","&lt;Placemark&gt;&lt;name&gt;PH "&amp;'MERCADO PH'!A10&amp;"&lt;/name&gt;&lt;description&gt;"&amp;IF(ISNUMBER('MERCADO PH'!AA10),TEXT('MERCADO PH'!AA10,"$ #,##0")&amp;" /m²","")&amp;"&lt;/description&gt;&lt;Point&gt;&lt;coordinates&gt;"&amp;TRIM(MID('MERCADO PH'!I10,FIND(",",'MERCADO PH'!I10)+1,50))&amp;","&amp;TRIM(LEFT('MERCADO PH'!I10,FIND(",",'MERCADO PH'!I10)-1))&amp;",0&lt;/coordinates&gt;&lt;/Point&gt;&lt;/Placemark&gt;")</f>
        <v/>
      </c>
    </row>
    <row r="34">
      <c r="A34">
        <f>IF('MERCADO PH'!I11="","","&lt;Placemark&gt;&lt;name&gt;PH "&amp;'MERCADO PH'!A11&amp;"&lt;/name&gt;&lt;description&gt;"&amp;IF(ISNUMBER('MERCADO PH'!AA11),TEXT('MERCADO PH'!AA11,"$ #,##0")&amp;" /m²","")&amp;"&lt;/description&gt;&lt;Point&gt;&lt;coordinates&gt;"&amp;TRIM(MID('MERCADO PH'!I11,FIND(",",'MERCADO PH'!I11)+1,50))&amp;","&amp;TRIM(LEFT('MERCADO PH'!I11,FIND(",",'MERCADO PH'!I11)-1))&amp;",0&lt;/coordinates&gt;&lt;/Point&gt;&lt;/Placemark&gt;")</f>
        <v/>
      </c>
    </row>
    <row r="35">
      <c r="A35">
        <f>IF('MERCADO PH'!I12="","","&lt;Placemark&gt;&lt;name&gt;PH "&amp;'MERCADO PH'!A12&amp;"&lt;/name&gt;&lt;description&gt;"&amp;IF(ISNUMBER('MERCADO PH'!AA12),TEXT('MERCADO PH'!AA12,"$ #,##0")&amp;" /m²","")&amp;"&lt;/description&gt;&lt;Point&gt;&lt;coordinates&gt;"&amp;TRIM(MID('MERCADO PH'!I12,FIND(",",'MERCADO PH'!I12)+1,50))&amp;","&amp;TRIM(LEFT('MERCADO PH'!I12,FIND(",",'MERCADO PH'!I12)-1))&amp;",0&lt;/coordinates&gt;&lt;/Point&gt;&lt;/Placemark&gt;")</f>
        <v/>
      </c>
    </row>
    <row r="36">
      <c r="A36">
        <f>IF('MERCADO PH'!I13="","","&lt;Placemark&gt;&lt;name&gt;PH "&amp;'MERCADO PH'!A13&amp;"&lt;/name&gt;&lt;description&gt;"&amp;IF(ISNUMBER('MERCADO PH'!AA13),TEXT('MERCADO PH'!AA13,"$ #,##0")&amp;" /m²","")&amp;"&lt;/description&gt;&lt;Point&gt;&lt;coordinates&gt;"&amp;TRIM(MID('MERCADO PH'!I13,FIND(",",'MERCADO PH'!I13)+1,50))&amp;","&amp;TRIM(LEFT('MERCADO PH'!I13,FIND(",",'MERCADO PH'!I13)-1))&amp;",0&lt;/coordinates&gt;&lt;/Point&gt;&lt;/Placemark&gt;")</f>
        <v/>
      </c>
    </row>
    <row r="37">
      <c r="A37">
        <f>IF('MERCADO PH'!I14="","","&lt;Placemark&gt;&lt;name&gt;PH "&amp;'MERCADO PH'!A14&amp;"&lt;/name&gt;&lt;description&gt;"&amp;IF(ISNUMBER('MERCADO PH'!AA14),TEXT('MERCADO PH'!AA14,"$ #,##0")&amp;" /m²","")&amp;"&lt;/description&gt;&lt;Point&gt;&lt;coordinates&gt;"&amp;TRIM(MID('MERCADO PH'!I14,FIND(",",'MERCADO PH'!I14)+1,50))&amp;","&amp;TRIM(LEFT('MERCADO PH'!I14,FIND(",",'MERCADO PH'!I14)-1))&amp;",0&lt;/coordinates&gt;&lt;/Point&gt;&lt;/Placemark&gt;")</f>
        <v/>
      </c>
    </row>
    <row r="38">
      <c r="A38">
        <f>IF('MERCADO PH'!I15="","","&lt;Placemark&gt;&lt;name&gt;PH "&amp;'MERCADO PH'!A15&amp;"&lt;/name&gt;&lt;description&gt;"&amp;IF(ISNUMBER('MERCADO PH'!AA15),TEXT('MERCADO PH'!AA15,"$ #,##0")&amp;" /m²","")&amp;"&lt;/description&gt;&lt;Point&gt;&lt;coordinates&gt;"&amp;TRIM(MID('MERCADO PH'!I15,FIND(",",'MERCADO PH'!I15)+1,50))&amp;","&amp;TRIM(LEFT('MERCADO PH'!I15,FIND(",",'MERCADO PH'!I15)-1))&amp;",0&lt;/coordinates&gt;&lt;/Point&gt;&lt;/Placemark&gt;")</f>
        <v/>
      </c>
    </row>
    <row r="39">
      <c r="A39">
        <f>IF('MERCADO PH'!I16="","","&lt;Placemark&gt;&lt;name&gt;PH "&amp;'MERCADO PH'!A16&amp;"&lt;/name&gt;&lt;description&gt;"&amp;IF(ISNUMBER('MERCADO PH'!AA16),TEXT('MERCADO PH'!AA16,"$ #,##0")&amp;" /m²","")&amp;"&lt;/description&gt;&lt;Point&gt;&lt;coordinates&gt;"&amp;TRIM(MID('MERCADO PH'!I16,FIND(",",'MERCADO PH'!I16)+1,50))&amp;","&amp;TRIM(LEFT('MERCADO PH'!I16,FIND(",",'MERCADO PH'!I16)-1))&amp;",0&lt;/coordinates&gt;&lt;/Point&gt;&lt;/Placemark&gt;")</f>
        <v/>
      </c>
    </row>
    <row r="40">
      <c r="A40">
        <f>IF('MERCADO PH'!I17="","","&lt;Placemark&gt;&lt;name&gt;PH "&amp;'MERCADO PH'!A17&amp;"&lt;/name&gt;&lt;description&gt;"&amp;IF(ISNUMBER('MERCADO PH'!AA17),TEXT('MERCADO PH'!AA17,"$ #,##0")&amp;" /m²","")&amp;"&lt;/description&gt;&lt;Point&gt;&lt;coordinates&gt;"&amp;TRIM(MID('MERCADO PH'!I17,FIND(",",'MERCADO PH'!I17)+1,50))&amp;","&amp;TRIM(LEFT('MERCADO PH'!I17,FIND(",",'MERCADO PH'!I17)-1))&amp;",0&lt;/coordinates&gt;&lt;/Point&gt;&lt;/Placemark&gt;")</f>
        <v/>
      </c>
    </row>
    <row r="41">
      <c r="A41">
        <f>IF('MERCADO PH'!I18="","","&lt;Placemark&gt;&lt;name&gt;PH "&amp;'MERCADO PH'!A18&amp;"&lt;/name&gt;&lt;description&gt;"&amp;IF(ISNUMBER('MERCADO PH'!AA18),TEXT('MERCADO PH'!AA18,"$ #,##0")&amp;" /m²","")&amp;"&lt;/description&gt;&lt;Point&gt;&lt;coordinates&gt;"&amp;TRIM(MID('MERCADO PH'!I18,FIND(",",'MERCADO PH'!I18)+1,50))&amp;","&amp;TRIM(LEFT('MERCADO PH'!I18,FIND(",",'MERCADO PH'!I18)-1))&amp;",0&lt;/coordinates&gt;&lt;/Point&gt;&lt;/Placemark&gt;")</f>
        <v/>
      </c>
    </row>
    <row r="42">
      <c r="A42">
        <f>IF('MERCADO PH'!I19="","","&lt;Placemark&gt;&lt;name&gt;PH "&amp;'MERCADO PH'!A19&amp;"&lt;/name&gt;&lt;description&gt;"&amp;IF(ISNUMBER('MERCADO PH'!AA19),TEXT('MERCADO PH'!AA19,"$ #,##0")&amp;" /m²","")&amp;"&lt;/description&gt;&lt;Point&gt;&lt;coordinates&gt;"&amp;TRIM(MID('MERCADO PH'!I19,FIND(",",'MERCADO PH'!I19)+1,50))&amp;","&amp;TRIM(LEFT('MERCADO PH'!I19,FIND(",",'MERCADO PH'!I19)-1))&amp;",0&lt;/coordinates&gt;&lt;/Point&gt;&lt;/Placemark&gt;")</f>
        <v/>
      </c>
    </row>
    <row r="43">
      <c r="A43">
        <f>IF('MERCADO PH'!I20="","","&lt;Placemark&gt;&lt;name&gt;PH "&amp;'MERCADO PH'!A20&amp;"&lt;/name&gt;&lt;description&gt;"&amp;IF(ISNUMBER('MERCADO PH'!AA20),TEXT('MERCADO PH'!AA20,"$ #,##0")&amp;" /m²","")&amp;"&lt;/description&gt;&lt;Point&gt;&lt;coordinates&gt;"&amp;TRIM(MID('MERCADO PH'!I20,FIND(",",'MERCADO PH'!I20)+1,50))&amp;","&amp;TRIM(LEFT('MERCADO PH'!I20,FIND(",",'MERCADO PH'!I20)-1))&amp;",0&lt;/coordinates&gt;&lt;/Point&gt;&lt;/Placemark&gt;")</f>
        <v/>
      </c>
    </row>
    <row r="44">
      <c r="A44">
        <f>IF('MERCADO PH'!I21="","","&lt;Placemark&gt;&lt;name&gt;PH "&amp;'MERCADO PH'!A21&amp;"&lt;/name&gt;&lt;description&gt;"&amp;IF(ISNUMBER('MERCADO PH'!AA21),TEXT('MERCADO PH'!AA21,"$ #,##0")&amp;" /m²","")&amp;"&lt;/description&gt;&lt;Point&gt;&lt;coordinates&gt;"&amp;TRIM(MID('MERCADO PH'!I21,FIND(",",'MERCADO PH'!I21)+1,50))&amp;","&amp;TRIM(LEFT('MERCADO PH'!I21,FIND(",",'MERCADO PH'!I21)-1))&amp;",0&lt;/coordinates&gt;&lt;/Point&gt;&lt;/Placemark&gt;")</f>
        <v/>
      </c>
    </row>
    <row r="45">
      <c r="A45">
        <f>IF('MERCADO PH'!I22="","","&lt;Placemark&gt;&lt;name&gt;PH "&amp;'MERCADO PH'!A22&amp;"&lt;/name&gt;&lt;description&gt;"&amp;IF(ISNUMBER('MERCADO PH'!AA22),TEXT('MERCADO PH'!AA22,"$ #,##0")&amp;" /m²","")&amp;"&lt;/description&gt;&lt;Point&gt;&lt;coordinates&gt;"&amp;TRIM(MID('MERCADO PH'!I22,FIND(",",'MERCADO PH'!I22)+1,50))&amp;","&amp;TRIM(LEFT('MERCADO PH'!I22,FIND(",",'MERCADO PH'!I22)-1))&amp;",0&lt;/coordinates&gt;&lt;/Point&gt;&lt;/Placemark&gt;")</f>
        <v/>
      </c>
    </row>
    <row r="46">
      <c r="A46">
        <f>IF('MERCADO PH'!I23="","","&lt;Placemark&gt;&lt;name&gt;PH "&amp;'MERCADO PH'!A23&amp;"&lt;/name&gt;&lt;description&gt;"&amp;IF(ISNUMBER('MERCADO PH'!AA23),TEXT('MERCADO PH'!AA23,"$ #,##0")&amp;" /m²","")&amp;"&lt;/description&gt;&lt;Point&gt;&lt;coordinates&gt;"&amp;TRIM(MID('MERCADO PH'!I23,FIND(",",'MERCADO PH'!I23)+1,50))&amp;","&amp;TRIM(LEFT('MERCADO PH'!I23,FIND(",",'MERCADO PH'!I23)-1))&amp;",0&lt;/coordinates&gt;&lt;/Point&gt;&lt;/Placemark&gt;")</f>
        <v/>
      </c>
    </row>
    <row r="47">
      <c r="A47">
        <f>IF('MERCADO PH'!I24="","","&lt;Placemark&gt;&lt;name&gt;PH "&amp;'MERCADO PH'!A24&amp;"&lt;/name&gt;&lt;description&gt;"&amp;IF(ISNUMBER('MERCADO PH'!AA24),TEXT('MERCADO PH'!AA24,"$ #,##0")&amp;" /m²","")&amp;"&lt;/description&gt;&lt;Point&gt;&lt;coordinates&gt;"&amp;TRIM(MID('MERCADO PH'!I24,FIND(",",'MERCADO PH'!I24)+1,50))&amp;","&amp;TRIM(LEFT('MERCADO PH'!I24,FIND(",",'MERCADO PH'!I24)-1))&amp;",0&lt;/coordinates&gt;&lt;/Point&gt;&lt;/Placemark&gt;")</f>
        <v/>
      </c>
    </row>
    <row r="48">
      <c r="A48">
        <f>IF('MERCADO PH'!I25="","","&lt;Placemark&gt;&lt;name&gt;PH "&amp;'MERCADO PH'!A25&amp;"&lt;/name&gt;&lt;description&gt;"&amp;IF(ISNUMBER('MERCADO PH'!AA25),TEXT('MERCADO PH'!AA25,"$ #,##0")&amp;" /m²","")&amp;"&lt;/description&gt;&lt;Point&gt;&lt;coordinates&gt;"&amp;TRIM(MID('MERCADO PH'!I25,FIND(",",'MERCADO PH'!I25)+1,50))&amp;","&amp;TRIM(LEFT('MERCADO PH'!I25,FIND(",",'MERCADO PH'!I25)-1))&amp;",0&lt;/coordinates&gt;&lt;/Point&gt;&lt;/Placemark&gt;")</f>
        <v/>
      </c>
    </row>
    <row r="49">
      <c r="A49">
        <f>IF('MERCADO PH'!I26="","","&lt;Placemark&gt;&lt;name&gt;PH "&amp;'MERCADO PH'!A26&amp;"&lt;/name&gt;&lt;description&gt;"&amp;IF(ISNUMBER('MERCADO PH'!AA26),TEXT('MERCADO PH'!AA26,"$ #,##0")&amp;" /m²","")&amp;"&lt;/description&gt;&lt;Point&gt;&lt;coordinates&gt;"&amp;TRIM(MID('MERCADO PH'!I26,FIND(",",'MERCADO PH'!I26)+1,50))&amp;","&amp;TRIM(LEFT('MERCADO PH'!I26,FIND(",",'MERCADO PH'!I26)-1))&amp;",0&lt;/coordinates&gt;&lt;/Point&gt;&lt;/Placemark&gt;")</f>
        <v/>
      </c>
    </row>
    <row r="50">
      <c r="A50">
        <f>IF('MERCADO PH'!I27="","","&lt;Placemark&gt;&lt;name&gt;PH "&amp;'MERCADO PH'!A27&amp;"&lt;/name&gt;&lt;description&gt;"&amp;IF(ISNUMBER('MERCADO PH'!AA27),TEXT('MERCADO PH'!AA27,"$ #,##0")&amp;" /m²","")&amp;"&lt;/description&gt;&lt;Point&gt;&lt;coordinates&gt;"&amp;TRIM(MID('MERCADO PH'!I27,FIND(",",'MERCADO PH'!I27)+1,50))&amp;","&amp;TRIM(LEFT('MERCADO PH'!I27,FIND(",",'MERCADO PH'!I27)-1))&amp;",0&lt;/coordinates&gt;&lt;/Point&gt;&lt;/Placemark&gt;")</f>
        <v/>
      </c>
    </row>
    <row r="51">
      <c r="A51">
        <f>IF('MERCADO PH'!I28="","","&lt;Placemark&gt;&lt;name&gt;PH "&amp;'MERCADO PH'!A28&amp;"&lt;/name&gt;&lt;description&gt;"&amp;IF(ISNUMBER('MERCADO PH'!AA28),TEXT('MERCADO PH'!AA28,"$ #,##0")&amp;" /m²","")&amp;"&lt;/description&gt;&lt;Point&gt;&lt;coordinates&gt;"&amp;TRIM(MID('MERCADO PH'!I28,FIND(",",'MERCADO PH'!I28)+1,50))&amp;","&amp;TRIM(LEFT('MERCADO PH'!I28,FIND(",",'MERCADO PH'!I28)-1))&amp;",0&lt;/coordinates&gt;&lt;/Point&gt;&lt;/Placemark&gt;")</f>
        <v/>
      </c>
    </row>
    <row r="52">
      <c r="A52">
        <f>IF('MERCADO PH'!I29="","","&lt;Placemark&gt;&lt;name&gt;PH "&amp;'MERCADO PH'!A29&amp;"&lt;/name&gt;&lt;description&gt;"&amp;IF(ISNUMBER('MERCADO PH'!AA29),TEXT('MERCADO PH'!AA29,"$ #,##0")&amp;" /m²","")&amp;"&lt;/description&gt;&lt;Point&gt;&lt;coordinates&gt;"&amp;TRIM(MID('MERCADO PH'!I29,FIND(",",'MERCADO PH'!I29)+1,50))&amp;","&amp;TRIM(LEFT('MERCADO PH'!I29,FIND(",",'MERCADO PH'!I29)-1))&amp;",0&lt;/coordinates&gt;&lt;/Point&gt;&lt;/Placemark&gt;")</f>
        <v/>
      </c>
    </row>
    <row r="53">
      <c r="A53">
        <f>IF('MERCADO PH'!I30="","","&lt;Placemark&gt;&lt;name&gt;PH "&amp;'MERCADO PH'!A30&amp;"&lt;/name&gt;&lt;description&gt;"&amp;IF(ISNUMBER('MERCADO PH'!AA30),TEXT('MERCADO PH'!AA30,"$ #,##0")&amp;" /m²","")&amp;"&lt;/description&gt;&lt;Point&gt;&lt;coordinates&gt;"&amp;TRIM(MID('MERCADO PH'!I30,FIND(",",'MERCADO PH'!I30)+1,50))&amp;","&amp;TRIM(LEFT('MERCADO PH'!I30,FIND(",",'MERCADO PH'!I30)-1))&amp;",0&lt;/coordinates&gt;&lt;/Point&gt;&lt;/Placemark&gt;")</f>
        <v/>
      </c>
    </row>
    <row r="54">
      <c r="A54">
        <f>IF('MERCADO PH'!I31="","","&lt;Placemark&gt;&lt;name&gt;PH "&amp;'MERCADO PH'!A31&amp;"&lt;/name&gt;&lt;description&gt;"&amp;IF(ISNUMBER('MERCADO PH'!AA31),TEXT('MERCADO PH'!AA31,"$ #,##0")&amp;" /m²","")&amp;"&lt;/description&gt;&lt;Point&gt;&lt;coordinates&gt;"&amp;TRIM(MID('MERCADO PH'!I31,FIND(",",'MERCADO PH'!I31)+1,50))&amp;","&amp;TRIM(LEFT('MERCADO PH'!I31,FIND(",",'MERCADO PH'!I31)-1))&amp;",0&lt;/coordinates&gt;&lt;/Point&gt;&lt;/Placemark&gt;")</f>
        <v/>
      </c>
    </row>
    <row r="55">
      <c r="A55">
        <f>IF('MERCADO PH'!I32="","","&lt;Placemark&gt;&lt;name&gt;PH "&amp;'MERCADO PH'!A32&amp;"&lt;/name&gt;&lt;description&gt;"&amp;IF(ISNUMBER('MERCADO PH'!AA32),TEXT('MERCADO PH'!AA32,"$ #,##0")&amp;" /m²","")&amp;"&lt;/description&gt;&lt;Point&gt;&lt;coordinates&gt;"&amp;TRIM(MID('MERCADO PH'!I32,FIND(",",'MERCADO PH'!I32)+1,50))&amp;","&amp;TRIM(LEFT('MERCADO PH'!I32,FIND(",",'MERCADO PH'!I32)-1))&amp;",0&lt;/coordinates&gt;&lt;/Point&gt;&lt;/Placemark&gt;")</f>
        <v/>
      </c>
    </row>
    <row r="56">
      <c r="A56">
        <f>IF('MERCADO PH'!I33="","","&lt;Placemark&gt;&lt;name&gt;PH "&amp;'MERCADO PH'!A33&amp;"&lt;/name&gt;&lt;description&gt;"&amp;IF(ISNUMBER('MERCADO PH'!AA33),TEXT('MERCADO PH'!AA33,"$ #,##0")&amp;" /m²","")&amp;"&lt;/description&gt;&lt;Point&gt;&lt;coordinates&gt;"&amp;TRIM(MID('MERCADO PH'!I33,FIND(",",'MERCADO PH'!I33)+1,50))&amp;","&amp;TRIM(LEFT('MERCADO PH'!I33,FIND(",",'MERCADO PH'!I33)-1))&amp;",0&lt;/coordinates&gt;&lt;/Point&gt;&lt;/Placemark&gt;")</f>
        <v/>
      </c>
    </row>
    <row r="57">
      <c r="A57">
        <f>IF('MERCADO PH'!I34="","","&lt;Placemark&gt;&lt;name&gt;PH "&amp;'MERCADO PH'!A34&amp;"&lt;/name&gt;&lt;description&gt;"&amp;IF(ISNUMBER('MERCADO PH'!AA34),TEXT('MERCADO PH'!AA34,"$ #,##0")&amp;" /m²","")&amp;"&lt;/description&gt;&lt;Point&gt;&lt;coordinates&gt;"&amp;TRIM(MID('MERCADO PH'!I34,FIND(",",'MERCADO PH'!I34)+1,50))&amp;","&amp;TRIM(LEFT('MERCADO PH'!I34,FIND(",",'MERCADO PH'!I34)-1))&amp;",0&lt;/coordinates&gt;&lt;/Point&gt;&lt;/Placemark&gt;")</f>
        <v/>
      </c>
    </row>
    <row r="58">
      <c r="A58">
        <f>IF('MERCADO PH'!I35="","","&lt;Placemark&gt;&lt;name&gt;PH "&amp;'MERCADO PH'!A35&amp;"&lt;/name&gt;&lt;description&gt;"&amp;IF(ISNUMBER('MERCADO PH'!AA35),TEXT('MERCADO PH'!AA35,"$ #,##0")&amp;" /m²","")&amp;"&lt;/description&gt;&lt;Point&gt;&lt;coordinates&gt;"&amp;TRIM(MID('MERCADO PH'!I35,FIND(",",'MERCADO PH'!I35)+1,50))&amp;","&amp;TRIM(LEFT('MERCADO PH'!I35,FIND(",",'MERCADO PH'!I35)-1))&amp;",0&lt;/coordinates&gt;&lt;/Point&gt;&lt;/Placemark&gt;")</f>
        <v/>
      </c>
    </row>
    <row r="59">
      <c r="A59">
        <f>IF('MERCADO PH'!I36="","","&lt;Placemark&gt;&lt;name&gt;PH "&amp;'MERCADO PH'!A36&amp;"&lt;/name&gt;&lt;description&gt;"&amp;IF(ISNUMBER('MERCADO PH'!AA36),TEXT('MERCADO PH'!AA36,"$ #,##0")&amp;" /m²","")&amp;"&lt;/description&gt;&lt;Point&gt;&lt;coordinates&gt;"&amp;TRIM(MID('MERCADO PH'!I36,FIND(",",'MERCADO PH'!I36)+1,50))&amp;","&amp;TRIM(LEFT('MERCADO PH'!I36,FIND(",",'MERCADO PH'!I36)-1))&amp;",0&lt;/coordinates&gt;&lt;/Point&gt;&lt;/Placemark&gt;")</f>
        <v/>
      </c>
    </row>
    <row r="60">
      <c r="A60">
        <f>IF('MERCADO PH'!I37="","","&lt;Placemark&gt;&lt;name&gt;PH "&amp;'MERCADO PH'!A37&amp;"&lt;/name&gt;&lt;description&gt;"&amp;IF(ISNUMBER('MERCADO PH'!AA37),TEXT('MERCADO PH'!AA37,"$ #,##0")&amp;" /m²","")&amp;"&lt;/description&gt;&lt;Point&gt;&lt;coordinates&gt;"&amp;TRIM(MID('MERCADO PH'!I37,FIND(",",'MERCADO PH'!I37)+1,50))&amp;","&amp;TRIM(LEFT('MERCADO PH'!I37,FIND(",",'MERCADO PH'!I37)-1))&amp;",0&lt;/coordinates&gt;&lt;/Point&gt;&lt;/Placemark&gt;")</f>
        <v/>
      </c>
    </row>
    <row r="61">
      <c r="A61">
        <f>IF('MERCADO PH'!I38="","","&lt;Placemark&gt;&lt;name&gt;PH "&amp;'MERCADO PH'!A38&amp;"&lt;/name&gt;&lt;description&gt;"&amp;IF(ISNUMBER('MERCADO PH'!AA38),TEXT('MERCADO PH'!AA38,"$ #,##0")&amp;" /m²","")&amp;"&lt;/description&gt;&lt;Point&gt;&lt;coordinates&gt;"&amp;TRIM(MID('MERCADO PH'!I38,FIND(",",'MERCADO PH'!I38)+1,50))&amp;","&amp;TRIM(LEFT('MERCADO PH'!I38,FIND(",",'MERCADO PH'!I38)-1))&amp;",0&lt;/coordinates&gt;&lt;/Point&gt;&lt;/Placemark&gt;")</f>
        <v/>
      </c>
    </row>
    <row r="62">
      <c r="A62" t="inlineStr">
        <is>
          <t>&lt;/Document&gt;&lt;/kml&gt;</t>
        </is>
      </c>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tabColor rgb="FFD9D9D9"/>
    <outlinePr summaryBelow="1" summaryRight="1"/>
    <pageSetUpPr/>
  </sheetPr>
  <dimension ref="A1:Q410"/>
  <sheetViews>
    <sheetView showGridLines="0" zoomScaleNormal="100" workbookViewId="0">
      <selection activeCell="A1" sqref="A1"/>
    </sheetView>
  </sheetViews>
  <sheetFormatPr baseColWidth="10" defaultColWidth="8.6640625" defaultRowHeight="14.4"/>
  <cols>
    <col width="12" customWidth="1" style="54" min="1" max="9"/>
    <col width="12" customWidth="1" style="54" min="11" max="17"/>
  </cols>
  <sheetData>
    <row r="1">
      <c r="A1" s="40" t="inlineStr">
        <is>
          <t>CÁLCULO AUXILIAR DE COMBINACIONES (no editar) – MERCADO PH: ofertas elegibles ordenadas por valor unitario y ventanas de ofertas consecutivas</t>
        </is>
      </c>
    </row>
    <row r="2">
      <c r="H2" t="inlineStr">
        <is>
          <t>Ofertas elegibles (m)</t>
        </is>
      </c>
      <c r="J2">
        <f>COUNT(J5:J34)</f>
        <v/>
      </c>
    </row>
    <row r="3">
      <c r="H3" t="inlineStr">
        <is>
          <t>CV muestra completa</t>
        </is>
      </c>
      <c r="J3">
        <f>IFERROR('MERCADO PH'!AA44+0,0)</f>
        <v/>
      </c>
    </row>
    <row r="4" ht="36" customHeight="1" s="54">
      <c r="A4" s="13" t="inlineStr">
        <is>
          <t>Casilla</t>
        </is>
      </c>
      <c r="B4" s="13" t="inlineStr">
        <is>
          <t>Valor</t>
        </is>
      </c>
      <c r="C4" s="13" t="inlineStr">
        <is>
          <t>No. oferta</t>
        </is>
      </c>
      <c r="D4" s="13" t="inlineStr">
        <is>
          <t>Elegible</t>
        </is>
      </c>
      <c r="E4" s="13" t="inlineStr">
        <is>
          <t>Clave</t>
        </is>
      </c>
      <c r="F4" s="13" t="inlineStr">
        <is>
          <t>Rango</t>
        </is>
      </c>
      <c r="G4" s="13" t="inlineStr">
        <is>
          <t>Orden</t>
        </is>
      </c>
      <c r="H4" s="13" t="inlineStr">
        <is>
          <t>No. oferta (ord.)</t>
        </is>
      </c>
      <c r="I4" s="13" t="inlineStr">
        <is>
          <t>Valor (ord.)</t>
        </is>
      </c>
      <c r="K4" s="13" t="inlineStr">
        <is>
          <t>Inicio (s)</t>
        </is>
      </c>
      <c r="L4" s="13" t="inlineStr">
        <is>
          <t>Nº ofertas (k)</t>
        </is>
      </c>
      <c r="M4" s="13" t="inlineStr">
        <is>
          <t>Válida</t>
        </is>
      </c>
      <c r="N4" s="13" t="inlineStr">
        <is>
          <t>CV</t>
        </is>
      </c>
      <c r="O4" s="13" t="inlineStr">
        <is>
          <t>Cumple CV</t>
        </is>
      </c>
      <c r="P4" s="13" t="inlineStr">
        <is>
          <t>Clave orden</t>
        </is>
      </c>
      <c r="Q4" s="13" t="inlineStr">
        <is>
          <t>Texto acumulado No.</t>
        </is>
      </c>
    </row>
    <row r="5">
      <c r="A5" t="n">
        <v>1</v>
      </c>
      <c r="B5">
        <f>'MERCADO PH'!AM9</f>
        <v/>
      </c>
      <c r="C5">
        <f>IF(ISNUMBER(B5),'MERCADO PH'!A9,"")</f>
        <v/>
      </c>
      <c r="D5">
        <f>IF(NOT(ISNUMBER(B5)),0,IF(OR(COMBINACIONES_PH!$B$6="NO",$J$3&lt;=COMBINACIONES_PH!$B$5),1,IF(AND(B5&gt;=COMBINACIONES_PH!$B$3,B5&lt;=COMBINACIONES_PH!$B$4),1,0)))</f>
        <v/>
      </c>
      <c r="E5">
        <f>IF(D5=1,B5+A5*0.000000001,"")</f>
        <v/>
      </c>
      <c r="F5">
        <f>IF(D5=1,COUNTIF($E$5:$E$34,"&lt;"&amp;E5)+1,"")</f>
        <v/>
      </c>
      <c r="G5" t="n">
        <v>1</v>
      </c>
      <c r="H5">
        <f>IFERROR(INDEX($C$5:$C$34,MATCH(SMALL($E$5:$E$34,G5),$E$5:$E$34,0)),"")</f>
        <v/>
      </c>
      <c r="I5">
        <f>IFERROR(INDEX($B$5:$B$34,MATCH(SMALL($E$5:$E$34,G5),$E$5:$E$34,0)),"")</f>
        <v/>
      </c>
      <c r="J5">
        <f>I5</f>
        <v/>
      </c>
      <c r="K5" t="n">
        <v>1</v>
      </c>
      <c r="L5" t="n">
        <v>3</v>
      </c>
      <c r="M5">
        <f>IF(AND(L5&gt;=COMBINACIONES_PH!$B$9,K5+L5-1&lt;=$J$2),1,0)</f>
        <v/>
      </c>
      <c r="N5">
        <f>IF(M5=1,_xlfn.STDEV.S(INDEX($J$5:$J$34,K5):INDEX($J$5:$J$34,K5+L5-1))/AVERAGE(INDEX($J$5:$J$34,K5):INDEX($J$5:$J$34,K5+L5-1)),"")</f>
        <v/>
      </c>
      <c r="O5">
        <f>IF(M5=1,IF(N5&lt;=COMBINACIONES_PH!$B$5,1,0),"")</f>
        <v/>
      </c>
      <c r="P5">
        <f>IF(M5=1,IF(O5=1,-L5,100)+N5+ROW()*0.000000000001,"")</f>
        <v/>
      </c>
      <c r="Q5">
        <f>IF(H5="","",H5&amp;"")</f>
        <v/>
      </c>
    </row>
    <row r="6">
      <c r="A6" t="n">
        <v>2</v>
      </c>
      <c r="B6">
        <f>'MERCADO PH'!AM10</f>
        <v/>
      </c>
      <c r="C6">
        <f>IF(ISNUMBER(B6),'MERCADO PH'!A10,"")</f>
        <v/>
      </c>
      <c r="D6">
        <f>IF(NOT(ISNUMBER(B6)),0,IF(OR(COMBINACIONES_PH!$B$6="NO",$J$3&lt;=COMBINACIONES_PH!$B$5),1,IF(AND(B6&gt;=COMBINACIONES_PH!$B$3,B6&lt;=COMBINACIONES_PH!$B$4),1,0)))</f>
        <v/>
      </c>
      <c r="E6">
        <f>IF(D6=1,B6+A6*0.000000001,"")</f>
        <v/>
      </c>
      <c r="F6">
        <f>IF(D6=1,COUNTIF($E$5:$E$34,"&lt;"&amp;E6)+1,"")</f>
        <v/>
      </c>
      <c r="G6" t="n">
        <v>2</v>
      </c>
      <c r="H6">
        <f>IFERROR(INDEX($C$5:$C$34,MATCH(SMALL($E$5:$E$34,G6),$E$5:$E$34,0)),"")</f>
        <v/>
      </c>
      <c r="I6">
        <f>IFERROR(INDEX($B$5:$B$34,MATCH(SMALL($E$5:$E$34,G6),$E$5:$E$34,0)),"")</f>
        <v/>
      </c>
      <c r="J6">
        <f>I6</f>
        <v/>
      </c>
      <c r="K6" t="n">
        <v>1</v>
      </c>
      <c r="L6" t="n">
        <v>4</v>
      </c>
      <c r="M6">
        <f>IF(AND(L6&gt;=COMBINACIONES_PH!$B$9,K6+L6-1&lt;=$J$2),1,0)</f>
        <v/>
      </c>
      <c r="N6">
        <f>IF(M6=1,_xlfn.STDEV.S(INDEX($J$5:$J$34,K6):INDEX($J$5:$J$34,K6+L6-1))/AVERAGE(INDEX($J$5:$J$34,K6):INDEX($J$5:$J$34,K6+L6-1)),"")</f>
        <v/>
      </c>
      <c r="O6">
        <f>IF(M6=1,IF(N6&lt;=COMBINACIONES_PH!$B$5,1,0),"")</f>
        <v/>
      </c>
      <c r="P6">
        <f>IF(M6=1,IF(O6=1,-L6,100)+N6+ROW()*0.000000000001,"")</f>
        <v/>
      </c>
      <c r="Q6">
        <f>IF(H6="","",Q5&amp;", "&amp;H6)</f>
        <v/>
      </c>
    </row>
    <row r="7">
      <c r="A7" t="n">
        <v>3</v>
      </c>
      <c r="B7">
        <f>'MERCADO PH'!AM11</f>
        <v/>
      </c>
      <c r="C7">
        <f>IF(ISNUMBER(B7),'MERCADO PH'!A11,"")</f>
        <v/>
      </c>
      <c r="D7">
        <f>IF(NOT(ISNUMBER(B7)),0,IF(OR(COMBINACIONES_PH!$B$6="NO",$J$3&lt;=COMBINACIONES_PH!$B$5),1,IF(AND(B7&gt;=COMBINACIONES_PH!$B$3,B7&lt;=COMBINACIONES_PH!$B$4),1,0)))</f>
        <v/>
      </c>
      <c r="E7">
        <f>IF(D7=1,B7+A7*0.000000001,"")</f>
        <v/>
      </c>
      <c r="F7">
        <f>IF(D7=1,COUNTIF($E$5:$E$34,"&lt;"&amp;E7)+1,"")</f>
        <v/>
      </c>
      <c r="G7" t="n">
        <v>3</v>
      </c>
      <c r="H7">
        <f>IFERROR(INDEX($C$5:$C$34,MATCH(SMALL($E$5:$E$34,G7),$E$5:$E$34,0)),"")</f>
        <v/>
      </c>
      <c r="I7">
        <f>IFERROR(INDEX($B$5:$B$34,MATCH(SMALL($E$5:$E$34,G7),$E$5:$E$34,0)),"")</f>
        <v/>
      </c>
      <c r="J7">
        <f>I7</f>
        <v/>
      </c>
      <c r="K7" t="n">
        <v>1</v>
      </c>
      <c r="L7" t="n">
        <v>5</v>
      </c>
      <c r="M7">
        <f>IF(AND(L7&gt;=COMBINACIONES_PH!$B$9,K7+L7-1&lt;=$J$2),1,0)</f>
        <v/>
      </c>
      <c r="N7">
        <f>IF(M7=1,_xlfn.STDEV.S(INDEX($J$5:$J$34,K7):INDEX($J$5:$J$34,K7+L7-1))/AVERAGE(INDEX($J$5:$J$34,K7):INDEX($J$5:$J$34,K7+L7-1)),"")</f>
        <v/>
      </c>
      <c r="O7">
        <f>IF(M7=1,IF(N7&lt;=COMBINACIONES_PH!$B$5,1,0),"")</f>
        <v/>
      </c>
      <c r="P7">
        <f>IF(M7=1,IF(O7=1,-L7,100)+N7+ROW()*0.000000000001,"")</f>
        <v/>
      </c>
      <c r="Q7">
        <f>IF(H7="","",Q6&amp;", "&amp;H7)</f>
        <v/>
      </c>
    </row>
    <row r="8">
      <c r="A8" t="n">
        <v>4</v>
      </c>
      <c r="B8">
        <f>'MERCADO PH'!AM12</f>
        <v/>
      </c>
      <c r="C8">
        <f>IF(ISNUMBER(B8),'MERCADO PH'!A12,"")</f>
        <v/>
      </c>
      <c r="D8">
        <f>IF(NOT(ISNUMBER(B8)),0,IF(OR(COMBINACIONES_PH!$B$6="NO",$J$3&lt;=COMBINACIONES_PH!$B$5),1,IF(AND(B8&gt;=COMBINACIONES_PH!$B$3,B8&lt;=COMBINACIONES_PH!$B$4),1,0)))</f>
        <v/>
      </c>
      <c r="E8">
        <f>IF(D8=1,B8+A8*0.000000001,"")</f>
        <v/>
      </c>
      <c r="F8">
        <f>IF(D8=1,COUNTIF($E$5:$E$34,"&lt;"&amp;E8)+1,"")</f>
        <v/>
      </c>
      <c r="G8" t="n">
        <v>4</v>
      </c>
      <c r="H8">
        <f>IFERROR(INDEX($C$5:$C$34,MATCH(SMALL($E$5:$E$34,G8),$E$5:$E$34,0)),"")</f>
        <v/>
      </c>
      <c r="I8">
        <f>IFERROR(INDEX($B$5:$B$34,MATCH(SMALL($E$5:$E$34,G8),$E$5:$E$34,0)),"")</f>
        <v/>
      </c>
      <c r="J8">
        <f>I8</f>
        <v/>
      </c>
      <c r="K8" t="n">
        <v>1</v>
      </c>
      <c r="L8" t="n">
        <v>6</v>
      </c>
      <c r="M8">
        <f>IF(AND(L8&gt;=COMBINACIONES_PH!$B$9,K8+L8-1&lt;=$J$2),1,0)</f>
        <v/>
      </c>
      <c r="N8">
        <f>IF(M8=1,_xlfn.STDEV.S(INDEX($J$5:$J$34,K8):INDEX($J$5:$J$34,K8+L8-1))/AVERAGE(INDEX($J$5:$J$34,K8):INDEX($J$5:$J$34,K8+L8-1)),"")</f>
        <v/>
      </c>
      <c r="O8">
        <f>IF(M8=1,IF(N8&lt;=COMBINACIONES_PH!$B$5,1,0),"")</f>
        <v/>
      </c>
      <c r="P8">
        <f>IF(M8=1,IF(O8=1,-L8,100)+N8+ROW()*0.000000000001,"")</f>
        <v/>
      </c>
      <c r="Q8">
        <f>IF(H8="","",Q7&amp;", "&amp;H8)</f>
        <v/>
      </c>
    </row>
    <row r="9">
      <c r="A9" t="n">
        <v>5</v>
      </c>
      <c r="B9">
        <f>'MERCADO PH'!AM13</f>
        <v/>
      </c>
      <c r="C9">
        <f>IF(ISNUMBER(B9),'MERCADO PH'!A13,"")</f>
        <v/>
      </c>
      <c r="D9">
        <f>IF(NOT(ISNUMBER(B9)),0,IF(OR(COMBINACIONES_PH!$B$6="NO",$J$3&lt;=COMBINACIONES_PH!$B$5),1,IF(AND(B9&gt;=COMBINACIONES_PH!$B$3,B9&lt;=COMBINACIONES_PH!$B$4),1,0)))</f>
        <v/>
      </c>
      <c r="E9">
        <f>IF(D9=1,B9+A9*0.000000001,"")</f>
        <v/>
      </c>
      <c r="F9">
        <f>IF(D9=1,COUNTIF($E$5:$E$34,"&lt;"&amp;E9)+1,"")</f>
        <v/>
      </c>
      <c r="G9" t="n">
        <v>5</v>
      </c>
      <c r="H9">
        <f>IFERROR(INDEX($C$5:$C$34,MATCH(SMALL($E$5:$E$34,G9),$E$5:$E$34,0)),"")</f>
        <v/>
      </c>
      <c r="I9">
        <f>IFERROR(INDEX($B$5:$B$34,MATCH(SMALL($E$5:$E$34,G9),$E$5:$E$34,0)),"")</f>
        <v/>
      </c>
      <c r="J9">
        <f>I9</f>
        <v/>
      </c>
      <c r="K9" t="n">
        <v>1</v>
      </c>
      <c r="L9" t="n">
        <v>7</v>
      </c>
      <c r="M9">
        <f>IF(AND(L9&gt;=COMBINACIONES_PH!$B$9,K9+L9-1&lt;=$J$2),1,0)</f>
        <v/>
      </c>
      <c r="N9">
        <f>IF(M9=1,_xlfn.STDEV.S(INDEX($J$5:$J$34,K9):INDEX($J$5:$J$34,K9+L9-1))/AVERAGE(INDEX($J$5:$J$34,K9):INDEX($J$5:$J$34,K9+L9-1)),"")</f>
        <v/>
      </c>
      <c r="O9">
        <f>IF(M9=1,IF(N9&lt;=COMBINACIONES_PH!$B$5,1,0),"")</f>
        <v/>
      </c>
      <c r="P9">
        <f>IF(M9=1,IF(O9=1,-L9,100)+N9+ROW()*0.000000000001,"")</f>
        <v/>
      </c>
      <c r="Q9">
        <f>IF(H9="","",Q8&amp;", "&amp;H9)</f>
        <v/>
      </c>
    </row>
    <row r="10">
      <c r="A10" t="n">
        <v>6</v>
      </c>
      <c r="B10">
        <f>'MERCADO PH'!AM14</f>
        <v/>
      </c>
      <c r="C10">
        <f>IF(ISNUMBER(B10),'MERCADO PH'!A14,"")</f>
        <v/>
      </c>
      <c r="D10">
        <f>IF(NOT(ISNUMBER(B10)),0,IF(OR(COMBINACIONES_PH!$B$6="NO",$J$3&lt;=COMBINACIONES_PH!$B$5),1,IF(AND(B10&gt;=COMBINACIONES_PH!$B$3,B10&lt;=COMBINACIONES_PH!$B$4),1,0)))</f>
        <v/>
      </c>
      <c r="E10">
        <f>IF(D10=1,B10+A10*0.000000001,"")</f>
        <v/>
      </c>
      <c r="F10">
        <f>IF(D10=1,COUNTIF($E$5:$E$34,"&lt;"&amp;E10)+1,"")</f>
        <v/>
      </c>
      <c r="G10" t="n">
        <v>6</v>
      </c>
      <c r="H10">
        <f>IFERROR(INDEX($C$5:$C$34,MATCH(SMALL($E$5:$E$34,G10),$E$5:$E$34,0)),"")</f>
        <v/>
      </c>
      <c r="I10">
        <f>IFERROR(INDEX($B$5:$B$34,MATCH(SMALL($E$5:$E$34,G10),$E$5:$E$34,0)),"")</f>
        <v/>
      </c>
      <c r="J10">
        <f>I10</f>
        <v/>
      </c>
      <c r="K10" t="n">
        <v>1</v>
      </c>
      <c r="L10" t="n">
        <v>8</v>
      </c>
      <c r="M10">
        <f>IF(AND(L10&gt;=COMBINACIONES_PH!$B$9,K10+L10-1&lt;=$J$2),1,0)</f>
        <v/>
      </c>
      <c r="N10">
        <f>IF(M10=1,_xlfn.STDEV.S(INDEX($J$5:$J$34,K10):INDEX($J$5:$J$34,K10+L10-1))/AVERAGE(INDEX($J$5:$J$34,K10):INDEX($J$5:$J$34,K10+L10-1)),"")</f>
        <v/>
      </c>
      <c r="O10">
        <f>IF(M10=1,IF(N10&lt;=COMBINACIONES_PH!$B$5,1,0),"")</f>
        <v/>
      </c>
      <c r="P10">
        <f>IF(M10=1,IF(O10=1,-L10,100)+N10+ROW()*0.000000000001,"")</f>
        <v/>
      </c>
      <c r="Q10">
        <f>IF(H10="","",Q9&amp;", "&amp;H10)</f>
        <v/>
      </c>
    </row>
    <row r="11">
      <c r="A11" t="n">
        <v>7</v>
      </c>
      <c r="B11">
        <f>'MERCADO PH'!AM15</f>
        <v/>
      </c>
      <c r="C11">
        <f>IF(ISNUMBER(B11),'MERCADO PH'!A15,"")</f>
        <v/>
      </c>
      <c r="D11">
        <f>IF(NOT(ISNUMBER(B11)),0,IF(OR(COMBINACIONES_PH!$B$6="NO",$J$3&lt;=COMBINACIONES_PH!$B$5),1,IF(AND(B11&gt;=COMBINACIONES_PH!$B$3,B11&lt;=COMBINACIONES_PH!$B$4),1,0)))</f>
        <v/>
      </c>
      <c r="E11">
        <f>IF(D11=1,B11+A11*0.000000001,"")</f>
        <v/>
      </c>
      <c r="F11">
        <f>IF(D11=1,COUNTIF($E$5:$E$34,"&lt;"&amp;E11)+1,"")</f>
        <v/>
      </c>
      <c r="G11" t="n">
        <v>7</v>
      </c>
      <c r="H11">
        <f>IFERROR(INDEX($C$5:$C$34,MATCH(SMALL($E$5:$E$34,G11),$E$5:$E$34,0)),"")</f>
        <v/>
      </c>
      <c r="I11">
        <f>IFERROR(INDEX($B$5:$B$34,MATCH(SMALL($E$5:$E$34,G11),$E$5:$E$34,0)),"")</f>
        <v/>
      </c>
      <c r="J11">
        <f>I11</f>
        <v/>
      </c>
      <c r="K11" t="n">
        <v>1</v>
      </c>
      <c r="L11" t="n">
        <v>9</v>
      </c>
      <c r="M11">
        <f>IF(AND(L11&gt;=COMBINACIONES_PH!$B$9,K11+L11-1&lt;=$J$2),1,0)</f>
        <v/>
      </c>
      <c r="N11">
        <f>IF(M11=1,_xlfn.STDEV.S(INDEX($J$5:$J$34,K11):INDEX($J$5:$J$34,K11+L11-1))/AVERAGE(INDEX($J$5:$J$34,K11):INDEX($J$5:$J$34,K11+L11-1)),"")</f>
        <v/>
      </c>
      <c r="O11">
        <f>IF(M11=1,IF(N11&lt;=COMBINACIONES_PH!$B$5,1,0),"")</f>
        <v/>
      </c>
      <c r="P11">
        <f>IF(M11=1,IF(O11=1,-L11,100)+N11+ROW()*0.000000000001,"")</f>
        <v/>
      </c>
      <c r="Q11">
        <f>IF(H11="","",Q10&amp;", "&amp;H11)</f>
        <v/>
      </c>
    </row>
    <row r="12">
      <c r="A12" t="n">
        <v>8</v>
      </c>
      <c r="B12">
        <f>'MERCADO PH'!AM16</f>
        <v/>
      </c>
      <c r="C12">
        <f>IF(ISNUMBER(B12),'MERCADO PH'!A16,"")</f>
        <v/>
      </c>
      <c r="D12">
        <f>IF(NOT(ISNUMBER(B12)),0,IF(OR(COMBINACIONES_PH!$B$6="NO",$J$3&lt;=COMBINACIONES_PH!$B$5),1,IF(AND(B12&gt;=COMBINACIONES_PH!$B$3,B12&lt;=COMBINACIONES_PH!$B$4),1,0)))</f>
        <v/>
      </c>
      <c r="E12">
        <f>IF(D12=1,B12+A12*0.000000001,"")</f>
        <v/>
      </c>
      <c r="F12">
        <f>IF(D12=1,COUNTIF($E$5:$E$34,"&lt;"&amp;E12)+1,"")</f>
        <v/>
      </c>
      <c r="G12" t="n">
        <v>8</v>
      </c>
      <c r="H12">
        <f>IFERROR(INDEX($C$5:$C$34,MATCH(SMALL($E$5:$E$34,G12),$E$5:$E$34,0)),"")</f>
        <v/>
      </c>
      <c r="I12">
        <f>IFERROR(INDEX($B$5:$B$34,MATCH(SMALL($E$5:$E$34,G12),$E$5:$E$34,0)),"")</f>
        <v/>
      </c>
      <c r="J12">
        <f>I12</f>
        <v/>
      </c>
      <c r="K12" t="n">
        <v>1</v>
      </c>
      <c r="L12" t="n">
        <v>10</v>
      </c>
      <c r="M12">
        <f>IF(AND(L12&gt;=COMBINACIONES_PH!$B$9,K12+L12-1&lt;=$J$2),1,0)</f>
        <v/>
      </c>
      <c r="N12">
        <f>IF(M12=1,_xlfn.STDEV.S(INDEX($J$5:$J$34,K12):INDEX($J$5:$J$34,K12+L12-1))/AVERAGE(INDEX($J$5:$J$34,K12):INDEX($J$5:$J$34,K12+L12-1)),"")</f>
        <v/>
      </c>
      <c r="O12">
        <f>IF(M12=1,IF(N12&lt;=COMBINACIONES_PH!$B$5,1,0),"")</f>
        <v/>
      </c>
      <c r="P12">
        <f>IF(M12=1,IF(O12=1,-L12,100)+N12+ROW()*0.000000000001,"")</f>
        <v/>
      </c>
      <c r="Q12">
        <f>IF(H12="","",Q11&amp;", "&amp;H12)</f>
        <v/>
      </c>
    </row>
    <row r="13">
      <c r="A13" t="n">
        <v>9</v>
      </c>
      <c r="B13">
        <f>'MERCADO PH'!AM17</f>
        <v/>
      </c>
      <c r="C13">
        <f>IF(ISNUMBER(B13),'MERCADO PH'!A17,"")</f>
        <v/>
      </c>
      <c r="D13">
        <f>IF(NOT(ISNUMBER(B13)),0,IF(OR(COMBINACIONES_PH!$B$6="NO",$J$3&lt;=COMBINACIONES_PH!$B$5),1,IF(AND(B13&gt;=COMBINACIONES_PH!$B$3,B13&lt;=COMBINACIONES_PH!$B$4),1,0)))</f>
        <v/>
      </c>
      <c r="E13">
        <f>IF(D13=1,B13+A13*0.000000001,"")</f>
        <v/>
      </c>
      <c r="F13">
        <f>IF(D13=1,COUNTIF($E$5:$E$34,"&lt;"&amp;E13)+1,"")</f>
        <v/>
      </c>
      <c r="G13" t="n">
        <v>9</v>
      </c>
      <c r="H13">
        <f>IFERROR(INDEX($C$5:$C$34,MATCH(SMALL($E$5:$E$34,G13),$E$5:$E$34,0)),"")</f>
        <v/>
      </c>
      <c r="I13">
        <f>IFERROR(INDEX($B$5:$B$34,MATCH(SMALL($E$5:$E$34,G13),$E$5:$E$34,0)),"")</f>
        <v/>
      </c>
      <c r="J13">
        <f>I13</f>
        <v/>
      </c>
      <c r="K13" t="n">
        <v>1</v>
      </c>
      <c r="L13" t="n">
        <v>11</v>
      </c>
      <c r="M13">
        <f>IF(AND(L13&gt;=COMBINACIONES_PH!$B$9,K13+L13-1&lt;=$J$2),1,0)</f>
        <v/>
      </c>
      <c r="N13">
        <f>IF(M13=1,_xlfn.STDEV.S(INDEX($J$5:$J$34,K13):INDEX($J$5:$J$34,K13+L13-1))/AVERAGE(INDEX($J$5:$J$34,K13):INDEX($J$5:$J$34,K13+L13-1)),"")</f>
        <v/>
      </c>
      <c r="O13">
        <f>IF(M13=1,IF(N13&lt;=COMBINACIONES_PH!$B$5,1,0),"")</f>
        <v/>
      </c>
      <c r="P13">
        <f>IF(M13=1,IF(O13=1,-L13,100)+N13+ROW()*0.000000000001,"")</f>
        <v/>
      </c>
      <c r="Q13">
        <f>IF(H13="","",Q12&amp;", "&amp;H13)</f>
        <v/>
      </c>
    </row>
    <row r="14">
      <c r="A14" t="n">
        <v>10</v>
      </c>
      <c r="B14">
        <f>'MERCADO PH'!AM18</f>
        <v/>
      </c>
      <c r="C14">
        <f>IF(ISNUMBER(B14),'MERCADO PH'!A18,"")</f>
        <v/>
      </c>
      <c r="D14">
        <f>IF(NOT(ISNUMBER(B14)),0,IF(OR(COMBINACIONES_PH!$B$6="NO",$J$3&lt;=COMBINACIONES_PH!$B$5),1,IF(AND(B14&gt;=COMBINACIONES_PH!$B$3,B14&lt;=COMBINACIONES_PH!$B$4),1,0)))</f>
        <v/>
      </c>
      <c r="E14">
        <f>IF(D14=1,B14+A14*0.000000001,"")</f>
        <v/>
      </c>
      <c r="F14">
        <f>IF(D14=1,COUNTIF($E$5:$E$34,"&lt;"&amp;E14)+1,"")</f>
        <v/>
      </c>
      <c r="G14" t="n">
        <v>10</v>
      </c>
      <c r="H14">
        <f>IFERROR(INDEX($C$5:$C$34,MATCH(SMALL($E$5:$E$34,G14),$E$5:$E$34,0)),"")</f>
        <v/>
      </c>
      <c r="I14">
        <f>IFERROR(INDEX($B$5:$B$34,MATCH(SMALL($E$5:$E$34,G14),$E$5:$E$34,0)),"")</f>
        <v/>
      </c>
      <c r="J14">
        <f>I14</f>
        <v/>
      </c>
      <c r="K14" t="n">
        <v>1</v>
      </c>
      <c r="L14" t="n">
        <v>12</v>
      </c>
      <c r="M14">
        <f>IF(AND(L14&gt;=COMBINACIONES_PH!$B$9,K14+L14-1&lt;=$J$2),1,0)</f>
        <v/>
      </c>
      <c r="N14">
        <f>IF(M14=1,_xlfn.STDEV.S(INDEX($J$5:$J$34,K14):INDEX($J$5:$J$34,K14+L14-1))/AVERAGE(INDEX($J$5:$J$34,K14):INDEX($J$5:$J$34,K14+L14-1)),"")</f>
        <v/>
      </c>
      <c r="O14">
        <f>IF(M14=1,IF(N14&lt;=COMBINACIONES_PH!$B$5,1,0),"")</f>
        <v/>
      </c>
      <c r="P14">
        <f>IF(M14=1,IF(O14=1,-L14,100)+N14+ROW()*0.000000000001,"")</f>
        <v/>
      </c>
      <c r="Q14">
        <f>IF(H14="","",Q13&amp;", "&amp;H14)</f>
        <v/>
      </c>
    </row>
    <row r="15">
      <c r="A15" t="n">
        <v>11</v>
      </c>
      <c r="B15">
        <f>'MERCADO PH'!AM19</f>
        <v/>
      </c>
      <c r="C15">
        <f>IF(ISNUMBER(B15),'MERCADO PH'!A19,"")</f>
        <v/>
      </c>
      <c r="D15">
        <f>IF(NOT(ISNUMBER(B15)),0,IF(OR(COMBINACIONES_PH!$B$6="NO",$J$3&lt;=COMBINACIONES_PH!$B$5),1,IF(AND(B15&gt;=COMBINACIONES_PH!$B$3,B15&lt;=COMBINACIONES_PH!$B$4),1,0)))</f>
        <v/>
      </c>
      <c r="E15">
        <f>IF(D15=1,B15+A15*0.000000001,"")</f>
        <v/>
      </c>
      <c r="F15">
        <f>IF(D15=1,COUNTIF($E$5:$E$34,"&lt;"&amp;E15)+1,"")</f>
        <v/>
      </c>
      <c r="G15" t="n">
        <v>11</v>
      </c>
      <c r="H15">
        <f>IFERROR(INDEX($C$5:$C$34,MATCH(SMALL($E$5:$E$34,G15),$E$5:$E$34,0)),"")</f>
        <v/>
      </c>
      <c r="I15">
        <f>IFERROR(INDEX($B$5:$B$34,MATCH(SMALL($E$5:$E$34,G15),$E$5:$E$34,0)),"")</f>
        <v/>
      </c>
      <c r="J15">
        <f>I15</f>
        <v/>
      </c>
      <c r="K15" t="n">
        <v>1</v>
      </c>
      <c r="L15" t="n">
        <v>13</v>
      </c>
      <c r="M15">
        <f>IF(AND(L15&gt;=COMBINACIONES_PH!$B$9,K15+L15-1&lt;=$J$2),1,0)</f>
        <v/>
      </c>
      <c r="N15">
        <f>IF(M15=1,_xlfn.STDEV.S(INDEX($J$5:$J$34,K15):INDEX($J$5:$J$34,K15+L15-1))/AVERAGE(INDEX($J$5:$J$34,K15):INDEX($J$5:$J$34,K15+L15-1)),"")</f>
        <v/>
      </c>
      <c r="O15">
        <f>IF(M15=1,IF(N15&lt;=COMBINACIONES_PH!$B$5,1,0),"")</f>
        <v/>
      </c>
      <c r="P15">
        <f>IF(M15=1,IF(O15=1,-L15,100)+N15+ROW()*0.000000000001,"")</f>
        <v/>
      </c>
      <c r="Q15">
        <f>IF(H15="","",Q14&amp;", "&amp;H15)</f>
        <v/>
      </c>
    </row>
    <row r="16">
      <c r="A16" t="n">
        <v>12</v>
      </c>
      <c r="B16">
        <f>'MERCADO PH'!AM20</f>
        <v/>
      </c>
      <c r="C16">
        <f>IF(ISNUMBER(B16),'MERCADO PH'!A20,"")</f>
        <v/>
      </c>
      <c r="D16">
        <f>IF(NOT(ISNUMBER(B16)),0,IF(OR(COMBINACIONES_PH!$B$6="NO",$J$3&lt;=COMBINACIONES_PH!$B$5),1,IF(AND(B16&gt;=COMBINACIONES_PH!$B$3,B16&lt;=COMBINACIONES_PH!$B$4),1,0)))</f>
        <v/>
      </c>
      <c r="E16">
        <f>IF(D16=1,B16+A16*0.000000001,"")</f>
        <v/>
      </c>
      <c r="F16">
        <f>IF(D16=1,COUNTIF($E$5:$E$34,"&lt;"&amp;E16)+1,"")</f>
        <v/>
      </c>
      <c r="G16" t="n">
        <v>12</v>
      </c>
      <c r="H16">
        <f>IFERROR(INDEX($C$5:$C$34,MATCH(SMALL($E$5:$E$34,G16),$E$5:$E$34,0)),"")</f>
        <v/>
      </c>
      <c r="I16">
        <f>IFERROR(INDEX($B$5:$B$34,MATCH(SMALL($E$5:$E$34,G16),$E$5:$E$34,0)),"")</f>
        <v/>
      </c>
      <c r="J16">
        <f>I16</f>
        <v/>
      </c>
      <c r="K16" t="n">
        <v>1</v>
      </c>
      <c r="L16" t="n">
        <v>14</v>
      </c>
      <c r="M16">
        <f>IF(AND(L16&gt;=COMBINACIONES_PH!$B$9,K16+L16-1&lt;=$J$2),1,0)</f>
        <v/>
      </c>
      <c r="N16">
        <f>IF(M16=1,_xlfn.STDEV.S(INDEX($J$5:$J$34,K16):INDEX($J$5:$J$34,K16+L16-1))/AVERAGE(INDEX($J$5:$J$34,K16):INDEX($J$5:$J$34,K16+L16-1)),"")</f>
        <v/>
      </c>
      <c r="O16">
        <f>IF(M16=1,IF(N16&lt;=COMBINACIONES_PH!$B$5,1,0),"")</f>
        <v/>
      </c>
      <c r="P16">
        <f>IF(M16=1,IF(O16=1,-L16,100)+N16+ROW()*0.000000000001,"")</f>
        <v/>
      </c>
      <c r="Q16">
        <f>IF(H16="","",Q15&amp;", "&amp;H16)</f>
        <v/>
      </c>
    </row>
    <row r="17">
      <c r="A17" t="n">
        <v>13</v>
      </c>
      <c r="B17">
        <f>'MERCADO PH'!AM21</f>
        <v/>
      </c>
      <c r="C17">
        <f>IF(ISNUMBER(B17),'MERCADO PH'!A21,"")</f>
        <v/>
      </c>
      <c r="D17">
        <f>IF(NOT(ISNUMBER(B17)),0,IF(OR(COMBINACIONES_PH!$B$6="NO",$J$3&lt;=COMBINACIONES_PH!$B$5),1,IF(AND(B17&gt;=COMBINACIONES_PH!$B$3,B17&lt;=COMBINACIONES_PH!$B$4),1,0)))</f>
        <v/>
      </c>
      <c r="E17">
        <f>IF(D17=1,B17+A17*0.000000001,"")</f>
        <v/>
      </c>
      <c r="F17">
        <f>IF(D17=1,COUNTIF($E$5:$E$34,"&lt;"&amp;E17)+1,"")</f>
        <v/>
      </c>
      <c r="G17" t="n">
        <v>13</v>
      </c>
      <c r="H17">
        <f>IFERROR(INDEX($C$5:$C$34,MATCH(SMALL($E$5:$E$34,G17),$E$5:$E$34,0)),"")</f>
        <v/>
      </c>
      <c r="I17">
        <f>IFERROR(INDEX($B$5:$B$34,MATCH(SMALL($E$5:$E$34,G17),$E$5:$E$34,0)),"")</f>
        <v/>
      </c>
      <c r="J17">
        <f>I17</f>
        <v/>
      </c>
      <c r="K17" t="n">
        <v>1</v>
      </c>
      <c r="L17" t="n">
        <v>15</v>
      </c>
      <c r="M17">
        <f>IF(AND(L17&gt;=COMBINACIONES_PH!$B$9,K17+L17-1&lt;=$J$2),1,0)</f>
        <v/>
      </c>
      <c r="N17">
        <f>IF(M17=1,_xlfn.STDEV.S(INDEX($J$5:$J$34,K17):INDEX($J$5:$J$34,K17+L17-1))/AVERAGE(INDEX($J$5:$J$34,K17):INDEX($J$5:$J$34,K17+L17-1)),"")</f>
        <v/>
      </c>
      <c r="O17">
        <f>IF(M17=1,IF(N17&lt;=COMBINACIONES_PH!$B$5,1,0),"")</f>
        <v/>
      </c>
      <c r="P17">
        <f>IF(M17=1,IF(O17=1,-L17,100)+N17+ROW()*0.000000000001,"")</f>
        <v/>
      </c>
      <c r="Q17">
        <f>IF(H17="","",Q16&amp;", "&amp;H17)</f>
        <v/>
      </c>
    </row>
    <row r="18">
      <c r="A18" t="n">
        <v>14</v>
      </c>
      <c r="B18">
        <f>'MERCADO PH'!AM22</f>
        <v/>
      </c>
      <c r="C18">
        <f>IF(ISNUMBER(B18),'MERCADO PH'!A22,"")</f>
        <v/>
      </c>
      <c r="D18">
        <f>IF(NOT(ISNUMBER(B18)),0,IF(OR(COMBINACIONES_PH!$B$6="NO",$J$3&lt;=COMBINACIONES_PH!$B$5),1,IF(AND(B18&gt;=COMBINACIONES_PH!$B$3,B18&lt;=COMBINACIONES_PH!$B$4),1,0)))</f>
        <v/>
      </c>
      <c r="E18">
        <f>IF(D18=1,B18+A18*0.000000001,"")</f>
        <v/>
      </c>
      <c r="F18">
        <f>IF(D18=1,COUNTIF($E$5:$E$34,"&lt;"&amp;E18)+1,"")</f>
        <v/>
      </c>
      <c r="G18" t="n">
        <v>14</v>
      </c>
      <c r="H18">
        <f>IFERROR(INDEX($C$5:$C$34,MATCH(SMALL($E$5:$E$34,G18),$E$5:$E$34,0)),"")</f>
        <v/>
      </c>
      <c r="I18">
        <f>IFERROR(INDEX($B$5:$B$34,MATCH(SMALL($E$5:$E$34,G18),$E$5:$E$34,0)),"")</f>
        <v/>
      </c>
      <c r="J18">
        <f>I18</f>
        <v/>
      </c>
      <c r="K18" t="n">
        <v>1</v>
      </c>
      <c r="L18" t="n">
        <v>16</v>
      </c>
      <c r="M18">
        <f>IF(AND(L18&gt;=COMBINACIONES_PH!$B$9,K18+L18-1&lt;=$J$2),1,0)</f>
        <v/>
      </c>
      <c r="N18">
        <f>IF(M18=1,_xlfn.STDEV.S(INDEX($J$5:$J$34,K18):INDEX($J$5:$J$34,K18+L18-1))/AVERAGE(INDEX($J$5:$J$34,K18):INDEX($J$5:$J$34,K18+L18-1)),"")</f>
        <v/>
      </c>
      <c r="O18">
        <f>IF(M18=1,IF(N18&lt;=COMBINACIONES_PH!$B$5,1,0),"")</f>
        <v/>
      </c>
      <c r="P18">
        <f>IF(M18=1,IF(O18=1,-L18,100)+N18+ROW()*0.000000000001,"")</f>
        <v/>
      </c>
      <c r="Q18">
        <f>IF(H18="","",Q17&amp;", "&amp;H18)</f>
        <v/>
      </c>
    </row>
    <row r="19">
      <c r="A19" t="n">
        <v>15</v>
      </c>
      <c r="B19">
        <f>'MERCADO PH'!AM23</f>
        <v/>
      </c>
      <c r="C19">
        <f>IF(ISNUMBER(B19),'MERCADO PH'!A23,"")</f>
        <v/>
      </c>
      <c r="D19">
        <f>IF(NOT(ISNUMBER(B19)),0,IF(OR(COMBINACIONES_PH!$B$6="NO",$J$3&lt;=COMBINACIONES_PH!$B$5),1,IF(AND(B19&gt;=COMBINACIONES_PH!$B$3,B19&lt;=COMBINACIONES_PH!$B$4),1,0)))</f>
        <v/>
      </c>
      <c r="E19">
        <f>IF(D19=1,B19+A19*0.000000001,"")</f>
        <v/>
      </c>
      <c r="F19">
        <f>IF(D19=1,COUNTIF($E$5:$E$34,"&lt;"&amp;E19)+1,"")</f>
        <v/>
      </c>
      <c r="G19" t="n">
        <v>15</v>
      </c>
      <c r="H19">
        <f>IFERROR(INDEX($C$5:$C$34,MATCH(SMALL($E$5:$E$34,G19),$E$5:$E$34,0)),"")</f>
        <v/>
      </c>
      <c r="I19">
        <f>IFERROR(INDEX($B$5:$B$34,MATCH(SMALL($E$5:$E$34,G19),$E$5:$E$34,0)),"")</f>
        <v/>
      </c>
      <c r="J19">
        <f>I19</f>
        <v/>
      </c>
      <c r="K19" t="n">
        <v>1</v>
      </c>
      <c r="L19" t="n">
        <v>17</v>
      </c>
      <c r="M19">
        <f>IF(AND(L19&gt;=COMBINACIONES_PH!$B$9,K19+L19-1&lt;=$J$2),1,0)</f>
        <v/>
      </c>
      <c r="N19">
        <f>IF(M19=1,_xlfn.STDEV.S(INDEX($J$5:$J$34,K19):INDEX($J$5:$J$34,K19+L19-1))/AVERAGE(INDEX($J$5:$J$34,K19):INDEX($J$5:$J$34,K19+L19-1)),"")</f>
        <v/>
      </c>
      <c r="O19">
        <f>IF(M19=1,IF(N19&lt;=COMBINACIONES_PH!$B$5,1,0),"")</f>
        <v/>
      </c>
      <c r="P19">
        <f>IF(M19=1,IF(O19=1,-L19,100)+N19+ROW()*0.000000000001,"")</f>
        <v/>
      </c>
      <c r="Q19">
        <f>IF(H19="","",Q18&amp;", "&amp;H19)</f>
        <v/>
      </c>
    </row>
    <row r="20">
      <c r="A20" t="n">
        <v>16</v>
      </c>
      <c r="B20">
        <f>'MERCADO PH'!AM24</f>
        <v/>
      </c>
      <c r="C20">
        <f>IF(ISNUMBER(B20),'MERCADO PH'!A24,"")</f>
        <v/>
      </c>
      <c r="D20">
        <f>IF(NOT(ISNUMBER(B20)),0,IF(OR(COMBINACIONES_PH!$B$6="NO",$J$3&lt;=COMBINACIONES_PH!$B$5),1,IF(AND(B20&gt;=COMBINACIONES_PH!$B$3,B20&lt;=COMBINACIONES_PH!$B$4),1,0)))</f>
        <v/>
      </c>
      <c r="E20">
        <f>IF(D20=1,B20+A20*0.000000001,"")</f>
        <v/>
      </c>
      <c r="F20">
        <f>IF(D20=1,COUNTIF($E$5:$E$34,"&lt;"&amp;E20)+1,"")</f>
        <v/>
      </c>
      <c r="G20" t="n">
        <v>16</v>
      </c>
      <c r="H20">
        <f>IFERROR(INDEX($C$5:$C$34,MATCH(SMALL($E$5:$E$34,G20),$E$5:$E$34,0)),"")</f>
        <v/>
      </c>
      <c r="I20">
        <f>IFERROR(INDEX($B$5:$B$34,MATCH(SMALL($E$5:$E$34,G20),$E$5:$E$34,0)),"")</f>
        <v/>
      </c>
      <c r="J20">
        <f>I20</f>
        <v/>
      </c>
      <c r="K20" t="n">
        <v>1</v>
      </c>
      <c r="L20" t="n">
        <v>18</v>
      </c>
      <c r="M20">
        <f>IF(AND(L20&gt;=COMBINACIONES_PH!$B$9,K20+L20-1&lt;=$J$2),1,0)</f>
        <v/>
      </c>
      <c r="N20">
        <f>IF(M20=1,_xlfn.STDEV.S(INDEX($J$5:$J$34,K20):INDEX($J$5:$J$34,K20+L20-1))/AVERAGE(INDEX($J$5:$J$34,K20):INDEX($J$5:$J$34,K20+L20-1)),"")</f>
        <v/>
      </c>
      <c r="O20">
        <f>IF(M20=1,IF(N20&lt;=COMBINACIONES_PH!$B$5,1,0),"")</f>
        <v/>
      </c>
      <c r="P20">
        <f>IF(M20=1,IF(O20=1,-L20,100)+N20+ROW()*0.000000000001,"")</f>
        <v/>
      </c>
      <c r="Q20">
        <f>IF(H20="","",Q19&amp;", "&amp;H20)</f>
        <v/>
      </c>
    </row>
    <row r="21">
      <c r="A21" t="n">
        <v>17</v>
      </c>
      <c r="B21">
        <f>'MERCADO PH'!AM25</f>
        <v/>
      </c>
      <c r="C21">
        <f>IF(ISNUMBER(B21),'MERCADO PH'!A25,"")</f>
        <v/>
      </c>
      <c r="D21">
        <f>IF(NOT(ISNUMBER(B21)),0,IF(OR(COMBINACIONES_PH!$B$6="NO",$J$3&lt;=COMBINACIONES_PH!$B$5),1,IF(AND(B21&gt;=COMBINACIONES_PH!$B$3,B21&lt;=COMBINACIONES_PH!$B$4),1,0)))</f>
        <v/>
      </c>
      <c r="E21">
        <f>IF(D21=1,B21+A21*0.000000001,"")</f>
        <v/>
      </c>
      <c r="F21">
        <f>IF(D21=1,COUNTIF($E$5:$E$34,"&lt;"&amp;E21)+1,"")</f>
        <v/>
      </c>
      <c r="G21" t="n">
        <v>17</v>
      </c>
      <c r="H21">
        <f>IFERROR(INDEX($C$5:$C$34,MATCH(SMALL($E$5:$E$34,G21),$E$5:$E$34,0)),"")</f>
        <v/>
      </c>
      <c r="I21">
        <f>IFERROR(INDEX($B$5:$B$34,MATCH(SMALL($E$5:$E$34,G21),$E$5:$E$34,0)),"")</f>
        <v/>
      </c>
      <c r="J21">
        <f>I21</f>
        <v/>
      </c>
      <c r="K21" t="n">
        <v>1</v>
      </c>
      <c r="L21" t="n">
        <v>19</v>
      </c>
      <c r="M21">
        <f>IF(AND(L21&gt;=COMBINACIONES_PH!$B$9,K21+L21-1&lt;=$J$2),1,0)</f>
        <v/>
      </c>
      <c r="N21">
        <f>IF(M21=1,_xlfn.STDEV.S(INDEX($J$5:$J$34,K21):INDEX($J$5:$J$34,K21+L21-1))/AVERAGE(INDEX($J$5:$J$34,K21):INDEX($J$5:$J$34,K21+L21-1)),"")</f>
        <v/>
      </c>
      <c r="O21">
        <f>IF(M21=1,IF(N21&lt;=COMBINACIONES_PH!$B$5,1,0),"")</f>
        <v/>
      </c>
      <c r="P21">
        <f>IF(M21=1,IF(O21=1,-L21,100)+N21+ROW()*0.000000000001,"")</f>
        <v/>
      </c>
      <c r="Q21">
        <f>IF(H21="","",Q20&amp;", "&amp;H21)</f>
        <v/>
      </c>
    </row>
    <row r="22">
      <c r="A22" t="n">
        <v>18</v>
      </c>
      <c r="B22">
        <f>'MERCADO PH'!AM26</f>
        <v/>
      </c>
      <c r="C22">
        <f>IF(ISNUMBER(B22),'MERCADO PH'!A26,"")</f>
        <v/>
      </c>
      <c r="D22">
        <f>IF(NOT(ISNUMBER(B22)),0,IF(OR(COMBINACIONES_PH!$B$6="NO",$J$3&lt;=COMBINACIONES_PH!$B$5),1,IF(AND(B22&gt;=COMBINACIONES_PH!$B$3,B22&lt;=COMBINACIONES_PH!$B$4),1,0)))</f>
        <v/>
      </c>
      <c r="E22">
        <f>IF(D22=1,B22+A22*0.000000001,"")</f>
        <v/>
      </c>
      <c r="F22">
        <f>IF(D22=1,COUNTIF($E$5:$E$34,"&lt;"&amp;E22)+1,"")</f>
        <v/>
      </c>
      <c r="G22" t="n">
        <v>18</v>
      </c>
      <c r="H22">
        <f>IFERROR(INDEX($C$5:$C$34,MATCH(SMALL($E$5:$E$34,G22),$E$5:$E$34,0)),"")</f>
        <v/>
      </c>
      <c r="I22">
        <f>IFERROR(INDEX($B$5:$B$34,MATCH(SMALL($E$5:$E$34,G22),$E$5:$E$34,0)),"")</f>
        <v/>
      </c>
      <c r="J22">
        <f>I22</f>
        <v/>
      </c>
      <c r="K22" t="n">
        <v>1</v>
      </c>
      <c r="L22" t="n">
        <v>20</v>
      </c>
      <c r="M22">
        <f>IF(AND(L22&gt;=COMBINACIONES_PH!$B$9,K22+L22-1&lt;=$J$2),1,0)</f>
        <v/>
      </c>
      <c r="N22">
        <f>IF(M22=1,_xlfn.STDEV.S(INDEX($J$5:$J$34,K22):INDEX($J$5:$J$34,K22+L22-1))/AVERAGE(INDEX($J$5:$J$34,K22):INDEX($J$5:$J$34,K22+L22-1)),"")</f>
        <v/>
      </c>
      <c r="O22">
        <f>IF(M22=1,IF(N22&lt;=COMBINACIONES_PH!$B$5,1,0),"")</f>
        <v/>
      </c>
      <c r="P22">
        <f>IF(M22=1,IF(O22=1,-L22,100)+N22+ROW()*0.000000000001,"")</f>
        <v/>
      </c>
      <c r="Q22">
        <f>IF(H22="","",Q21&amp;", "&amp;H22)</f>
        <v/>
      </c>
    </row>
    <row r="23">
      <c r="A23" t="n">
        <v>19</v>
      </c>
      <c r="B23">
        <f>'MERCADO PH'!AM27</f>
        <v/>
      </c>
      <c r="C23">
        <f>IF(ISNUMBER(B23),'MERCADO PH'!A27,"")</f>
        <v/>
      </c>
      <c r="D23">
        <f>IF(NOT(ISNUMBER(B23)),0,IF(OR(COMBINACIONES_PH!$B$6="NO",$J$3&lt;=COMBINACIONES_PH!$B$5),1,IF(AND(B23&gt;=COMBINACIONES_PH!$B$3,B23&lt;=COMBINACIONES_PH!$B$4),1,0)))</f>
        <v/>
      </c>
      <c r="E23">
        <f>IF(D23=1,B23+A23*0.000000001,"")</f>
        <v/>
      </c>
      <c r="F23">
        <f>IF(D23=1,COUNTIF($E$5:$E$34,"&lt;"&amp;E23)+1,"")</f>
        <v/>
      </c>
      <c r="G23" t="n">
        <v>19</v>
      </c>
      <c r="H23">
        <f>IFERROR(INDEX($C$5:$C$34,MATCH(SMALL($E$5:$E$34,G23),$E$5:$E$34,0)),"")</f>
        <v/>
      </c>
      <c r="I23">
        <f>IFERROR(INDEX($B$5:$B$34,MATCH(SMALL($E$5:$E$34,G23),$E$5:$E$34,0)),"")</f>
        <v/>
      </c>
      <c r="J23">
        <f>I23</f>
        <v/>
      </c>
      <c r="K23" t="n">
        <v>1</v>
      </c>
      <c r="L23" t="n">
        <v>21</v>
      </c>
      <c r="M23">
        <f>IF(AND(L23&gt;=COMBINACIONES_PH!$B$9,K23+L23-1&lt;=$J$2),1,0)</f>
        <v/>
      </c>
      <c r="N23">
        <f>IF(M23=1,_xlfn.STDEV.S(INDEX($J$5:$J$34,K23):INDEX($J$5:$J$34,K23+L23-1))/AVERAGE(INDEX($J$5:$J$34,K23):INDEX($J$5:$J$34,K23+L23-1)),"")</f>
        <v/>
      </c>
      <c r="O23">
        <f>IF(M23=1,IF(N23&lt;=COMBINACIONES_PH!$B$5,1,0),"")</f>
        <v/>
      </c>
      <c r="P23">
        <f>IF(M23=1,IF(O23=1,-L23,100)+N23+ROW()*0.000000000001,"")</f>
        <v/>
      </c>
      <c r="Q23">
        <f>IF(H23="","",Q22&amp;", "&amp;H23)</f>
        <v/>
      </c>
    </row>
    <row r="24">
      <c r="A24" t="n">
        <v>20</v>
      </c>
      <c r="B24">
        <f>'MERCADO PH'!AM28</f>
        <v/>
      </c>
      <c r="C24">
        <f>IF(ISNUMBER(B24),'MERCADO PH'!A28,"")</f>
        <v/>
      </c>
      <c r="D24">
        <f>IF(NOT(ISNUMBER(B24)),0,IF(OR(COMBINACIONES_PH!$B$6="NO",$J$3&lt;=COMBINACIONES_PH!$B$5),1,IF(AND(B24&gt;=COMBINACIONES_PH!$B$3,B24&lt;=COMBINACIONES_PH!$B$4),1,0)))</f>
        <v/>
      </c>
      <c r="E24">
        <f>IF(D24=1,B24+A24*0.000000001,"")</f>
        <v/>
      </c>
      <c r="F24">
        <f>IF(D24=1,COUNTIF($E$5:$E$34,"&lt;"&amp;E24)+1,"")</f>
        <v/>
      </c>
      <c r="G24" t="n">
        <v>20</v>
      </c>
      <c r="H24">
        <f>IFERROR(INDEX($C$5:$C$34,MATCH(SMALL($E$5:$E$34,G24),$E$5:$E$34,0)),"")</f>
        <v/>
      </c>
      <c r="I24">
        <f>IFERROR(INDEX($B$5:$B$34,MATCH(SMALL($E$5:$E$34,G24),$E$5:$E$34,0)),"")</f>
        <v/>
      </c>
      <c r="J24">
        <f>I24</f>
        <v/>
      </c>
      <c r="K24" t="n">
        <v>1</v>
      </c>
      <c r="L24" t="n">
        <v>22</v>
      </c>
      <c r="M24">
        <f>IF(AND(L24&gt;=COMBINACIONES_PH!$B$9,K24+L24-1&lt;=$J$2),1,0)</f>
        <v/>
      </c>
      <c r="N24">
        <f>IF(M24=1,_xlfn.STDEV.S(INDEX($J$5:$J$34,K24):INDEX($J$5:$J$34,K24+L24-1))/AVERAGE(INDEX($J$5:$J$34,K24):INDEX($J$5:$J$34,K24+L24-1)),"")</f>
        <v/>
      </c>
      <c r="O24">
        <f>IF(M24=1,IF(N24&lt;=COMBINACIONES_PH!$B$5,1,0),"")</f>
        <v/>
      </c>
      <c r="P24">
        <f>IF(M24=1,IF(O24=1,-L24,100)+N24+ROW()*0.000000000001,"")</f>
        <v/>
      </c>
      <c r="Q24">
        <f>IF(H24="","",Q23&amp;", "&amp;H24)</f>
        <v/>
      </c>
    </row>
    <row r="25">
      <c r="A25" t="n">
        <v>21</v>
      </c>
      <c r="B25">
        <f>'MERCADO PH'!AM29</f>
        <v/>
      </c>
      <c r="C25">
        <f>IF(ISNUMBER(B25),'MERCADO PH'!A29,"")</f>
        <v/>
      </c>
      <c r="D25">
        <f>IF(NOT(ISNUMBER(B25)),0,IF(OR(COMBINACIONES_PH!$B$6="NO",$J$3&lt;=COMBINACIONES_PH!$B$5),1,IF(AND(B25&gt;=COMBINACIONES_PH!$B$3,B25&lt;=COMBINACIONES_PH!$B$4),1,0)))</f>
        <v/>
      </c>
      <c r="E25">
        <f>IF(D25=1,B25+A25*0.000000001,"")</f>
        <v/>
      </c>
      <c r="F25">
        <f>IF(D25=1,COUNTIF($E$5:$E$34,"&lt;"&amp;E25)+1,"")</f>
        <v/>
      </c>
      <c r="G25" t="n">
        <v>21</v>
      </c>
      <c r="H25">
        <f>IFERROR(INDEX($C$5:$C$34,MATCH(SMALL($E$5:$E$34,G25),$E$5:$E$34,0)),"")</f>
        <v/>
      </c>
      <c r="I25">
        <f>IFERROR(INDEX($B$5:$B$34,MATCH(SMALL($E$5:$E$34,G25),$E$5:$E$34,0)),"")</f>
        <v/>
      </c>
      <c r="J25">
        <f>I25</f>
        <v/>
      </c>
      <c r="K25" t="n">
        <v>1</v>
      </c>
      <c r="L25" t="n">
        <v>23</v>
      </c>
      <c r="M25">
        <f>IF(AND(L25&gt;=COMBINACIONES_PH!$B$9,K25+L25-1&lt;=$J$2),1,0)</f>
        <v/>
      </c>
      <c r="N25">
        <f>IF(M25=1,_xlfn.STDEV.S(INDEX($J$5:$J$34,K25):INDEX($J$5:$J$34,K25+L25-1))/AVERAGE(INDEX($J$5:$J$34,K25):INDEX($J$5:$J$34,K25+L25-1)),"")</f>
        <v/>
      </c>
      <c r="O25">
        <f>IF(M25=1,IF(N25&lt;=COMBINACIONES_PH!$B$5,1,0),"")</f>
        <v/>
      </c>
      <c r="P25">
        <f>IF(M25=1,IF(O25=1,-L25,100)+N25+ROW()*0.000000000001,"")</f>
        <v/>
      </c>
      <c r="Q25">
        <f>IF(H25="","",Q24&amp;", "&amp;H25)</f>
        <v/>
      </c>
    </row>
    <row r="26">
      <c r="A26" t="n">
        <v>22</v>
      </c>
      <c r="B26">
        <f>'MERCADO PH'!AM30</f>
        <v/>
      </c>
      <c r="C26">
        <f>IF(ISNUMBER(B26),'MERCADO PH'!A30,"")</f>
        <v/>
      </c>
      <c r="D26">
        <f>IF(NOT(ISNUMBER(B26)),0,IF(OR(COMBINACIONES_PH!$B$6="NO",$J$3&lt;=COMBINACIONES_PH!$B$5),1,IF(AND(B26&gt;=COMBINACIONES_PH!$B$3,B26&lt;=COMBINACIONES_PH!$B$4),1,0)))</f>
        <v/>
      </c>
      <c r="E26">
        <f>IF(D26=1,B26+A26*0.000000001,"")</f>
        <v/>
      </c>
      <c r="F26">
        <f>IF(D26=1,COUNTIF($E$5:$E$34,"&lt;"&amp;E26)+1,"")</f>
        <v/>
      </c>
      <c r="G26" t="n">
        <v>22</v>
      </c>
      <c r="H26">
        <f>IFERROR(INDEX($C$5:$C$34,MATCH(SMALL($E$5:$E$34,G26),$E$5:$E$34,0)),"")</f>
        <v/>
      </c>
      <c r="I26">
        <f>IFERROR(INDEX($B$5:$B$34,MATCH(SMALL($E$5:$E$34,G26),$E$5:$E$34,0)),"")</f>
        <v/>
      </c>
      <c r="J26">
        <f>I26</f>
        <v/>
      </c>
      <c r="K26" t="n">
        <v>1</v>
      </c>
      <c r="L26" t="n">
        <v>24</v>
      </c>
      <c r="M26">
        <f>IF(AND(L26&gt;=COMBINACIONES_PH!$B$9,K26+L26-1&lt;=$J$2),1,0)</f>
        <v/>
      </c>
      <c r="N26">
        <f>IF(M26=1,_xlfn.STDEV.S(INDEX($J$5:$J$34,K26):INDEX($J$5:$J$34,K26+L26-1))/AVERAGE(INDEX($J$5:$J$34,K26):INDEX($J$5:$J$34,K26+L26-1)),"")</f>
        <v/>
      </c>
      <c r="O26">
        <f>IF(M26=1,IF(N26&lt;=COMBINACIONES_PH!$B$5,1,0),"")</f>
        <v/>
      </c>
      <c r="P26">
        <f>IF(M26=1,IF(O26=1,-L26,100)+N26+ROW()*0.000000000001,"")</f>
        <v/>
      </c>
      <c r="Q26">
        <f>IF(H26="","",Q25&amp;", "&amp;H26)</f>
        <v/>
      </c>
    </row>
    <row r="27">
      <c r="A27" t="n">
        <v>23</v>
      </c>
      <c r="B27">
        <f>'MERCADO PH'!AM31</f>
        <v/>
      </c>
      <c r="C27">
        <f>IF(ISNUMBER(B27),'MERCADO PH'!A31,"")</f>
        <v/>
      </c>
      <c r="D27">
        <f>IF(NOT(ISNUMBER(B27)),0,IF(OR(COMBINACIONES_PH!$B$6="NO",$J$3&lt;=COMBINACIONES_PH!$B$5),1,IF(AND(B27&gt;=COMBINACIONES_PH!$B$3,B27&lt;=COMBINACIONES_PH!$B$4),1,0)))</f>
        <v/>
      </c>
      <c r="E27">
        <f>IF(D27=1,B27+A27*0.000000001,"")</f>
        <v/>
      </c>
      <c r="F27">
        <f>IF(D27=1,COUNTIF($E$5:$E$34,"&lt;"&amp;E27)+1,"")</f>
        <v/>
      </c>
      <c r="G27" t="n">
        <v>23</v>
      </c>
      <c r="H27">
        <f>IFERROR(INDEX($C$5:$C$34,MATCH(SMALL($E$5:$E$34,G27),$E$5:$E$34,0)),"")</f>
        <v/>
      </c>
      <c r="I27">
        <f>IFERROR(INDEX($B$5:$B$34,MATCH(SMALL($E$5:$E$34,G27),$E$5:$E$34,0)),"")</f>
        <v/>
      </c>
      <c r="J27">
        <f>I27</f>
        <v/>
      </c>
      <c r="K27" t="n">
        <v>1</v>
      </c>
      <c r="L27" t="n">
        <v>25</v>
      </c>
      <c r="M27">
        <f>IF(AND(L27&gt;=COMBINACIONES_PH!$B$9,K27+L27-1&lt;=$J$2),1,0)</f>
        <v/>
      </c>
      <c r="N27">
        <f>IF(M27=1,_xlfn.STDEV.S(INDEX($J$5:$J$34,K27):INDEX($J$5:$J$34,K27+L27-1))/AVERAGE(INDEX($J$5:$J$34,K27):INDEX($J$5:$J$34,K27+L27-1)),"")</f>
        <v/>
      </c>
      <c r="O27">
        <f>IF(M27=1,IF(N27&lt;=COMBINACIONES_PH!$B$5,1,0),"")</f>
        <v/>
      </c>
      <c r="P27">
        <f>IF(M27=1,IF(O27=1,-L27,100)+N27+ROW()*0.000000000001,"")</f>
        <v/>
      </c>
      <c r="Q27">
        <f>IF(H27="","",Q26&amp;", "&amp;H27)</f>
        <v/>
      </c>
    </row>
    <row r="28">
      <c r="A28" t="n">
        <v>24</v>
      </c>
      <c r="B28">
        <f>'MERCADO PH'!AM32</f>
        <v/>
      </c>
      <c r="C28">
        <f>IF(ISNUMBER(B28),'MERCADO PH'!A32,"")</f>
        <v/>
      </c>
      <c r="D28">
        <f>IF(NOT(ISNUMBER(B28)),0,IF(OR(COMBINACIONES_PH!$B$6="NO",$J$3&lt;=COMBINACIONES_PH!$B$5),1,IF(AND(B28&gt;=COMBINACIONES_PH!$B$3,B28&lt;=COMBINACIONES_PH!$B$4),1,0)))</f>
        <v/>
      </c>
      <c r="E28">
        <f>IF(D28=1,B28+A28*0.000000001,"")</f>
        <v/>
      </c>
      <c r="F28">
        <f>IF(D28=1,COUNTIF($E$5:$E$34,"&lt;"&amp;E28)+1,"")</f>
        <v/>
      </c>
      <c r="G28" t="n">
        <v>24</v>
      </c>
      <c r="H28">
        <f>IFERROR(INDEX($C$5:$C$34,MATCH(SMALL($E$5:$E$34,G28),$E$5:$E$34,0)),"")</f>
        <v/>
      </c>
      <c r="I28">
        <f>IFERROR(INDEX($B$5:$B$34,MATCH(SMALL($E$5:$E$34,G28),$E$5:$E$34,0)),"")</f>
        <v/>
      </c>
      <c r="J28">
        <f>I28</f>
        <v/>
      </c>
      <c r="K28" t="n">
        <v>1</v>
      </c>
      <c r="L28" t="n">
        <v>26</v>
      </c>
      <c r="M28">
        <f>IF(AND(L28&gt;=COMBINACIONES_PH!$B$9,K28+L28-1&lt;=$J$2),1,0)</f>
        <v/>
      </c>
      <c r="N28">
        <f>IF(M28=1,_xlfn.STDEV.S(INDEX($J$5:$J$34,K28):INDEX($J$5:$J$34,K28+L28-1))/AVERAGE(INDEX($J$5:$J$34,K28):INDEX($J$5:$J$34,K28+L28-1)),"")</f>
        <v/>
      </c>
      <c r="O28">
        <f>IF(M28=1,IF(N28&lt;=COMBINACIONES_PH!$B$5,1,0),"")</f>
        <v/>
      </c>
      <c r="P28">
        <f>IF(M28=1,IF(O28=1,-L28,100)+N28+ROW()*0.000000000001,"")</f>
        <v/>
      </c>
      <c r="Q28">
        <f>IF(H28="","",Q27&amp;", "&amp;H28)</f>
        <v/>
      </c>
    </row>
    <row r="29">
      <c r="A29" t="n">
        <v>25</v>
      </c>
      <c r="B29">
        <f>'MERCADO PH'!AM33</f>
        <v/>
      </c>
      <c r="C29">
        <f>IF(ISNUMBER(B29),'MERCADO PH'!A33,"")</f>
        <v/>
      </c>
      <c r="D29">
        <f>IF(NOT(ISNUMBER(B29)),0,IF(OR(COMBINACIONES_PH!$B$6="NO",$J$3&lt;=COMBINACIONES_PH!$B$5),1,IF(AND(B29&gt;=COMBINACIONES_PH!$B$3,B29&lt;=COMBINACIONES_PH!$B$4),1,0)))</f>
        <v/>
      </c>
      <c r="E29">
        <f>IF(D29=1,B29+A29*0.000000001,"")</f>
        <v/>
      </c>
      <c r="F29">
        <f>IF(D29=1,COUNTIF($E$5:$E$34,"&lt;"&amp;E29)+1,"")</f>
        <v/>
      </c>
      <c r="G29" t="n">
        <v>25</v>
      </c>
      <c r="H29">
        <f>IFERROR(INDEX($C$5:$C$34,MATCH(SMALL($E$5:$E$34,G29),$E$5:$E$34,0)),"")</f>
        <v/>
      </c>
      <c r="I29">
        <f>IFERROR(INDEX($B$5:$B$34,MATCH(SMALL($E$5:$E$34,G29),$E$5:$E$34,0)),"")</f>
        <v/>
      </c>
      <c r="J29">
        <f>I29</f>
        <v/>
      </c>
      <c r="K29" t="n">
        <v>1</v>
      </c>
      <c r="L29" t="n">
        <v>27</v>
      </c>
      <c r="M29">
        <f>IF(AND(L29&gt;=COMBINACIONES_PH!$B$9,K29+L29-1&lt;=$J$2),1,0)</f>
        <v/>
      </c>
      <c r="N29">
        <f>IF(M29=1,_xlfn.STDEV.S(INDEX($J$5:$J$34,K29):INDEX($J$5:$J$34,K29+L29-1))/AVERAGE(INDEX($J$5:$J$34,K29):INDEX($J$5:$J$34,K29+L29-1)),"")</f>
        <v/>
      </c>
      <c r="O29">
        <f>IF(M29=1,IF(N29&lt;=COMBINACIONES_PH!$B$5,1,0),"")</f>
        <v/>
      </c>
      <c r="P29">
        <f>IF(M29=1,IF(O29=1,-L29,100)+N29+ROW()*0.000000000001,"")</f>
        <v/>
      </c>
      <c r="Q29">
        <f>IF(H29="","",Q28&amp;", "&amp;H29)</f>
        <v/>
      </c>
    </row>
    <row r="30">
      <c r="A30" t="n">
        <v>26</v>
      </c>
      <c r="B30">
        <f>'MERCADO PH'!AM34</f>
        <v/>
      </c>
      <c r="C30">
        <f>IF(ISNUMBER(B30),'MERCADO PH'!A34,"")</f>
        <v/>
      </c>
      <c r="D30">
        <f>IF(NOT(ISNUMBER(B30)),0,IF(OR(COMBINACIONES_PH!$B$6="NO",$J$3&lt;=COMBINACIONES_PH!$B$5),1,IF(AND(B30&gt;=COMBINACIONES_PH!$B$3,B30&lt;=COMBINACIONES_PH!$B$4),1,0)))</f>
        <v/>
      </c>
      <c r="E30">
        <f>IF(D30=1,B30+A30*0.000000001,"")</f>
        <v/>
      </c>
      <c r="F30">
        <f>IF(D30=1,COUNTIF($E$5:$E$34,"&lt;"&amp;E30)+1,"")</f>
        <v/>
      </c>
      <c r="G30" t="n">
        <v>26</v>
      </c>
      <c r="H30">
        <f>IFERROR(INDEX($C$5:$C$34,MATCH(SMALL($E$5:$E$34,G30),$E$5:$E$34,0)),"")</f>
        <v/>
      </c>
      <c r="I30">
        <f>IFERROR(INDEX($B$5:$B$34,MATCH(SMALL($E$5:$E$34,G30),$E$5:$E$34,0)),"")</f>
        <v/>
      </c>
      <c r="J30">
        <f>I30</f>
        <v/>
      </c>
      <c r="K30" t="n">
        <v>1</v>
      </c>
      <c r="L30" t="n">
        <v>28</v>
      </c>
      <c r="M30">
        <f>IF(AND(L30&gt;=COMBINACIONES_PH!$B$9,K30+L30-1&lt;=$J$2),1,0)</f>
        <v/>
      </c>
      <c r="N30">
        <f>IF(M30=1,_xlfn.STDEV.S(INDEX($J$5:$J$34,K30):INDEX($J$5:$J$34,K30+L30-1))/AVERAGE(INDEX($J$5:$J$34,K30):INDEX($J$5:$J$34,K30+L30-1)),"")</f>
        <v/>
      </c>
      <c r="O30">
        <f>IF(M30=1,IF(N30&lt;=COMBINACIONES_PH!$B$5,1,0),"")</f>
        <v/>
      </c>
      <c r="P30">
        <f>IF(M30=1,IF(O30=1,-L30,100)+N30+ROW()*0.000000000001,"")</f>
        <v/>
      </c>
      <c r="Q30">
        <f>IF(H30="","",Q29&amp;", "&amp;H30)</f>
        <v/>
      </c>
    </row>
    <row r="31">
      <c r="A31" t="n">
        <v>27</v>
      </c>
      <c r="B31">
        <f>'MERCADO PH'!AM35</f>
        <v/>
      </c>
      <c r="C31">
        <f>IF(ISNUMBER(B31),'MERCADO PH'!A35,"")</f>
        <v/>
      </c>
      <c r="D31">
        <f>IF(NOT(ISNUMBER(B31)),0,IF(OR(COMBINACIONES_PH!$B$6="NO",$J$3&lt;=COMBINACIONES_PH!$B$5),1,IF(AND(B31&gt;=COMBINACIONES_PH!$B$3,B31&lt;=COMBINACIONES_PH!$B$4),1,0)))</f>
        <v/>
      </c>
      <c r="E31">
        <f>IF(D31=1,B31+A31*0.000000001,"")</f>
        <v/>
      </c>
      <c r="F31">
        <f>IF(D31=1,COUNTIF($E$5:$E$34,"&lt;"&amp;E31)+1,"")</f>
        <v/>
      </c>
      <c r="G31" t="n">
        <v>27</v>
      </c>
      <c r="H31">
        <f>IFERROR(INDEX($C$5:$C$34,MATCH(SMALL($E$5:$E$34,G31),$E$5:$E$34,0)),"")</f>
        <v/>
      </c>
      <c r="I31">
        <f>IFERROR(INDEX($B$5:$B$34,MATCH(SMALL($E$5:$E$34,G31),$E$5:$E$34,0)),"")</f>
        <v/>
      </c>
      <c r="J31">
        <f>I31</f>
        <v/>
      </c>
      <c r="K31" t="n">
        <v>1</v>
      </c>
      <c r="L31" t="n">
        <v>29</v>
      </c>
      <c r="M31">
        <f>IF(AND(L31&gt;=COMBINACIONES_PH!$B$9,K31+L31-1&lt;=$J$2),1,0)</f>
        <v/>
      </c>
      <c r="N31">
        <f>IF(M31=1,_xlfn.STDEV.S(INDEX($J$5:$J$34,K31):INDEX($J$5:$J$34,K31+L31-1))/AVERAGE(INDEX($J$5:$J$34,K31):INDEX($J$5:$J$34,K31+L31-1)),"")</f>
        <v/>
      </c>
      <c r="O31">
        <f>IF(M31=1,IF(N31&lt;=COMBINACIONES_PH!$B$5,1,0),"")</f>
        <v/>
      </c>
      <c r="P31">
        <f>IF(M31=1,IF(O31=1,-L31,100)+N31+ROW()*0.000000000001,"")</f>
        <v/>
      </c>
      <c r="Q31">
        <f>IF(H31="","",Q30&amp;", "&amp;H31)</f>
        <v/>
      </c>
    </row>
    <row r="32">
      <c r="A32" t="n">
        <v>28</v>
      </c>
      <c r="B32">
        <f>'MERCADO PH'!AM36</f>
        <v/>
      </c>
      <c r="C32">
        <f>IF(ISNUMBER(B32),'MERCADO PH'!A36,"")</f>
        <v/>
      </c>
      <c r="D32">
        <f>IF(NOT(ISNUMBER(B32)),0,IF(OR(COMBINACIONES_PH!$B$6="NO",$J$3&lt;=COMBINACIONES_PH!$B$5),1,IF(AND(B32&gt;=COMBINACIONES_PH!$B$3,B32&lt;=COMBINACIONES_PH!$B$4),1,0)))</f>
        <v/>
      </c>
      <c r="E32">
        <f>IF(D32=1,B32+A32*0.000000001,"")</f>
        <v/>
      </c>
      <c r="F32">
        <f>IF(D32=1,COUNTIF($E$5:$E$34,"&lt;"&amp;E32)+1,"")</f>
        <v/>
      </c>
      <c r="G32" t="n">
        <v>28</v>
      </c>
      <c r="H32">
        <f>IFERROR(INDEX($C$5:$C$34,MATCH(SMALL($E$5:$E$34,G32),$E$5:$E$34,0)),"")</f>
        <v/>
      </c>
      <c r="I32">
        <f>IFERROR(INDEX($B$5:$B$34,MATCH(SMALL($E$5:$E$34,G32),$E$5:$E$34,0)),"")</f>
        <v/>
      </c>
      <c r="J32">
        <f>I32</f>
        <v/>
      </c>
      <c r="K32" t="n">
        <v>1</v>
      </c>
      <c r="L32" t="n">
        <v>30</v>
      </c>
      <c r="M32">
        <f>IF(AND(L32&gt;=COMBINACIONES_PH!$B$9,K32+L32-1&lt;=$J$2),1,0)</f>
        <v/>
      </c>
      <c r="N32">
        <f>IF(M32=1,_xlfn.STDEV.S(INDEX($J$5:$J$34,K32):INDEX($J$5:$J$34,K32+L32-1))/AVERAGE(INDEX($J$5:$J$34,K32):INDEX($J$5:$J$34,K32+L32-1)),"")</f>
        <v/>
      </c>
      <c r="O32">
        <f>IF(M32=1,IF(N32&lt;=COMBINACIONES_PH!$B$5,1,0),"")</f>
        <v/>
      </c>
      <c r="P32">
        <f>IF(M32=1,IF(O32=1,-L32,100)+N32+ROW()*0.000000000001,"")</f>
        <v/>
      </c>
      <c r="Q32">
        <f>IF(H32="","",Q31&amp;", "&amp;H32)</f>
        <v/>
      </c>
    </row>
    <row r="33">
      <c r="A33" t="n">
        <v>29</v>
      </c>
      <c r="B33">
        <f>'MERCADO PH'!AM37</f>
        <v/>
      </c>
      <c r="C33">
        <f>IF(ISNUMBER(B33),'MERCADO PH'!A37,"")</f>
        <v/>
      </c>
      <c r="D33">
        <f>IF(NOT(ISNUMBER(B33)),0,IF(OR(COMBINACIONES_PH!$B$6="NO",$J$3&lt;=COMBINACIONES_PH!$B$5),1,IF(AND(B33&gt;=COMBINACIONES_PH!$B$3,B33&lt;=COMBINACIONES_PH!$B$4),1,0)))</f>
        <v/>
      </c>
      <c r="E33">
        <f>IF(D33=1,B33+A33*0.000000001,"")</f>
        <v/>
      </c>
      <c r="F33">
        <f>IF(D33=1,COUNTIF($E$5:$E$34,"&lt;"&amp;E33)+1,"")</f>
        <v/>
      </c>
      <c r="G33" t="n">
        <v>29</v>
      </c>
      <c r="H33">
        <f>IFERROR(INDEX($C$5:$C$34,MATCH(SMALL($E$5:$E$34,G33),$E$5:$E$34,0)),"")</f>
        <v/>
      </c>
      <c r="I33">
        <f>IFERROR(INDEX($B$5:$B$34,MATCH(SMALL($E$5:$E$34,G33),$E$5:$E$34,0)),"")</f>
        <v/>
      </c>
      <c r="J33">
        <f>I33</f>
        <v/>
      </c>
      <c r="K33" t="n">
        <v>2</v>
      </c>
      <c r="L33" t="n">
        <v>3</v>
      </c>
      <c r="M33">
        <f>IF(AND(L33&gt;=COMBINACIONES_PH!$B$9,K33+L33-1&lt;=$J$2),1,0)</f>
        <v/>
      </c>
      <c r="N33">
        <f>IF(M33=1,_xlfn.STDEV.S(INDEX($J$5:$J$34,K33):INDEX($J$5:$J$34,K33+L33-1))/AVERAGE(INDEX($J$5:$J$34,K33):INDEX($J$5:$J$34,K33+L33-1)),"")</f>
        <v/>
      </c>
      <c r="O33">
        <f>IF(M33=1,IF(N33&lt;=COMBINACIONES_PH!$B$5,1,0),"")</f>
        <v/>
      </c>
      <c r="P33">
        <f>IF(M33=1,IF(O33=1,-L33,100)+N33+ROW()*0.000000000001,"")</f>
        <v/>
      </c>
      <c r="Q33">
        <f>IF(H33="","",Q32&amp;", "&amp;H33)</f>
        <v/>
      </c>
    </row>
    <row r="34">
      <c r="A34" t="n">
        <v>30</v>
      </c>
      <c r="B34">
        <f>'MERCADO PH'!AM38</f>
        <v/>
      </c>
      <c r="C34">
        <f>IF(ISNUMBER(B34),'MERCADO PH'!A38,"")</f>
        <v/>
      </c>
      <c r="D34">
        <f>IF(NOT(ISNUMBER(B34)),0,IF(OR(COMBINACIONES_PH!$B$6="NO",$J$3&lt;=COMBINACIONES_PH!$B$5),1,IF(AND(B34&gt;=COMBINACIONES_PH!$B$3,B34&lt;=COMBINACIONES_PH!$B$4),1,0)))</f>
        <v/>
      </c>
      <c r="E34">
        <f>IF(D34=1,B34+A34*0.000000001,"")</f>
        <v/>
      </c>
      <c r="F34">
        <f>IF(D34=1,COUNTIF($E$5:$E$34,"&lt;"&amp;E34)+1,"")</f>
        <v/>
      </c>
      <c r="G34" t="n">
        <v>30</v>
      </c>
      <c r="H34">
        <f>IFERROR(INDEX($C$5:$C$34,MATCH(SMALL($E$5:$E$34,G34),$E$5:$E$34,0)),"")</f>
        <v/>
      </c>
      <c r="I34">
        <f>IFERROR(INDEX($B$5:$B$34,MATCH(SMALL($E$5:$E$34,G34),$E$5:$E$34,0)),"")</f>
        <v/>
      </c>
      <c r="J34">
        <f>I34</f>
        <v/>
      </c>
      <c r="K34" t="n">
        <v>2</v>
      </c>
      <c r="L34" t="n">
        <v>4</v>
      </c>
      <c r="M34">
        <f>IF(AND(L34&gt;=COMBINACIONES_PH!$B$9,K34+L34-1&lt;=$J$2),1,0)</f>
        <v/>
      </c>
      <c r="N34">
        <f>IF(M34=1,_xlfn.STDEV.S(INDEX($J$5:$J$34,K34):INDEX($J$5:$J$34,K34+L34-1))/AVERAGE(INDEX($J$5:$J$34,K34):INDEX($J$5:$J$34,K34+L34-1)),"")</f>
        <v/>
      </c>
      <c r="O34">
        <f>IF(M34=1,IF(N34&lt;=COMBINACIONES_PH!$B$5,1,0),"")</f>
        <v/>
      </c>
      <c r="P34">
        <f>IF(M34=1,IF(O34=1,-L34,100)+N34+ROW()*0.000000000001,"")</f>
        <v/>
      </c>
      <c r="Q34">
        <f>IF(H34="","",Q33&amp;", "&amp;H34)</f>
        <v/>
      </c>
    </row>
    <row r="35">
      <c r="K35" t="n">
        <v>2</v>
      </c>
      <c r="L35" t="n">
        <v>5</v>
      </c>
      <c r="M35">
        <f>IF(AND(L35&gt;=COMBINACIONES_PH!$B$9,K35+L35-1&lt;=$J$2),1,0)</f>
        <v/>
      </c>
      <c r="N35">
        <f>IF(M35=1,_xlfn.STDEV.S(INDEX($J$5:$J$34,K35):INDEX($J$5:$J$34,K35+L35-1))/AVERAGE(INDEX($J$5:$J$34,K35):INDEX($J$5:$J$34,K35+L35-1)),"")</f>
        <v/>
      </c>
      <c r="O35">
        <f>IF(M35=1,IF(N35&lt;=COMBINACIONES_PH!$B$5,1,0),"")</f>
        <v/>
      </c>
      <c r="P35">
        <f>IF(M35=1,IF(O35=1,-L35,100)+N35+ROW()*0.000000000001,"")</f>
        <v/>
      </c>
    </row>
    <row r="36">
      <c r="K36" t="n">
        <v>2</v>
      </c>
      <c r="L36" t="n">
        <v>6</v>
      </c>
      <c r="M36">
        <f>IF(AND(L36&gt;=COMBINACIONES_PH!$B$9,K36+L36-1&lt;=$J$2),1,0)</f>
        <v/>
      </c>
      <c r="N36">
        <f>IF(M36=1,_xlfn.STDEV.S(INDEX($J$5:$J$34,K36):INDEX($J$5:$J$34,K36+L36-1))/AVERAGE(INDEX($J$5:$J$34,K36):INDEX($J$5:$J$34,K36+L36-1)),"")</f>
        <v/>
      </c>
      <c r="O36">
        <f>IF(M36=1,IF(N36&lt;=COMBINACIONES_PH!$B$5,1,0),"")</f>
        <v/>
      </c>
      <c r="P36">
        <f>IF(M36=1,IF(O36=1,-L36,100)+N36+ROW()*0.000000000001,"")</f>
        <v/>
      </c>
    </row>
    <row r="37">
      <c r="K37" t="n">
        <v>2</v>
      </c>
      <c r="L37" t="n">
        <v>7</v>
      </c>
      <c r="M37">
        <f>IF(AND(L37&gt;=COMBINACIONES_PH!$B$9,K37+L37-1&lt;=$J$2),1,0)</f>
        <v/>
      </c>
      <c r="N37">
        <f>IF(M37=1,_xlfn.STDEV.S(INDEX($J$5:$J$34,K37):INDEX($J$5:$J$34,K37+L37-1))/AVERAGE(INDEX($J$5:$J$34,K37):INDEX($J$5:$J$34,K37+L37-1)),"")</f>
        <v/>
      </c>
      <c r="O37">
        <f>IF(M37=1,IF(N37&lt;=COMBINACIONES_PH!$B$5,1,0),"")</f>
        <v/>
      </c>
      <c r="P37">
        <f>IF(M37=1,IF(O37=1,-L37,100)+N37+ROW()*0.000000000001,"")</f>
        <v/>
      </c>
    </row>
    <row r="38">
      <c r="K38" t="n">
        <v>2</v>
      </c>
      <c r="L38" t="n">
        <v>8</v>
      </c>
      <c r="M38">
        <f>IF(AND(L38&gt;=COMBINACIONES_PH!$B$9,K38+L38-1&lt;=$J$2),1,0)</f>
        <v/>
      </c>
      <c r="N38">
        <f>IF(M38=1,_xlfn.STDEV.S(INDEX($J$5:$J$34,K38):INDEX($J$5:$J$34,K38+L38-1))/AVERAGE(INDEX($J$5:$J$34,K38):INDEX($J$5:$J$34,K38+L38-1)),"")</f>
        <v/>
      </c>
      <c r="O38">
        <f>IF(M38=1,IF(N38&lt;=COMBINACIONES_PH!$B$5,1,0),"")</f>
        <v/>
      </c>
      <c r="P38">
        <f>IF(M38=1,IF(O38=1,-L38,100)+N38+ROW()*0.000000000001,"")</f>
        <v/>
      </c>
    </row>
    <row r="39">
      <c r="K39" t="n">
        <v>2</v>
      </c>
      <c r="L39" t="n">
        <v>9</v>
      </c>
      <c r="M39">
        <f>IF(AND(L39&gt;=COMBINACIONES_PH!$B$9,K39+L39-1&lt;=$J$2),1,0)</f>
        <v/>
      </c>
      <c r="N39">
        <f>IF(M39=1,_xlfn.STDEV.S(INDEX($J$5:$J$34,K39):INDEX($J$5:$J$34,K39+L39-1))/AVERAGE(INDEX($J$5:$J$34,K39):INDEX($J$5:$J$34,K39+L39-1)),"")</f>
        <v/>
      </c>
      <c r="O39">
        <f>IF(M39=1,IF(N39&lt;=COMBINACIONES_PH!$B$5,1,0),"")</f>
        <v/>
      </c>
      <c r="P39">
        <f>IF(M39=1,IF(O39=1,-L39,100)+N39+ROW()*0.000000000001,"")</f>
        <v/>
      </c>
    </row>
    <row r="40">
      <c r="K40" t="n">
        <v>2</v>
      </c>
      <c r="L40" t="n">
        <v>10</v>
      </c>
      <c r="M40">
        <f>IF(AND(L40&gt;=COMBINACIONES_PH!$B$9,K40+L40-1&lt;=$J$2),1,0)</f>
        <v/>
      </c>
      <c r="N40">
        <f>IF(M40=1,_xlfn.STDEV.S(INDEX($J$5:$J$34,K40):INDEX($J$5:$J$34,K40+L40-1))/AVERAGE(INDEX($J$5:$J$34,K40):INDEX($J$5:$J$34,K40+L40-1)),"")</f>
        <v/>
      </c>
      <c r="O40">
        <f>IF(M40=1,IF(N40&lt;=COMBINACIONES_PH!$B$5,1,0),"")</f>
        <v/>
      </c>
      <c r="P40">
        <f>IF(M40=1,IF(O40=1,-L40,100)+N40+ROW()*0.000000000001,"")</f>
        <v/>
      </c>
    </row>
    <row r="41">
      <c r="K41" t="n">
        <v>2</v>
      </c>
      <c r="L41" t="n">
        <v>11</v>
      </c>
      <c r="M41">
        <f>IF(AND(L41&gt;=COMBINACIONES_PH!$B$9,K41+L41-1&lt;=$J$2),1,0)</f>
        <v/>
      </c>
      <c r="N41">
        <f>IF(M41=1,_xlfn.STDEV.S(INDEX($J$5:$J$34,K41):INDEX($J$5:$J$34,K41+L41-1))/AVERAGE(INDEX($J$5:$J$34,K41):INDEX($J$5:$J$34,K41+L41-1)),"")</f>
        <v/>
      </c>
      <c r="O41">
        <f>IF(M41=1,IF(N41&lt;=COMBINACIONES_PH!$B$5,1,0),"")</f>
        <v/>
      </c>
      <c r="P41">
        <f>IF(M41=1,IF(O41=1,-L41,100)+N41+ROW()*0.000000000001,"")</f>
        <v/>
      </c>
    </row>
    <row r="42">
      <c r="K42" t="n">
        <v>2</v>
      </c>
      <c r="L42" t="n">
        <v>12</v>
      </c>
      <c r="M42">
        <f>IF(AND(L42&gt;=COMBINACIONES_PH!$B$9,K42+L42-1&lt;=$J$2),1,0)</f>
        <v/>
      </c>
      <c r="N42">
        <f>IF(M42=1,_xlfn.STDEV.S(INDEX($J$5:$J$34,K42):INDEX($J$5:$J$34,K42+L42-1))/AVERAGE(INDEX($J$5:$J$34,K42):INDEX($J$5:$J$34,K42+L42-1)),"")</f>
        <v/>
      </c>
      <c r="O42">
        <f>IF(M42=1,IF(N42&lt;=COMBINACIONES_PH!$B$5,1,0),"")</f>
        <v/>
      </c>
      <c r="P42">
        <f>IF(M42=1,IF(O42=1,-L42,100)+N42+ROW()*0.000000000001,"")</f>
        <v/>
      </c>
    </row>
    <row r="43">
      <c r="K43" t="n">
        <v>2</v>
      </c>
      <c r="L43" t="n">
        <v>13</v>
      </c>
      <c r="M43">
        <f>IF(AND(L43&gt;=COMBINACIONES_PH!$B$9,K43+L43-1&lt;=$J$2),1,0)</f>
        <v/>
      </c>
      <c r="N43">
        <f>IF(M43=1,_xlfn.STDEV.S(INDEX($J$5:$J$34,K43):INDEX($J$5:$J$34,K43+L43-1))/AVERAGE(INDEX($J$5:$J$34,K43):INDEX($J$5:$J$34,K43+L43-1)),"")</f>
        <v/>
      </c>
      <c r="O43">
        <f>IF(M43=1,IF(N43&lt;=COMBINACIONES_PH!$B$5,1,0),"")</f>
        <v/>
      </c>
      <c r="P43">
        <f>IF(M43=1,IF(O43=1,-L43,100)+N43+ROW()*0.000000000001,"")</f>
        <v/>
      </c>
    </row>
    <row r="44">
      <c r="K44" t="n">
        <v>2</v>
      </c>
      <c r="L44" t="n">
        <v>14</v>
      </c>
      <c r="M44">
        <f>IF(AND(L44&gt;=COMBINACIONES_PH!$B$9,K44+L44-1&lt;=$J$2),1,0)</f>
        <v/>
      </c>
      <c r="N44">
        <f>IF(M44=1,_xlfn.STDEV.S(INDEX($J$5:$J$34,K44):INDEX($J$5:$J$34,K44+L44-1))/AVERAGE(INDEX($J$5:$J$34,K44):INDEX($J$5:$J$34,K44+L44-1)),"")</f>
        <v/>
      </c>
      <c r="O44">
        <f>IF(M44=1,IF(N44&lt;=COMBINACIONES_PH!$B$5,1,0),"")</f>
        <v/>
      </c>
      <c r="P44">
        <f>IF(M44=1,IF(O44=1,-L44,100)+N44+ROW()*0.000000000001,"")</f>
        <v/>
      </c>
    </row>
    <row r="45">
      <c r="K45" t="n">
        <v>2</v>
      </c>
      <c r="L45" t="n">
        <v>15</v>
      </c>
      <c r="M45">
        <f>IF(AND(L45&gt;=COMBINACIONES_PH!$B$9,K45+L45-1&lt;=$J$2),1,0)</f>
        <v/>
      </c>
      <c r="N45">
        <f>IF(M45=1,_xlfn.STDEV.S(INDEX($J$5:$J$34,K45):INDEX($J$5:$J$34,K45+L45-1))/AVERAGE(INDEX($J$5:$J$34,K45):INDEX($J$5:$J$34,K45+L45-1)),"")</f>
        <v/>
      </c>
      <c r="O45">
        <f>IF(M45=1,IF(N45&lt;=COMBINACIONES_PH!$B$5,1,0),"")</f>
        <v/>
      </c>
      <c r="P45">
        <f>IF(M45=1,IF(O45=1,-L45,100)+N45+ROW()*0.000000000001,"")</f>
        <v/>
      </c>
    </row>
    <row r="46">
      <c r="K46" t="n">
        <v>2</v>
      </c>
      <c r="L46" t="n">
        <v>16</v>
      </c>
      <c r="M46">
        <f>IF(AND(L46&gt;=COMBINACIONES_PH!$B$9,K46+L46-1&lt;=$J$2),1,0)</f>
        <v/>
      </c>
      <c r="N46">
        <f>IF(M46=1,_xlfn.STDEV.S(INDEX($J$5:$J$34,K46):INDEX($J$5:$J$34,K46+L46-1))/AVERAGE(INDEX($J$5:$J$34,K46):INDEX($J$5:$J$34,K46+L46-1)),"")</f>
        <v/>
      </c>
      <c r="O46">
        <f>IF(M46=1,IF(N46&lt;=COMBINACIONES_PH!$B$5,1,0),"")</f>
        <v/>
      </c>
      <c r="P46">
        <f>IF(M46=1,IF(O46=1,-L46,100)+N46+ROW()*0.000000000001,"")</f>
        <v/>
      </c>
    </row>
    <row r="47">
      <c r="K47" t="n">
        <v>2</v>
      </c>
      <c r="L47" t="n">
        <v>17</v>
      </c>
      <c r="M47">
        <f>IF(AND(L47&gt;=COMBINACIONES_PH!$B$9,K47+L47-1&lt;=$J$2),1,0)</f>
        <v/>
      </c>
      <c r="N47">
        <f>IF(M47=1,_xlfn.STDEV.S(INDEX($J$5:$J$34,K47):INDEX($J$5:$J$34,K47+L47-1))/AVERAGE(INDEX($J$5:$J$34,K47):INDEX($J$5:$J$34,K47+L47-1)),"")</f>
        <v/>
      </c>
      <c r="O47">
        <f>IF(M47=1,IF(N47&lt;=COMBINACIONES_PH!$B$5,1,0),"")</f>
        <v/>
      </c>
      <c r="P47">
        <f>IF(M47=1,IF(O47=1,-L47,100)+N47+ROW()*0.000000000001,"")</f>
        <v/>
      </c>
    </row>
    <row r="48">
      <c r="K48" t="n">
        <v>2</v>
      </c>
      <c r="L48" t="n">
        <v>18</v>
      </c>
      <c r="M48">
        <f>IF(AND(L48&gt;=COMBINACIONES_PH!$B$9,K48+L48-1&lt;=$J$2),1,0)</f>
        <v/>
      </c>
      <c r="N48">
        <f>IF(M48=1,_xlfn.STDEV.S(INDEX($J$5:$J$34,K48):INDEX($J$5:$J$34,K48+L48-1))/AVERAGE(INDEX($J$5:$J$34,K48):INDEX($J$5:$J$34,K48+L48-1)),"")</f>
        <v/>
      </c>
      <c r="O48">
        <f>IF(M48=1,IF(N48&lt;=COMBINACIONES_PH!$B$5,1,0),"")</f>
        <v/>
      </c>
      <c r="P48">
        <f>IF(M48=1,IF(O48=1,-L48,100)+N48+ROW()*0.000000000001,"")</f>
        <v/>
      </c>
    </row>
    <row r="49">
      <c r="K49" t="n">
        <v>2</v>
      </c>
      <c r="L49" t="n">
        <v>19</v>
      </c>
      <c r="M49">
        <f>IF(AND(L49&gt;=COMBINACIONES_PH!$B$9,K49+L49-1&lt;=$J$2),1,0)</f>
        <v/>
      </c>
      <c r="N49">
        <f>IF(M49=1,_xlfn.STDEV.S(INDEX($J$5:$J$34,K49):INDEX($J$5:$J$34,K49+L49-1))/AVERAGE(INDEX($J$5:$J$34,K49):INDEX($J$5:$J$34,K49+L49-1)),"")</f>
        <v/>
      </c>
      <c r="O49">
        <f>IF(M49=1,IF(N49&lt;=COMBINACIONES_PH!$B$5,1,0),"")</f>
        <v/>
      </c>
      <c r="P49">
        <f>IF(M49=1,IF(O49=1,-L49,100)+N49+ROW()*0.000000000001,"")</f>
        <v/>
      </c>
    </row>
    <row r="50">
      <c r="K50" t="n">
        <v>2</v>
      </c>
      <c r="L50" t="n">
        <v>20</v>
      </c>
      <c r="M50">
        <f>IF(AND(L50&gt;=COMBINACIONES_PH!$B$9,K50+L50-1&lt;=$J$2),1,0)</f>
        <v/>
      </c>
      <c r="N50">
        <f>IF(M50=1,_xlfn.STDEV.S(INDEX($J$5:$J$34,K50):INDEX($J$5:$J$34,K50+L50-1))/AVERAGE(INDEX($J$5:$J$34,K50):INDEX($J$5:$J$34,K50+L50-1)),"")</f>
        <v/>
      </c>
      <c r="O50">
        <f>IF(M50=1,IF(N50&lt;=COMBINACIONES_PH!$B$5,1,0),"")</f>
        <v/>
      </c>
      <c r="P50">
        <f>IF(M50=1,IF(O50=1,-L50,100)+N50+ROW()*0.000000000001,"")</f>
        <v/>
      </c>
    </row>
    <row r="51">
      <c r="K51" t="n">
        <v>2</v>
      </c>
      <c r="L51" t="n">
        <v>21</v>
      </c>
      <c r="M51">
        <f>IF(AND(L51&gt;=COMBINACIONES_PH!$B$9,K51+L51-1&lt;=$J$2),1,0)</f>
        <v/>
      </c>
      <c r="N51">
        <f>IF(M51=1,_xlfn.STDEV.S(INDEX($J$5:$J$34,K51):INDEX($J$5:$J$34,K51+L51-1))/AVERAGE(INDEX($J$5:$J$34,K51):INDEX($J$5:$J$34,K51+L51-1)),"")</f>
        <v/>
      </c>
      <c r="O51">
        <f>IF(M51=1,IF(N51&lt;=COMBINACIONES_PH!$B$5,1,0),"")</f>
        <v/>
      </c>
      <c r="P51">
        <f>IF(M51=1,IF(O51=1,-L51,100)+N51+ROW()*0.000000000001,"")</f>
        <v/>
      </c>
    </row>
    <row r="52">
      <c r="K52" t="n">
        <v>2</v>
      </c>
      <c r="L52" t="n">
        <v>22</v>
      </c>
      <c r="M52">
        <f>IF(AND(L52&gt;=COMBINACIONES_PH!$B$9,K52+L52-1&lt;=$J$2),1,0)</f>
        <v/>
      </c>
      <c r="N52">
        <f>IF(M52=1,_xlfn.STDEV.S(INDEX($J$5:$J$34,K52):INDEX($J$5:$J$34,K52+L52-1))/AVERAGE(INDEX($J$5:$J$34,K52):INDEX($J$5:$J$34,K52+L52-1)),"")</f>
        <v/>
      </c>
      <c r="O52">
        <f>IF(M52=1,IF(N52&lt;=COMBINACIONES_PH!$B$5,1,0),"")</f>
        <v/>
      </c>
      <c r="P52">
        <f>IF(M52=1,IF(O52=1,-L52,100)+N52+ROW()*0.000000000001,"")</f>
        <v/>
      </c>
    </row>
    <row r="53">
      <c r="K53" t="n">
        <v>2</v>
      </c>
      <c r="L53" t="n">
        <v>23</v>
      </c>
      <c r="M53">
        <f>IF(AND(L53&gt;=COMBINACIONES_PH!$B$9,K53+L53-1&lt;=$J$2),1,0)</f>
        <v/>
      </c>
      <c r="N53">
        <f>IF(M53=1,_xlfn.STDEV.S(INDEX($J$5:$J$34,K53):INDEX($J$5:$J$34,K53+L53-1))/AVERAGE(INDEX($J$5:$J$34,K53):INDEX($J$5:$J$34,K53+L53-1)),"")</f>
        <v/>
      </c>
      <c r="O53">
        <f>IF(M53=1,IF(N53&lt;=COMBINACIONES_PH!$B$5,1,0),"")</f>
        <v/>
      </c>
      <c r="P53">
        <f>IF(M53=1,IF(O53=1,-L53,100)+N53+ROW()*0.000000000001,"")</f>
        <v/>
      </c>
    </row>
    <row r="54">
      <c r="K54" t="n">
        <v>2</v>
      </c>
      <c r="L54" t="n">
        <v>24</v>
      </c>
      <c r="M54">
        <f>IF(AND(L54&gt;=COMBINACIONES_PH!$B$9,K54+L54-1&lt;=$J$2),1,0)</f>
        <v/>
      </c>
      <c r="N54">
        <f>IF(M54=1,_xlfn.STDEV.S(INDEX($J$5:$J$34,K54):INDEX($J$5:$J$34,K54+L54-1))/AVERAGE(INDEX($J$5:$J$34,K54):INDEX($J$5:$J$34,K54+L54-1)),"")</f>
        <v/>
      </c>
      <c r="O54">
        <f>IF(M54=1,IF(N54&lt;=COMBINACIONES_PH!$B$5,1,0),"")</f>
        <v/>
      </c>
      <c r="P54">
        <f>IF(M54=1,IF(O54=1,-L54,100)+N54+ROW()*0.000000000001,"")</f>
        <v/>
      </c>
    </row>
    <row r="55">
      <c r="K55" t="n">
        <v>2</v>
      </c>
      <c r="L55" t="n">
        <v>25</v>
      </c>
      <c r="M55">
        <f>IF(AND(L55&gt;=COMBINACIONES_PH!$B$9,K55+L55-1&lt;=$J$2),1,0)</f>
        <v/>
      </c>
      <c r="N55">
        <f>IF(M55=1,_xlfn.STDEV.S(INDEX($J$5:$J$34,K55):INDEX($J$5:$J$34,K55+L55-1))/AVERAGE(INDEX($J$5:$J$34,K55):INDEX($J$5:$J$34,K55+L55-1)),"")</f>
        <v/>
      </c>
      <c r="O55">
        <f>IF(M55=1,IF(N55&lt;=COMBINACIONES_PH!$B$5,1,0),"")</f>
        <v/>
      </c>
      <c r="P55">
        <f>IF(M55=1,IF(O55=1,-L55,100)+N55+ROW()*0.000000000001,"")</f>
        <v/>
      </c>
    </row>
    <row r="56">
      <c r="K56" t="n">
        <v>2</v>
      </c>
      <c r="L56" t="n">
        <v>26</v>
      </c>
      <c r="M56">
        <f>IF(AND(L56&gt;=COMBINACIONES_PH!$B$9,K56+L56-1&lt;=$J$2),1,0)</f>
        <v/>
      </c>
      <c r="N56">
        <f>IF(M56=1,_xlfn.STDEV.S(INDEX($J$5:$J$34,K56):INDEX($J$5:$J$34,K56+L56-1))/AVERAGE(INDEX($J$5:$J$34,K56):INDEX($J$5:$J$34,K56+L56-1)),"")</f>
        <v/>
      </c>
      <c r="O56">
        <f>IF(M56=1,IF(N56&lt;=COMBINACIONES_PH!$B$5,1,0),"")</f>
        <v/>
      </c>
      <c r="P56">
        <f>IF(M56=1,IF(O56=1,-L56,100)+N56+ROW()*0.000000000001,"")</f>
        <v/>
      </c>
    </row>
    <row r="57">
      <c r="K57" t="n">
        <v>2</v>
      </c>
      <c r="L57" t="n">
        <v>27</v>
      </c>
      <c r="M57">
        <f>IF(AND(L57&gt;=COMBINACIONES_PH!$B$9,K57+L57-1&lt;=$J$2),1,0)</f>
        <v/>
      </c>
      <c r="N57">
        <f>IF(M57=1,_xlfn.STDEV.S(INDEX($J$5:$J$34,K57):INDEX($J$5:$J$34,K57+L57-1))/AVERAGE(INDEX($J$5:$J$34,K57):INDEX($J$5:$J$34,K57+L57-1)),"")</f>
        <v/>
      </c>
      <c r="O57">
        <f>IF(M57=1,IF(N57&lt;=COMBINACIONES_PH!$B$5,1,0),"")</f>
        <v/>
      </c>
      <c r="P57">
        <f>IF(M57=1,IF(O57=1,-L57,100)+N57+ROW()*0.000000000001,"")</f>
        <v/>
      </c>
    </row>
    <row r="58">
      <c r="K58" t="n">
        <v>2</v>
      </c>
      <c r="L58" t="n">
        <v>28</v>
      </c>
      <c r="M58">
        <f>IF(AND(L58&gt;=COMBINACIONES_PH!$B$9,K58+L58-1&lt;=$J$2),1,0)</f>
        <v/>
      </c>
      <c r="N58">
        <f>IF(M58=1,_xlfn.STDEV.S(INDEX($J$5:$J$34,K58):INDEX($J$5:$J$34,K58+L58-1))/AVERAGE(INDEX($J$5:$J$34,K58):INDEX($J$5:$J$34,K58+L58-1)),"")</f>
        <v/>
      </c>
      <c r="O58">
        <f>IF(M58=1,IF(N58&lt;=COMBINACIONES_PH!$B$5,1,0),"")</f>
        <v/>
      </c>
      <c r="P58">
        <f>IF(M58=1,IF(O58=1,-L58,100)+N58+ROW()*0.000000000001,"")</f>
        <v/>
      </c>
    </row>
    <row r="59">
      <c r="K59" t="n">
        <v>2</v>
      </c>
      <c r="L59" t="n">
        <v>29</v>
      </c>
      <c r="M59">
        <f>IF(AND(L59&gt;=COMBINACIONES_PH!$B$9,K59+L59-1&lt;=$J$2),1,0)</f>
        <v/>
      </c>
      <c r="N59">
        <f>IF(M59=1,_xlfn.STDEV.S(INDEX($J$5:$J$34,K59):INDEX($J$5:$J$34,K59+L59-1))/AVERAGE(INDEX($J$5:$J$34,K59):INDEX($J$5:$J$34,K59+L59-1)),"")</f>
        <v/>
      </c>
      <c r="O59">
        <f>IF(M59=1,IF(N59&lt;=COMBINACIONES_PH!$B$5,1,0),"")</f>
        <v/>
      </c>
      <c r="P59">
        <f>IF(M59=1,IF(O59=1,-L59,100)+N59+ROW()*0.000000000001,"")</f>
        <v/>
      </c>
    </row>
    <row r="60">
      <c r="K60" t="n">
        <v>3</v>
      </c>
      <c r="L60" t="n">
        <v>3</v>
      </c>
      <c r="M60">
        <f>IF(AND(L60&gt;=COMBINACIONES_PH!$B$9,K60+L60-1&lt;=$J$2),1,0)</f>
        <v/>
      </c>
      <c r="N60">
        <f>IF(M60=1,_xlfn.STDEV.S(INDEX($J$5:$J$34,K60):INDEX($J$5:$J$34,K60+L60-1))/AVERAGE(INDEX($J$5:$J$34,K60):INDEX($J$5:$J$34,K60+L60-1)),"")</f>
        <v/>
      </c>
      <c r="O60">
        <f>IF(M60=1,IF(N60&lt;=COMBINACIONES_PH!$B$5,1,0),"")</f>
        <v/>
      </c>
      <c r="P60">
        <f>IF(M60=1,IF(O60=1,-L60,100)+N60+ROW()*0.000000000001,"")</f>
        <v/>
      </c>
    </row>
    <row r="61">
      <c r="K61" t="n">
        <v>3</v>
      </c>
      <c r="L61" t="n">
        <v>4</v>
      </c>
      <c r="M61">
        <f>IF(AND(L61&gt;=COMBINACIONES_PH!$B$9,K61+L61-1&lt;=$J$2),1,0)</f>
        <v/>
      </c>
      <c r="N61">
        <f>IF(M61=1,_xlfn.STDEV.S(INDEX($J$5:$J$34,K61):INDEX($J$5:$J$34,K61+L61-1))/AVERAGE(INDEX($J$5:$J$34,K61):INDEX($J$5:$J$34,K61+L61-1)),"")</f>
        <v/>
      </c>
      <c r="O61">
        <f>IF(M61=1,IF(N61&lt;=COMBINACIONES_PH!$B$5,1,0),"")</f>
        <v/>
      </c>
      <c r="P61">
        <f>IF(M61=1,IF(O61=1,-L61,100)+N61+ROW()*0.000000000001,"")</f>
        <v/>
      </c>
    </row>
    <row r="62">
      <c r="K62" t="n">
        <v>3</v>
      </c>
      <c r="L62" t="n">
        <v>5</v>
      </c>
      <c r="M62">
        <f>IF(AND(L62&gt;=COMBINACIONES_PH!$B$9,K62+L62-1&lt;=$J$2),1,0)</f>
        <v/>
      </c>
      <c r="N62">
        <f>IF(M62=1,_xlfn.STDEV.S(INDEX($J$5:$J$34,K62):INDEX($J$5:$J$34,K62+L62-1))/AVERAGE(INDEX($J$5:$J$34,K62):INDEX($J$5:$J$34,K62+L62-1)),"")</f>
        <v/>
      </c>
      <c r="O62">
        <f>IF(M62=1,IF(N62&lt;=COMBINACIONES_PH!$B$5,1,0),"")</f>
        <v/>
      </c>
      <c r="P62">
        <f>IF(M62=1,IF(O62=1,-L62,100)+N62+ROW()*0.000000000001,"")</f>
        <v/>
      </c>
    </row>
    <row r="63">
      <c r="K63" t="n">
        <v>3</v>
      </c>
      <c r="L63" t="n">
        <v>6</v>
      </c>
      <c r="M63">
        <f>IF(AND(L63&gt;=COMBINACIONES_PH!$B$9,K63+L63-1&lt;=$J$2),1,0)</f>
        <v/>
      </c>
      <c r="N63">
        <f>IF(M63=1,_xlfn.STDEV.S(INDEX($J$5:$J$34,K63):INDEX($J$5:$J$34,K63+L63-1))/AVERAGE(INDEX($J$5:$J$34,K63):INDEX($J$5:$J$34,K63+L63-1)),"")</f>
        <v/>
      </c>
      <c r="O63">
        <f>IF(M63=1,IF(N63&lt;=COMBINACIONES_PH!$B$5,1,0),"")</f>
        <v/>
      </c>
      <c r="P63">
        <f>IF(M63=1,IF(O63=1,-L63,100)+N63+ROW()*0.000000000001,"")</f>
        <v/>
      </c>
    </row>
    <row r="64">
      <c r="K64" t="n">
        <v>3</v>
      </c>
      <c r="L64" t="n">
        <v>7</v>
      </c>
      <c r="M64">
        <f>IF(AND(L64&gt;=COMBINACIONES_PH!$B$9,K64+L64-1&lt;=$J$2),1,0)</f>
        <v/>
      </c>
      <c r="N64">
        <f>IF(M64=1,_xlfn.STDEV.S(INDEX($J$5:$J$34,K64):INDEX($J$5:$J$34,K64+L64-1))/AVERAGE(INDEX($J$5:$J$34,K64):INDEX($J$5:$J$34,K64+L64-1)),"")</f>
        <v/>
      </c>
      <c r="O64">
        <f>IF(M64=1,IF(N64&lt;=COMBINACIONES_PH!$B$5,1,0),"")</f>
        <v/>
      </c>
      <c r="P64">
        <f>IF(M64=1,IF(O64=1,-L64,100)+N64+ROW()*0.000000000001,"")</f>
        <v/>
      </c>
    </row>
    <row r="65">
      <c r="K65" t="n">
        <v>3</v>
      </c>
      <c r="L65" t="n">
        <v>8</v>
      </c>
      <c r="M65">
        <f>IF(AND(L65&gt;=COMBINACIONES_PH!$B$9,K65+L65-1&lt;=$J$2),1,0)</f>
        <v/>
      </c>
      <c r="N65">
        <f>IF(M65=1,_xlfn.STDEV.S(INDEX($J$5:$J$34,K65):INDEX($J$5:$J$34,K65+L65-1))/AVERAGE(INDEX($J$5:$J$34,K65):INDEX($J$5:$J$34,K65+L65-1)),"")</f>
        <v/>
      </c>
      <c r="O65">
        <f>IF(M65=1,IF(N65&lt;=COMBINACIONES_PH!$B$5,1,0),"")</f>
        <v/>
      </c>
      <c r="P65">
        <f>IF(M65=1,IF(O65=1,-L65,100)+N65+ROW()*0.000000000001,"")</f>
        <v/>
      </c>
    </row>
    <row r="66">
      <c r="K66" t="n">
        <v>3</v>
      </c>
      <c r="L66" t="n">
        <v>9</v>
      </c>
      <c r="M66">
        <f>IF(AND(L66&gt;=COMBINACIONES_PH!$B$9,K66+L66-1&lt;=$J$2),1,0)</f>
        <v/>
      </c>
      <c r="N66">
        <f>IF(M66=1,_xlfn.STDEV.S(INDEX($J$5:$J$34,K66):INDEX($J$5:$J$34,K66+L66-1))/AVERAGE(INDEX($J$5:$J$34,K66):INDEX($J$5:$J$34,K66+L66-1)),"")</f>
        <v/>
      </c>
      <c r="O66">
        <f>IF(M66=1,IF(N66&lt;=COMBINACIONES_PH!$B$5,1,0),"")</f>
        <v/>
      </c>
      <c r="P66">
        <f>IF(M66=1,IF(O66=1,-L66,100)+N66+ROW()*0.000000000001,"")</f>
        <v/>
      </c>
    </row>
    <row r="67">
      <c r="K67" t="n">
        <v>3</v>
      </c>
      <c r="L67" t="n">
        <v>10</v>
      </c>
      <c r="M67">
        <f>IF(AND(L67&gt;=COMBINACIONES_PH!$B$9,K67+L67-1&lt;=$J$2),1,0)</f>
        <v/>
      </c>
      <c r="N67">
        <f>IF(M67=1,_xlfn.STDEV.S(INDEX($J$5:$J$34,K67):INDEX($J$5:$J$34,K67+L67-1))/AVERAGE(INDEX($J$5:$J$34,K67):INDEX($J$5:$J$34,K67+L67-1)),"")</f>
        <v/>
      </c>
      <c r="O67">
        <f>IF(M67=1,IF(N67&lt;=COMBINACIONES_PH!$B$5,1,0),"")</f>
        <v/>
      </c>
      <c r="P67">
        <f>IF(M67=1,IF(O67=1,-L67,100)+N67+ROW()*0.000000000001,"")</f>
        <v/>
      </c>
    </row>
    <row r="68">
      <c r="K68" t="n">
        <v>3</v>
      </c>
      <c r="L68" t="n">
        <v>11</v>
      </c>
      <c r="M68">
        <f>IF(AND(L68&gt;=COMBINACIONES_PH!$B$9,K68+L68-1&lt;=$J$2),1,0)</f>
        <v/>
      </c>
      <c r="N68">
        <f>IF(M68=1,_xlfn.STDEV.S(INDEX($J$5:$J$34,K68):INDEX($J$5:$J$34,K68+L68-1))/AVERAGE(INDEX($J$5:$J$34,K68):INDEX($J$5:$J$34,K68+L68-1)),"")</f>
        <v/>
      </c>
      <c r="O68">
        <f>IF(M68=1,IF(N68&lt;=COMBINACIONES_PH!$B$5,1,0),"")</f>
        <v/>
      </c>
      <c r="P68">
        <f>IF(M68=1,IF(O68=1,-L68,100)+N68+ROW()*0.000000000001,"")</f>
        <v/>
      </c>
    </row>
    <row r="69">
      <c r="K69" t="n">
        <v>3</v>
      </c>
      <c r="L69" t="n">
        <v>12</v>
      </c>
      <c r="M69">
        <f>IF(AND(L69&gt;=COMBINACIONES_PH!$B$9,K69+L69-1&lt;=$J$2),1,0)</f>
        <v/>
      </c>
      <c r="N69">
        <f>IF(M69=1,_xlfn.STDEV.S(INDEX($J$5:$J$34,K69):INDEX($J$5:$J$34,K69+L69-1))/AVERAGE(INDEX($J$5:$J$34,K69):INDEX($J$5:$J$34,K69+L69-1)),"")</f>
        <v/>
      </c>
      <c r="O69">
        <f>IF(M69=1,IF(N69&lt;=COMBINACIONES_PH!$B$5,1,0),"")</f>
        <v/>
      </c>
      <c r="P69">
        <f>IF(M69=1,IF(O69=1,-L69,100)+N69+ROW()*0.000000000001,"")</f>
        <v/>
      </c>
    </row>
    <row r="70">
      <c r="K70" t="n">
        <v>3</v>
      </c>
      <c r="L70" t="n">
        <v>13</v>
      </c>
      <c r="M70">
        <f>IF(AND(L70&gt;=COMBINACIONES_PH!$B$9,K70+L70-1&lt;=$J$2),1,0)</f>
        <v/>
      </c>
      <c r="N70">
        <f>IF(M70=1,_xlfn.STDEV.S(INDEX($J$5:$J$34,K70):INDEX($J$5:$J$34,K70+L70-1))/AVERAGE(INDEX($J$5:$J$34,K70):INDEX($J$5:$J$34,K70+L70-1)),"")</f>
        <v/>
      </c>
      <c r="O70">
        <f>IF(M70=1,IF(N70&lt;=COMBINACIONES_PH!$B$5,1,0),"")</f>
        <v/>
      </c>
      <c r="P70">
        <f>IF(M70=1,IF(O70=1,-L70,100)+N70+ROW()*0.000000000001,"")</f>
        <v/>
      </c>
    </row>
    <row r="71">
      <c r="K71" t="n">
        <v>3</v>
      </c>
      <c r="L71" t="n">
        <v>14</v>
      </c>
      <c r="M71">
        <f>IF(AND(L71&gt;=COMBINACIONES_PH!$B$9,K71+L71-1&lt;=$J$2),1,0)</f>
        <v/>
      </c>
      <c r="N71">
        <f>IF(M71=1,_xlfn.STDEV.S(INDEX($J$5:$J$34,K71):INDEX($J$5:$J$34,K71+L71-1))/AVERAGE(INDEX($J$5:$J$34,K71):INDEX($J$5:$J$34,K71+L71-1)),"")</f>
        <v/>
      </c>
      <c r="O71">
        <f>IF(M71=1,IF(N71&lt;=COMBINACIONES_PH!$B$5,1,0),"")</f>
        <v/>
      </c>
      <c r="P71">
        <f>IF(M71=1,IF(O71=1,-L71,100)+N71+ROW()*0.000000000001,"")</f>
        <v/>
      </c>
    </row>
    <row r="72">
      <c r="K72" t="n">
        <v>3</v>
      </c>
      <c r="L72" t="n">
        <v>15</v>
      </c>
      <c r="M72">
        <f>IF(AND(L72&gt;=COMBINACIONES_PH!$B$9,K72+L72-1&lt;=$J$2),1,0)</f>
        <v/>
      </c>
      <c r="N72">
        <f>IF(M72=1,_xlfn.STDEV.S(INDEX($J$5:$J$34,K72):INDEX($J$5:$J$34,K72+L72-1))/AVERAGE(INDEX($J$5:$J$34,K72):INDEX($J$5:$J$34,K72+L72-1)),"")</f>
        <v/>
      </c>
      <c r="O72">
        <f>IF(M72=1,IF(N72&lt;=COMBINACIONES_PH!$B$5,1,0),"")</f>
        <v/>
      </c>
      <c r="P72">
        <f>IF(M72=1,IF(O72=1,-L72,100)+N72+ROW()*0.000000000001,"")</f>
        <v/>
      </c>
    </row>
    <row r="73">
      <c r="K73" t="n">
        <v>3</v>
      </c>
      <c r="L73" t="n">
        <v>16</v>
      </c>
      <c r="M73">
        <f>IF(AND(L73&gt;=COMBINACIONES_PH!$B$9,K73+L73-1&lt;=$J$2),1,0)</f>
        <v/>
      </c>
      <c r="N73">
        <f>IF(M73=1,_xlfn.STDEV.S(INDEX($J$5:$J$34,K73):INDEX($J$5:$J$34,K73+L73-1))/AVERAGE(INDEX($J$5:$J$34,K73):INDEX($J$5:$J$34,K73+L73-1)),"")</f>
        <v/>
      </c>
      <c r="O73">
        <f>IF(M73=1,IF(N73&lt;=COMBINACIONES_PH!$B$5,1,0),"")</f>
        <v/>
      </c>
      <c r="P73">
        <f>IF(M73=1,IF(O73=1,-L73,100)+N73+ROW()*0.000000000001,"")</f>
        <v/>
      </c>
    </row>
    <row r="74">
      <c r="K74" t="n">
        <v>3</v>
      </c>
      <c r="L74" t="n">
        <v>17</v>
      </c>
      <c r="M74">
        <f>IF(AND(L74&gt;=COMBINACIONES_PH!$B$9,K74+L74-1&lt;=$J$2),1,0)</f>
        <v/>
      </c>
      <c r="N74">
        <f>IF(M74=1,_xlfn.STDEV.S(INDEX($J$5:$J$34,K74):INDEX($J$5:$J$34,K74+L74-1))/AVERAGE(INDEX($J$5:$J$34,K74):INDEX($J$5:$J$34,K74+L74-1)),"")</f>
        <v/>
      </c>
      <c r="O74">
        <f>IF(M74=1,IF(N74&lt;=COMBINACIONES_PH!$B$5,1,0),"")</f>
        <v/>
      </c>
      <c r="P74">
        <f>IF(M74=1,IF(O74=1,-L74,100)+N74+ROW()*0.000000000001,"")</f>
        <v/>
      </c>
    </row>
    <row r="75">
      <c r="K75" t="n">
        <v>3</v>
      </c>
      <c r="L75" t="n">
        <v>18</v>
      </c>
      <c r="M75">
        <f>IF(AND(L75&gt;=COMBINACIONES_PH!$B$9,K75+L75-1&lt;=$J$2),1,0)</f>
        <v/>
      </c>
      <c r="N75">
        <f>IF(M75=1,_xlfn.STDEV.S(INDEX($J$5:$J$34,K75):INDEX($J$5:$J$34,K75+L75-1))/AVERAGE(INDEX($J$5:$J$34,K75):INDEX($J$5:$J$34,K75+L75-1)),"")</f>
        <v/>
      </c>
      <c r="O75">
        <f>IF(M75=1,IF(N75&lt;=COMBINACIONES_PH!$B$5,1,0),"")</f>
        <v/>
      </c>
      <c r="P75">
        <f>IF(M75=1,IF(O75=1,-L75,100)+N75+ROW()*0.000000000001,"")</f>
        <v/>
      </c>
    </row>
    <row r="76">
      <c r="K76" t="n">
        <v>3</v>
      </c>
      <c r="L76" t="n">
        <v>19</v>
      </c>
      <c r="M76">
        <f>IF(AND(L76&gt;=COMBINACIONES_PH!$B$9,K76+L76-1&lt;=$J$2),1,0)</f>
        <v/>
      </c>
      <c r="N76">
        <f>IF(M76=1,_xlfn.STDEV.S(INDEX($J$5:$J$34,K76):INDEX($J$5:$J$34,K76+L76-1))/AVERAGE(INDEX($J$5:$J$34,K76):INDEX($J$5:$J$34,K76+L76-1)),"")</f>
        <v/>
      </c>
      <c r="O76">
        <f>IF(M76=1,IF(N76&lt;=COMBINACIONES_PH!$B$5,1,0),"")</f>
        <v/>
      </c>
      <c r="P76">
        <f>IF(M76=1,IF(O76=1,-L76,100)+N76+ROW()*0.000000000001,"")</f>
        <v/>
      </c>
    </row>
    <row r="77">
      <c r="K77" t="n">
        <v>3</v>
      </c>
      <c r="L77" t="n">
        <v>20</v>
      </c>
      <c r="M77">
        <f>IF(AND(L77&gt;=COMBINACIONES_PH!$B$9,K77+L77-1&lt;=$J$2),1,0)</f>
        <v/>
      </c>
      <c r="N77">
        <f>IF(M77=1,_xlfn.STDEV.S(INDEX($J$5:$J$34,K77):INDEX($J$5:$J$34,K77+L77-1))/AVERAGE(INDEX($J$5:$J$34,K77):INDEX($J$5:$J$34,K77+L77-1)),"")</f>
        <v/>
      </c>
      <c r="O77">
        <f>IF(M77=1,IF(N77&lt;=COMBINACIONES_PH!$B$5,1,0),"")</f>
        <v/>
      </c>
      <c r="P77">
        <f>IF(M77=1,IF(O77=1,-L77,100)+N77+ROW()*0.000000000001,"")</f>
        <v/>
      </c>
    </row>
    <row r="78">
      <c r="K78" t="n">
        <v>3</v>
      </c>
      <c r="L78" t="n">
        <v>21</v>
      </c>
      <c r="M78">
        <f>IF(AND(L78&gt;=COMBINACIONES_PH!$B$9,K78+L78-1&lt;=$J$2),1,0)</f>
        <v/>
      </c>
      <c r="N78">
        <f>IF(M78=1,_xlfn.STDEV.S(INDEX($J$5:$J$34,K78):INDEX($J$5:$J$34,K78+L78-1))/AVERAGE(INDEX($J$5:$J$34,K78):INDEX($J$5:$J$34,K78+L78-1)),"")</f>
        <v/>
      </c>
      <c r="O78">
        <f>IF(M78=1,IF(N78&lt;=COMBINACIONES_PH!$B$5,1,0),"")</f>
        <v/>
      </c>
      <c r="P78">
        <f>IF(M78=1,IF(O78=1,-L78,100)+N78+ROW()*0.000000000001,"")</f>
        <v/>
      </c>
    </row>
    <row r="79">
      <c r="K79" t="n">
        <v>3</v>
      </c>
      <c r="L79" t="n">
        <v>22</v>
      </c>
      <c r="M79">
        <f>IF(AND(L79&gt;=COMBINACIONES_PH!$B$9,K79+L79-1&lt;=$J$2),1,0)</f>
        <v/>
      </c>
      <c r="N79">
        <f>IF(M79=1,_xlfn.STDEV.S(INDEX($J$5:$J$34,K79):INDEX($J$5:$J$34,K79+L79-1))/AVERAGE(INDEX($J$5:$J$34,K79):INDEX($J$5:$J$34,K79+L79-1)),"")</f>
        <v/>
      </c>
      <c r="O79">
        <f>IF(M79=1,IF(N79&lt;=COMBINACIONES_PH!$B$5,1,0),"")</f>
        <v/>
      </c>
      <c r="P79">
        <f>IF(M79=1,IF(O79=1,-L79,100)+N79+ROW()*0.000000000001,"")</f>
        <v/>
      </c>
    </row>
    <row r="80">
      <c r="K80" t="n">
        <v>3</v>
      </c>
      <c r="L80" t="n">
        <v>23</v>
      </c>
      <c r="M80">
        <f>IF(AND(L80&gt;=COMBINACIONES_PH!$B$9,K80+L80-1&lt;=$J$2),1,0)</f>
        <v/>
      </c>
      <c r="N80">
        <f>IF(M80=1,_xlfn.STDEV.S(INDEX($J$5:$J$34,K80):INDEX($J$5:$J$34,K80+L80-1))/AVERAGE(INDEX($J$5:$J$34,K80):INDEX($J$5:$J$34,K80+L80-1)),"")</f>
        <v/>
      </c>
      <c r="O80">
        <f>IF(M80=1,IF(N80&lt;=COMBINACIONES_PH!$B$5,1,0),"")</f>
        <v/>
      </c>
      <c r="P80">
        <f>IF(M80=1,IF(O80=1,-L80,100)+N80+ROW()*0.000000000001,"")</f>
        <v/>
      </c>
    </row>
    <row r="81">
      <c r="K81" t="n">
        <v>3</v>
      </c>
      <c r="L81" t="n">
        <v>24</v>
      </c>
      <c r="M81">
        <f>IF(AND(L81&gt;=COMBINACIONES_PH!$B$9,K81+L81-1&lt;=$J$2),1,0)</f>
        <v/>
      </c>
      <c r="N81">
        <f>IF(M81=1,_xlfn.STDEV.S(INDEX($J$5:$J$34,K81):INDEX($J$5:$J$34,K81+L81-1))/AVERAGE(INDEX($J$5:$J$34,K81):INDEX($J$5:$J$34,K81+L81-1)),"")</f>
        <v/>
      </c>
      <c r="O81">
        <f>IF(M81=1,IF(N81&lt;=COMBINACIONES_PH!$B$5,1,0),"")</f>
        <v/>
      </c>
      <c r="P81">
        <f>IF(M81=1,IF(O81=1,-L81,100)+N81+ROW()*0.000000000001,"")</f>
        <v/>
      </c>
    </row>
    <row r="82">
      <c r="K82" t="n">
        <v>3</v>
      </c>
      <c r="L82" t="n">
        <v>25</v>
      </c>
      <c r="M82">
        <f>IF(AND(L82&gt;=COMBINACIONES_PH!$B$9,K82+L82-1&lt;=$J$2),1,0)</f>
        <v/>
      </c>
      <c r="N82">
        <f>IF(M82=1,_xlfn.STDEV.S(INDEX($J$5:$J$34,K82):INDEX($J$5:$J$34,K82+L82-1))/AVERAGE(INDEX($J$5:$J$34,K82):INDEX($J$5:$J$34,K82+L82-1)),"")</f>
        <v/>
      </c>
      <c r="O82">
        <f>IF(M82=1,IF(N82&lt;=COMBINACIONES_PH!$B$5,1,0),"")</f>
        <v/>
      </c>
      <c r="P82">
        <f>IF(M82=1,IF(O82=1,-L82,100)+N82+ROW()*0.000000000001,"")</f>
        <v/>
      </c>
    </row>
    <row r="83">
      <c r="K83" t="n">
        <v>3</v>
      </c>
      <c r="L83" t="n">
        <v>26</v>
      </c>
      <c r="M83">
        <f>IF(AND(L83&gt;=COMBINACIONES_PH!$B$9,K83+L83-1&lt;=$J$2),1,0)</f>
        <v/>
      </c>
      <c r="N83">
        <f>IF(M83=1,_xlfn.STDEV.S(INDEX($J$5:$J$34,K83):INDEX($J$5:$J$34,K83+L83-1))/AVERAGE(INDEX($J$5:$J$34,K83):INDEX($J$5:$J$34,K83+L83-1)),"")</f>
        <v/>
      </c>
      <c r="O83">
        <f>IF(M83=1,IF(N83&lt;=COMBINACIONES_PH!$B$5,1,0),"")</f>
        <v/>
      </c>
      <c r="P83">
        <f>IF(M83=1,IF(O83=1,-L83,100)+N83+ROW()*0.000000000001,"")</f>
        <v/>
      </c>
    </row>
    <row r="84">
      <c r="K84" t="n">
        <v>3</v>
      </c>
      <c r="L84" t="n">
        <v>27</v>
      </c>
      <c r="M84">
        <f>IF(AND(L84&gt;=COMBINACIONES_PH!$B$9,K84+L84-1&lt;=$J$2),1,0)</f>
        <v/>
      </c>
      <c r="N84">
        <f>IF(M84=1,_xlfn.STDEV.S(INDEX($J$5:$J$34,K84):INDEX($J$5:$J$34,K84+L84-1))/AVERAGE(INDEX($J$5:$J$34,K84):INDEX($J$5:$J$34,K84+L84-1)),"")</f>
        <v/>
      </c>
      <c r="O84">
        <f>IF(M84=1,IF(N84&lt;=COMBINACIONES_PH!$B$5,1,0),"")</f>
        <v/>
      </c>
      <c r="P84">
        <f>IF(M84=1,IF(O84=1,-L84,100)+N84+ROW()*0.000000000001,"")</f>
        <v/>
      </c>
    </row>
    <row r="85">
      <c r="K85" t="n">
        <v>3</v>
      </c>
      <c r="L85" t="n">
        <v>28</v>
      </c>
      <c r="M85">
        <f>IF(AND(L85&gt;=COMBINACIONES_PH!$B$9,K85+L85-1&lt;=$J$2),1,0)</f>
        <v/>
      </c>
      <c r="N85">
        <f>IF(M85=1,_xlfn.STDEV.S(INDEX($J$5:$J$34,K85):INDEX($J$5:$J$34,K85+L85-1))/AVERAGE(INDEX($J$5:$J$34,K85):INDEX($J$5:$J$34,K85+L85-1)),"")</f>
        <v/>
      </c>
      <c r="O85">
        <f>IF(M85=1,IF(N85&lt;=COMBINACIONES_PH!$B$5,1,0),"")</f>
        <v/>
      </c>
      <c r="P85">
        <f>IF(M85=1,IF(O85=1,-L85,100)+N85+ROW()*0.000000000001,"")</f>
        <v/>
      </c>
    </row>
    <row r="86">
      <c r="K86" t="n">
        <v>4</v>
      </c>
      <c r="L86" t="n">
        <v>3</v>
      </c>
      <c r="M86">
        <f>IF(AND(L86&gt;=COMBINACIONES_PH!$B$9,K86+L86-1&lt;=$J$2),1,0)</f>
        <v/>
      </c>
      <c r="N86">
        <f>IF(M86=1,_xlfn.STDEV.S(INDEX($J$5:$J$34,K86):INDEX($J$5:$J$34,K86+L86-1))/AVERAGE(INDEX($J$5:$J$34,K86):INDEX($J$5:$J$34,K86+L86-1)),"")</f>
        <v/>
      </c>
      <c r="O86">
        <f>IF(M86=1,IF(N86&lt;=COMBINACIONES_PH!$B$5,1,0),"")</f>
        <v/>
      </c>
      <c r="P86">
        <f>IF(M86=1,IF(O86=1,-L86,100)+N86+ROW()*0.000000000001,"")</f>
        <v/>
      </c>
    </row>
    <row r="87">
      <c r="K87" t="n">
        <v>4</v>
      </c>
      <c r="L87" t="n">
        <v>4</v>
      </c>
      <c r="M87">
        <f>IF(AND(L87&gt;=COMBINACIONES_PH!$B$9,K87+L87-1&lt;=$J$2),1,0)</f>
        <v/>
      </c>
      <c r="N87">
        <f>IF(M87=1,_xlfn.STDEV.S(INDEX($J$5:$J$34,K87):INDEX($J$5:$J$34,K87+L87-1))/AVERAGE(INDEX($J$5:$J$34,K87):INDEX($J$5:$J$34,K87+L87-1)),"")</f>
        <v/>
      </c>
      <c r="O87">
        <f>IF(M87=1,IF(N87&lt;=COMBINACIONES_PH!$B$5,1,0),"")</f>
        <v/>
      </c>
      <c r="P87">
        <f>IF(M87=1,IF(O87=1,-L87,100)+N87+ROW()*0.000000000001,"")</f>
        <v/>
      </c>
    </row>
    <row r="88">
      <c r="K88" t="n">
        <v>4</v>
      </c>
      <c r="L88" t="n">
        <v>5</v>
      </c>
      <c r="M88">
        <f>IF(AND(L88&gt;=COMBINACIONES_PH!$B$9,K88+L88-1&lt;=$J$2),1,0)</f>
        <v/>
      </c>
      <c r="N88">
        <f>IF(M88=1,_xlfn.STDEV.S(INDEX($J$5:$J$34,K88):INDEX($J$5:$J$34,K88+L88-1))/AVERAGE(INDEX($J$5:$J$34,K88):INDEX($J$5:$J$34,K88+L88-1)),"")</f>
        <v/>
      </c>
      <c r="O88">
        <f>IF(M88=1,IF(N88&lt;=COMBINACIONES_PH!$B$5,1,0),"")</f>
        <v/>
      </c>
      <c r="P88">
        <f>IF(M88=1,IF(O88=1,-L88,100)+N88+ROW()*0.000000000001,"")</f>
        <v/>
      </c>
    </row>
    <row r="89">
      <c r="K89" t="n">
        <v>4</v>
      </c>
      <c r="L89" t="n">
        <v>6</v>
      </c>
      <c r="M89">
        <f>IF(AND(L89&gt;=COMBINACIONES_PH!$B$9,K89+L89-1&lt;=$J$2),1,0)</f>
        <v/>
      </c>
      <c r="N89">
        <f>IF(M89=1,_xlfn.STDEV.S(INDEX($J$5:$J$34,K89):INDEX($J$5:$J$34,K89+L89-1))/AVERAGE(INDEX($J$5:$J$34,K89):INDEX($J$5:$J$34,K89+L89-1)),"")</f>
        <v/>
      </c>
      <c r="O89">
        <f>IF(M89=1,IF(N89&lt;=COMBINACIONES_PH!$B$5,1,0),"")</f>
        <v/>
      </c>
      <c r="P89">
        <f>IF(M89=1,IF(O89=1,-L89,100)+N89+ROW()*0.000000000001,"")</f>
        <v/>
      </c>
    </row>
    <row r="90">
      <c r="K90" t="n">
        <v>4</v>
      </c>
      <c r="L90" t="n">
        <v>7</v>
      </c>
      <c r="M90">
        <f>IF(AND(L90&gt;=COMBINACIONES_PH!$B$9,K90+L90-1&lt;=$J$2),1,0)</f>
        <v/>
      </c>
      <c r="N90">
        <f>IF(M90=1,_xlfn.STDEV.S(INDEX($J$5:$J$34,K90):INDEX($J$5:$J$34,K90+L90-1))/AVERAGE(INDEX($J$5:$J$34,K90):INDEX($J$5:$J$34,K90+L90-1)),"")</f>
        <v/>
      </c>
      <c r="O90">
        <f>IF(M90=1,IF(N90&lt;=COMBINACIONES_PH!$B$5,1,0),"")</f>
        <v/>
      </c>
      <c r="P90">
        <f>IF(M90=1,IF(O90=1,-L90,100)+N90+ROW()*0.000000000001,"")</f>
        <v/>
      </c>
    </row>
    <row r="91">
      <c r="K91" t="n">
        <v>4</v>
      </c>
      <c r="L91" t="n">
        <v>8</v>
      </c>
      <c r="M91">
        <f>IF(AND(L91&gt;=COMBINACIONES_PH!$B$9,K91+L91-1&lt;=$J$2),1,0)</f>
        <v/>
      </c>
      <c r="N91">
        <f>IF(M91=1,_xlfn.STDEV.S(INDEX($J$5:$J$34,K91):INDEX($J$5:$J$34,K91+L91-1))/AVERAGE(INDEX($J$5:$J$34,K91):INDEX($J$5:$J$34,K91+L91-1)),"")</f>
        <v/>
      </c>
      <c r="O91">
        <f>IF(M91=1,IF(N91&lt;=COMBINACIONES_PH!$B$5,1,0),"")</f>
        <v/>
      </c>
      <c r="P91">
        <f>IF(M91=1,IF(O91=1,-L91,100)+N91+ROW()*0.000000000001,"")</f>
        <v/>
      </c>
    </row>
    <row r="92">
      <c r="K92" t="n">
        <v>4</v>
      </c>
      <c r="L92" t="n">
        <v>9</v>
      </c>
      <c r="M92">
        <f>IF(AND(L92&gt;=COMBINACIONES_PH!$B$9,K92+L92-1&lt;=$J$2),1,0)</f>
        <v/>
      </c>
      <c r="N92">
        <f>IF(M92=1,_xlfn.STDEV.S(INDEX($J$5:$J$34,K92):INDEX($J$5:$J$34,K92+L92-1))/AVERAGE(INDEX($J$5:$J$34,K92):INDEX($J$5:$J$34,K92+L92-1)),"")</f>
        <v/>
      </c>
      <c r="O92">
        <f>IF(M92=1,IF(N92&lt;=COMBINACIONES_PH!$B$5,1,0),"")</f>
        <v/>
      </c>
      <c r="P92">
        <f>IF(M92=1,IF(O92=1,-L92,100)+N92+ROW()*0.000000000001,"")</f>
        <v/>
      </c>
    </row>
    <row r="93">
      <c r="K93" t="n">
        <v>4</v>
      </c>
      <c r="L93" t="n">
        <v>10</v>
      </c>
      <c r="M93">
        <f>IF(AND(L93&gt;=COMBINACIONES_PH!$B$9,K93+L93-1&lt;=$J$2),1,0)</f>
        <v/>
      </c>
      <c r="N93">
        <f>IF(M93=1,_xlfn.STDEV.S(INDEX($J$5:$J$34,K93):INDEX($J$5:$J$34,K93+L93-1))/AVERAGE(INDEX($J$5:$J$34,K93):INDEX($J$5:$J$34,K93+L93-1)),"")</f>
        <v/>
      </c>
      <c r="O93">
        <f>IF(M93=1,IF(N93&lt;=COMBINACIONES_PH!$B$5,1,0),"")</f>
        <v/>
      </c>
      <c r="P93">
        <f>IF(M93=1,IF(O93=1,-L93,100)+N93+ROW()*0.000000000001,"")</f>
        <v/>
      </c>
    </row>
    <row r="94">
      <c r="K94" t="n">
        <v>4</v>
      </c>
      <c r="L94" t="n">
        <v>11</v>
      </c>
      <c r="M94">
        <f>IF(AND(L94&gt;=COMBINACIONES_PH!$B$9,K94+L94-1&lt;=$J$2),1,0)</f>
        <v/>
      </c>
      <c r="N94">
        <f>IF(M94=1,_xlfn.STDEV.S(INDEX($J$5:$J$34,K94):INDEX($J$5:$J$34,K94+L94-1))/AVERAGE(INDEX($J$5:$J$34,K94):INDEX($J$5:$J$34,K94+L94-1)),"")</f>
        <v/>
      </c>
      <c r="O94">
        <f>IF(M94=1,IF(N94&lt;=COMBINACIONES_PH!$B$5,1,0),"")</f>
        <v/>
      </c>
      <c r="P94">
        <f>IF(M94=1,IF(O94=1,-L94,100)+N94+ROW()*0.000000000001,"")</f>
        <v/>
      </c>
    </row>
    <row r="95">
      <c r="K95" t="n">
        <v>4</v>
      </c>
      <c r="L95" t="n">
        <v>12</v>
      </c>
      <c r="M95">
        <f>IF(AND(L95&gt;=COMBINACIONES_PH!$B$9,K95+L95-1&lt;=$J$2),1,0)</f>
        <v/>
      </c>
      <c r="N95">
        <f>IF(M95=1,_xlfn.STDEV.S(INDEX($J$5:$J$34,K95):INDEX($J$5:$J$34,K95+L95-1))/AVERAGE(INDEX($J$5:$J$34,K95):INDEX($J$5:$J$34,K95+L95-1)),"")</f>
        <v/>
      </c>
      <c r="O95">
        <f>IF(M95=1,IF(N95&lt;=COMBINACIONES_PH!$B$5,1,0),"")</f>
        <v/>
      </c>
      <c r="P95">
        <f>IF(M95=1,IF(O95=1,-L95,100)+N95+ROW()*0.000000000001,"")</f>
        <v/>
      </c>
    </row>
    <row r="96">
      <c r="K96" t="n">
        <v>4</v>
      </c>
      <c r="L96" t="n">
        <v>13</v>
      </c>
      <c r="M96">
        <f>IF(AND(L96&gt;=COMBINACIONES_PH!$B$9,K96+L96-1&lt;=$J$2),1,0)</f>
        <v/>
      </c>
      <c r="N96">
        <f>IF(M96=1,_xlfn.STDEV.S(INDEX($J$5:$J$34,K96):INDEX($J$5:$J$34,K96+L96-1))/AVERAGE(INDEX($J$5:$J$34,K96):INDEX($J$5:$J$34,K96+L96-1)),"")</f>
        <v/>
      </c>
      <c r="O96">
        <f>IF(M96=1,IF(N96&lt;=COMBINACIONES_PH!$B$5,1,0),"")</f>
        <v/>
      </c>
      <c r="P96">
        <f>IF(M96=1,IF(O96=1,-L96,100)+N96+ROW()*0.000000000001,"")</f>
        <v/>
      </c>
    </row>
    <row r="97">
      <c r="K97" t="n">
        <v>4</v>
      </c>
      <c r="L97" t="n">
        <v>14</v>
      </c>
      <c r="M97">
        <f>IF(AND(L97&gt;=COMBINACIONES_PH!$B$9,K97+L97-1&lt;=$J$2),1,0)</f>
        <v/>
      </c>
      <c r="N97">
        <f>IF(M97=1,_xlfn.STDEV.S(INDEX($J$5:$J$34,K97):INDEX($J$5:$J$34,K97+L97-1))/AVERAGE(INDEX($J$5:$J$34,K97):INDEX($J$5:$J$34,K97+L97-1)),"")</f>
        <v/>
      </c>
      <c r="O97">
        <f>IF(M97=1,IF(N97&lt;=COMBINACIONES_PH!$B$5,1,0),"")</f>
        <v/>
      </c>
      <c r="P97">
        <f>IF(M97=1,IF(O97=1,-L97,100)+N97+ROW()*0.000000000001,"")</f>
        <v/>
      </c>
    </row>
    <row r="98">
      <c r="K98" t="n">
        <v>4</v>
      </c>
      <c r="L98" t="n">
        <v>15</v>
      </c>
      <c r="M98">
        <f>IF(AND(L98&gt;=COMBINACIONES_PH!$B$9,K98+L98-1&lt;=$J$2),1,0)</f>
        <v/>
      </c>
      <c r="N98">
        <f>IF(M98=1,_xlfn.STDEV.S(INDEX($J$5:$J$34,K98):INDEX($J$5:$J$34,K98+L98-1))/AVERAGE(INDEX($J$5:$J$34,K98):INDEX($J$5:$J$34,K98+L98-1)),"")</f>
        <v/>
      </c>
      <c r="O98">
        <f>IF(M98=1,IF(N98&lt;=COMBINACIONES_PH!$B$5,1,0),"")</f>
        <v/>
      </c>
      <c r="P98">
        <f>IF(M98=1,IF(O98=1,-L98,100)+N98+ROW()*0.000000000001,"")</f>
        <v/>
      </c>
    </row>
    <row r="99">
      <c r="K99" t="n">
        <v>4</v>
      </c>
      <c r="L99" t="n">
        <v>16</v>
      </c>
      <c r="M99">
        <f>IF(AND(L99&gt;=COMBINACIONES_PH!$B$9,K99+L99-1&lt;=$J$2),1,0)</f>
        <v/>
      </c>
      <c r="N99">
        <f>IF(M99=1,_xlfn.STDEV.S(INDEX($J$5:$J$34,K99):INDEX($J$5:$J$34,K99+L99-1))/AVERAGE(INDEX($J$5:$J$34,K99):INDEX($J$5:$J$34,K99+L99-1)),"")</f>
        <v/>
      </c>
      <c r="O99">
        <f>IF(M99=1,IF(N99&lt;=COMBINACIONES_PH!$B$5,1,0),"")</f>
        <v/>
      </c>
      <c r="P99">
        <f>IF(M99=1,IF(O99=1,-L99,100)+N99+ROW()*0.000000000001,"")</f>
        <v/>
      </c>
    </row>
    <row r="100">
      <c r="K100" t="n">
        <v>4</v>
      </c>
      <c r="L100" t="n">
        <v>17</v>
      </c>
      <c r="M100">
        <f>IF(AND(L100&gt;=COMBINACIONES_PH!$B$9,K100+L100-1&lt;=$J$2),1,0)</f>
        <v/>
      </c>
      <c r="N100">
        <f>IF(M100=1,_xlfn.STDEV.S(INDEX($J$5:$J$34,K100):INDEX($J$5:$J$34,K100+L100-1))/AVERAGE(INDEX($J$5:$J$34,K100):INDEX($J$5:$J$34,K100+L100-1)),"")</f>
        <v/>
      </c>
      <c r="O100">
        <f>IF(M100=1,IF(N100&lt;=COMBINACIONES_PH!$B$5,1,0),"")</f>
        <v/>
      </c>
      <c r="P100">
        <f>IF(M100=1,IF(O100=1,-L100,100)+N100+ROW()*0.000000000001,"")</f>
        <v/>
      </c>
    </row>
    <row r="101">
      <c r="K101" t="n">
        <v>4</v>
      </c>
      <c r="L101" t="n">
        <v>18</v>
      </c>
      <c r="M101">
        <f>IF(AND(L101&gt;=COMBINACIONES_PH!$B$9,K101+L101-1&lt;=$J$2),1,0)</f>
        <v/>
      </c>
      <c r="N101">
        <f>IF(M101=1,_xlfn.STDEV.S(INDEX($J$5:$J$34,K101):INDEX($J$5:$J$34,K101+L101-1))/AVERAGE(INDEX($J$5:$J$34,K101):INDEX($J$5:$J$34,K101+L101-1)),"")</f>
        <v/>
      </c>
      <c r="O101">
        <f>IF(M101=1,IF(N101&lt;=COMBINACIONES_PH!$B$5,1,0),"")</f>
        <v/>
      </c>
      <c r="P101">
        <f>IF(M101=1,IF(O101=1,-L101,100)+N101+ROW()*0.000000000001,"")</f>
        <v/>
      </c>
    </row>
    <row r="102">
      <c r="K102" t="n">
        <v>4</v>
      </c>
      <c r="L102" t="n">
        <v>19</v>
      </c>
      <c r="M102">
        <f>IF(AND(L102&gt;=COMBINACIONES_PH!$B$9,K102+L102-1&lt;=$J$2),1,0)</f>
        <v/>
      </c>
      <c r="N102">
        <f>IF(M102=1,_xlfn.STDEV.S(INDEX($J$5:$J$34,K102):INDEX($J$5:$J$34,K102+L102-1))/AVERAGE(INDEX($J$5:$J$34,K102):INDEX($J$5:$J$34,K102+L102-1)),"")</f>
        <v/>
      </c>
      <c r="O102">
        <f>IF(M102=1,IF(N102&lt;=COMBINACIONES_PH!$B$5,1,0),"")</f>
        <v/>
      </c>
      <c r="P102">
        <f>IF(M102=1,IF(O102=1,-L102,100)+N102+ROW()*0.000000000001,"")</f>
        <v/>
      </c>
    </row>
    <row r="103">
      <c r="K103" t="n">
        <v>4</v>
      </c>
      <c r="L103" t="n">
        <v>20</v>
      </c>
      <c r="M103">
        <f>IF(AND(L103&gt;=COMBINACIONES_PH!$B$9,K103+L103-1&lt;=$J$2),1,0)</f>
        <v/>
      </c>
      <c r="N103">
        <f>IF(M103=1,_xlfn.STDEV.S(INDEX($J$5:$J$34,K103):INDEX($J$5:$J$34,K103+L103-1))/AVERAGE(INDEX($J$5:$J$34,K103):INDEX($J$5:$J$34,K103+L103-1)),"")</f>
        <v/>
      </c>
      <c r="O103">
        <f>IF(M103=1,IF(N103&lt;=COMBINACIONES_PH!$B$5,1,0),"")</f>
        <v/>
      </c>
      <c r="P103">
        <f>IF(M103=1,IF(O103=1,-L103,100)+N103+ROW()*0.000000000001,"")</f>
        <v/>
      </c>
    </row>
    <row r="104">
      <c r="K104" t="n">
        <v>4</v>
      </c>
      <c r="L104" t="n">
        <v>21</v>
      </c>
      <c r="M104">
        <f>IF(AND(L104&gt;=COMBINACIONES_PH!$B$9,K104+L104-1&lt;=$J$2),1,0)</f>
        <v/>
      </c>
      <c r="N104">
        <f>IF(M104=1,_xlfn.STDEV.S(INDEX($J$5:$J$34,K104):INDEX($J$5:$J$34,K104+L104-1))/AVERAGE(INDEX($J$5:$J$34,K104):INDEX($J$5:$J$34,K104+L104-1)),"")</f>
        <v/>
      </c>
      <c r="O104">
        <f>IF(M104=1,IF(N104&lt;=COMBINACIONES_PH!$B$5,1,0),"")</f>
        <v/>
      </c>
      <c r="P104">
        <f>IF(M104=1,IF(O104=1,-L104,100)+N104+ROW()*0.000000000001,"")</f>
        <v/>
      </c>
    </row>
    <row r="105">
      <c r="K105" t="n">
        <v>4</v>
      </c>
      <c r="L105" t="n">
        <v>22</v>
      </c>
      <c r="M105">
        <f>IF(AND(L105&gt;=COMBINACIONES_PH!$B$9,K105+L105-1&lt;=$J$2),1,0)</f>
        <v/>
      </c>
      <c r="N105">
        <f>IF(M105=1,_xlfn.STDEV.S(INDEX($J$5:$J$34,K105):INDEX($J$5:$J$34,K105+L105-1))/AVERAGE(INDEX($J$5:$J$34,K105):INDEX($J$5:$J$34,K105+L105-1)),"")</f>
        <v/>
      </c>
      <c r="O105">
        <f>IF(M105=1,IF(N105&lt;=COMBINACIONES_PH!$B$5,1,0),"")</f>
        <v/>
      </c>
      <c r="P105">
        <f>IF(M105=1,IF(O105=1,-L105,100)+N105+ROW()*0.000000000001,"")</f>
        <v/>
      </c>
    </row>
    <row r="106">
      <c r="K106" t="n">
        <v>4</v>
      </c>
      <c r="L106" t="n">
        <v>23</v>
      </c>
      <c r="M106">
        <f>IF(AND(L106&gt;=COMBINACIONES_PH!$B$9,K106+L106-1&lt;=$J$2),1,0)</f>
        <v/>
      </c>
      <c r="N106">
        <f>IF(M106=1,_xlfn.STDEV.S(INDEX($J$5:$J$34,K106):INDEX($J$5:$J$34,K106+L106-1))/AVERAGE(INDEX($J$5:$J$34,K106):INDEX($J$5:$J$34,K106+L106-1)),"")</f>
        <v/>
      </c>
      <c r="O106">
        <f>IF(M106=1,IF(N106&lt;=COMBINACIONES_PH!$B$5,1,0),"")</f>
        <v/>
      </c>
      <c r="P106">
        <f>IF(M106=1,IF(O106=1,-L106,100)+N106+ROW()*0.000000000001,"")</f>
        <v/>
      </c>
    </row>
    <row r="107">
      <c r="K107" t="n">
        <v>4</v>
      </c>
      <c r="L107" t="n">
        <v>24</v>
      </c>
      <c r="M107">
        <f>IF(AND(L107&gt;=COMBINACIONES_PH!$B$9,K107+L107-1&lt;=$J$2),1,0)</f>
        <v/>
      </c>
      <c r="N107">
        <f>IF(M107=1,_xlfn.STDEV.S(INDEX($J$5:$J$34,K107):INDEX($J$5:$J$34,K107+L107-1))/AVERAGE(INDEX($J$5:$J$34,K107):INDEX($J$5:$J$34,K107+L107-1)),"")</f>
        <v/>
      </c>
      <c r="O107">
        <f>IF(M107=1,IF(N107&lt;=COMBINACIONES_PH!$B$5,1,0),"")</f>
        <v/>
      </c>
      <c r="P107">
        <f>IF(M107=1,IF(O107=1,-L107,100)+N107+ROW()*0.000000000001,"")</f>
        <v/>
      </c>
    </row>
    <row r="108">
      <c r="K108" t="n">
        <v>4</v>
      </c>
      <c r="L108" t="n">
        <v>25</v>
      </c>
      <c r="M108">
        <f>IF(AND(L108&gt;=COMBINACIONES_PH!$B$9,K108+L108-1&lt;=$J$2),1,0)</f>
        <v/>
      </c>
      <c r="N108">
        <f>IF(M108=1,_xlfn.STDEV.S(INDEX($J$5:$J$34,K108):INDEX($J$5:$J$34,K108+L108-1))/AVERAGE(INDEX($J$5:$J$34,K108):INDEX($J$5:$J$34,K108+L108-1)),"")</f>
        <v/>
      </c>
      <c r="O108">
        <f>IF(M108=1,IF(N108&lt;=COMBINACIONES_PH!$B$5,1,0),"")</f>
        <v/>
      </c>
      <c r="P108">
        <f>IF(M108=1,IF(O108=1,-L108,100)+N108+ROW()*0.000000000001,"")</f>
        <v/>
      </c>
    </row>
    <row r="109">
      <c r="K109" t="n">
        <v>4</v>
      </c>
      <c r="L109" t="n">
        <v>26</v>
      </c>
      <c r="M109">
        <f>IF(AND(L109&gt;=COMBINACIONES_PH!$B$9,K109+L109-1&lt;=$J$2),1,0)</f>
        <v/>
      </c>
      <c r="N109">
        <f>IF(M109=1,_xlfn.STDEV.S(INDEX($J$5:$J$34,K109):INDEX($J$5:$J$34,K109+L109-1))/AVERAGE(INDEX($J$5:$J$34,K109):INDEX($J$5:$J$34,K109+L109-1)),"")</f>
        <v/>
      </c>
      <c r="O109">
        <f>IF(M109=1,IF(N109&lt;=COMBINACIONES_PH!$B$5,1,0),"")</f>
        <v/>
      </c>
      <c r="P109">
        <f>IF(M109=1,IF(O109=1,-L109,100)+N109+ROW()*0.000000000001,"")</f>
        <v/>
      </c>
    </row>
    <row r="110">
      <c r="K110" t="n">
        <v>4</v>
      </c>
      <c r="L110" t="n">
        <v>27</v>
      </c>
      <c r="M110">
        <f>IF(AND(L110&gt;=COMBINACIONES_PH!$B$9,K110+L110-1&lt;=$J$2),1,0)</f>
        <v/>
      </c>
      <c r="N110">
        <f>IF(M110=1,_xlfn.STDEV.S(INDEX($J$5:$J$34,K110):INDEX($J$5:$J$34,K110+L110-1))/AVERAGE(INDEX($J$5:$J$34,K110):INDEX($J$5:$J$34,K110+L110-1)),"")</f>
        <v/>
      </c>
      <c r="O110">
        <f>IF(M110=1,IF(N110&lt;=COMBINACIONES_PH!$B$5,1,0),"")</f>
        <v/>
      </c>
      <c r="P110">
        <f>IF(M110=1,IF(O110=1,-L110,100)+N110+ROW()*0.000000000001,"")</f>
        <v/>
      </c>
    </row>
    <row r="111">
      <c r="K111" t="n">
        <v>5</v>
      </c>
      <c r="L111" t="n">
        <v>3</v>
      </c>
      <c r="M111">
        <f>IF(AND(L111&gt;=COMBINACIONES_PH!$B$9,K111+L111-1&lt;=$J$2),1,0)</f>
        <v/>
      </c>
      <c r="N111">
        <f>IF(M111=1,_xlfn.STDEV.S(INDEX($J$5:$J$34,K111):INDEX($J$5:$J$34,K111+L111-1))/AVERAGE(INDEX($J$5:$J$34,K111):INDEX($J$5:$J$34,K111+L111-1)),"")</f>
        <v/>
      </c>
      <c r="O111">
        <f>IF(M111=1,IF(N111&lt;=COMBINACIONES_PH!$B$5,1,0),"")</f>
        <v/>
      </c>
      <c r="P111">
        <f>IF(M111=1,IF(O111=1,-L111,100)+N111+ROW()*0.000000000001,"")</f>
        <v/>
      </c>
    </row>
    <row r="112">
      <c r="K112" t="n">
        <v>5</v>
      </c>
      <c r="L112" t="n">
        <v>4</v>
      </c>
      <c r="M112">
        <f>IF(AND(L112&gt;=COMBINACIONES_PH!$B$9,K112+L112-1&lt;=$J$2),1,0)</f>
        <v/>
      </c>
      <c r="N112">
        <f>IF(M112=1,_xlfn.STDEV.S(INDEX($J$5:$J$34,K112):INDEX($J$5:$J$34,K112+L112-1))/AVERAGE(INDEX($J$5:$J$34,K112):INDEX($J$5:$J$34,K112+L112-1)),"")</f>
        <v/>
      </c>
      <c r="O112">
        <f>IF(M112=1,IF(N112&lt;=COMBINACIONES_PH!$B$5,1,0),"")</f>
        <v/>
      </c>
      <c r="P112">
        <f>IF(M112=1,IF(O112=1,-L112,100)+N112+ROW()*0.000000000001,"")</f>
        <v/>
      </c>
    </row>
    <row r="113">
      <c r="K113" t="n">
        <v>5</v>
      </c>
      <c r="L113" t="n">
        <v>5</v>
      </c>
      <c r="M113">
        <f>IF(AND(L113&gt;=COMBINACIONES_PH!$B$9,K113+L113-1&lt;=$J$2),1,0)</f>
        <v/>
      </c>
      <c r="N113">
        <f>IF(M113=1,_xlfn.STDEV.S(INDEX($J$5:$J$34,K113):INDEX($J$5:$J$34,K113+L113-1))/AVERAGE(INDEX($J$5:$J$34,K113):INDEX($J$5:$J$34,K113+L113-1)),"")</f>
        <v/>
      </c>
      <c r="O113">
        <f>IF(M113=1,IF(N113&lt;=COMBINACIONES_PH!$B$5,1,0),"")</f>
        <v/>
      </c>
      <c r="P113">
        <f>IF(M113=1,IF(O113=1,-L113,100)+N113+ROW()*0.000000000001,"")</f>
        <v/>
      </c>
    </row>
    <row r="114">
      <c r="K114" t="n">
        <v>5</v>
      </c>
      <c r="L114" t="n">
        <v>6</v>
      </c>
      <c r="M114">
        <f>IF(AND(L114&gt;=COMBINACIONES_PH!$B$9,K114+L114-1&lt;=$J$2),1,0)</f>
        <v/>
      </c>
      <c r="N114">
        <f>IF(M114=1,_xlfn.STDEV.S(INDEX($J$5:$J$34,K114):INDEX($J$5:$J$34,K114+L114-1))/AVERAGE(INDEX($J$5:$J$34,K114):INDEX($J$5:$J$34,K114+L114-1)),"")</f>
        <v/>
      </c>
      <c r="O114">
        <f>IF(M114=1,IF(N114&lt;=COMBINACIONES_PH!$B$5,1,0),"")</f>
        <v/>
      </c>
      <c r="P114">
        <f>IF(M114=1,IF(O114=1,-L114,100)+N114+ROW()*0.000000000001,"")</f>
        <v/>
      </c>
    </row>
    <row r="115">
      <c r="K115" t="n">
        <v>5</v>
      </c>
      <c r="L115" t="n">
        <v>7</v>
      </c>
      <c r="M115">
        <f>IF(AND(L115&gt;=COMBINACIONES_PH!$B$9,K115+L115-1&lt;=$J$2),1,0)</f>
        <v/>
      </c>
      <c r="N115">
        <f>IF(M115=1,_xlfn.STDEV.S(INDEX($J$5:$J$34,K115):INDEX($J$5:$J$34,K115+L115-1))/AVERAGE(INDEX($J$5:$J$34,K115):INDEX($J$5:$J$34,K115+L115-1)),"")</f>
        <v/>
      </c>
      <c r="O115">
        <f>IF(M115=1,IF(N115&lt;=COMBINACIONES_PH!$B$5,1,0),"")</f>
        <v/>
      </c>
      <c r="P115">
        <f>IF(M115=1,IF(O115=1,-L115,100)+N115+ROW()*0.000000000001,"")</f>
        <v/>
      </c>
    </row>
    <row r="116">
      <c r="K116" t="n">
        <v>5</v>
      </c>
      <c r="L116" t="n">
        <v>8</v>
      </c>
      <c r="M116">
        <f>IF(AND(L116&gt;=COMBINACIONES_PH!$B$9,K116+L116-1&lt;=$J$2),1,0)</f>
        <v/>
      </c>
      <c r="N116">
        <f>IF(M116=1,_xlfn.STDEV.S(INDEX($J$5:$J$34,K116):INDEX($J$5:$J$34,K116+L116-1))/AVERAGE(INDEX($J$5:$J$34,K116):INDEX($J$5:$J$34,K116+L116-1)),"")</f>
        <v/>
      </c>
      <c r="O116">
        <f>IF(M116=1,IF(N116&lt;=COMBINACIONES_PH!$B$5,1,0),"")</f>
        <v/>
      </c>
      <c r="P116">
        <f>IF(M116=1,IF(O116=1,-L116,100)+N116+ROW()*0.000000000001,"")</f>
        <v/>
      </c>
    </row>
    <row r="117">
      <c r="K117" t="n">
        <v>5</v>
      </c>
      <c r="L117" t="n">
        <v>9</v>
      </c>
      <c r="M117">
        <f>IF(AND(L117&gt;=COMBINACIONES_PH!$B$9,K117+L117-1&lt;=$J$2),1,0)</f>
        <v/>
      </c>
      <c r="N117">
        <f>IF(M117=1,_xlfn.STDEV.S(INDEX($J$5:$J$34,K117):INDEX($J$5:$J$34,K117+L117-1))/AVERAGE(INDEX($J$5:$J$34,K117):INDEX($J$5:$J$34,K117+L117-1)),"")</f>
        <v/>
      </c>
      <c r="O117">
        <f>IF(M117=1,IF(N117&lt;=COMBINACIONES_PH!$B$5,1,0),"")</f>
        <v/>
      </c>
      <c r="P117">
        <f>IF(M117=1,IF(O117=1,-L117,100)+N117+ROW()*0.000000000001,"")</f>
        <v/>
      </c>
    </row>
    <row r="118">
      <c r="K118" t="n">
        <v>5</v>
      </c>
      <c r="L118" t="n">
        <v>10</v>
      </c>
      <c r="M118">
        <f>IF(AND(L118&gt;=COMBINACIONES_PH!$B$9,K118+L118-1&lt;=$J$2),1,0)</f>
        <v/>
      </c>
      <c r="N118">
        <f>IF(M118=1,_xlfn.STDEV.S(INDEX($J$5:$J$34,K118):INDEX($J$5:$J$34,K118+L118-1))/AVERAGE(INDEX($J$5:$J$34,K118):INDEX($J$5:$J$34,K118+L118-1)),"")</f>
        <v/>
      </c>
      <c r="O118">
        <f>IF(M118=1,IF(N118&lt;=COMBINACIONES_PH!$B$5,1,0),"")</f>
        <v/>
      </c>
      <c r="P118">
        <f>IF(M118=1,IF(O118=1,-L118,100)+N118+ROW()*0.000000000001,"")</f>
        <v/>
      </c>
    </row>
    <row r="119">
      <c r="K119" t="n">
        <v>5</v>
      </c>
      <c r="L119" t="n">
        <v>11</v>
      </c>
      <c r="M119">
        <f>IF(AND(L119&gt;=COMBINACIONES_PH!$B$9,K119+L119-1&lt;=$J$2),1,0)</f>
        <v/>
      </c>
      <c r="N119">
        <f>IF(M119=1,_xlfn.STDEV.S(INDEX($J$5:$J$34,K119):INDEX($J$5:$J$34,K119+L119-1))/AVERAGE(INDEX($J$5:$J$34,K119):INDEX($J$5:$J$34,K119+L119-1)),"")</f>
        <v/>
      </c>
      <c r="O119">
        <f>IF(M119=1,IF(N119&lt;=COMBINACIONES_PH!$B$5,1,0),"")</f>
        <v/>
      </c>
      <c r="P119">
        <f>IF(M119=1,IF(O119=1,-L119,100)+N119+ROW()*0.000000000001,"")</f>
        <v/>
      </c>
    </row>
    <row r="120">
      <c r="K120" t="n">
        <v>5</v>
      </c>
      <c r="L120" t="n">
        <v>12</v>
      </c>
      <c r="M120">
        <f>IF(AND(L120&gt;=COMBINACIONES_PH!$B$9,K120+L120-1&lt;=$J$2),1,0)</f>
        <v/>
      </c>
      <c r="N120">
        <f>IF(M120=1,_xlfn.STDEV.S(INDEX($J$5:$J$34,K120):INDEX($J$5:$J$34,K120+L120-1))/AVERAGE(INDEX($J$5:$J$34,K120):INDEX($J$5:$J$34,K120+L120-1)),"")</f>
        <v/>
      </c>
      <c r="O120">
        <f>IF(M120=1,IF(N120&lt;=COMBINACIONES_PH!$B$5,1,0),"")</f>
        <v/>
      </c>
      <c r="P120">
        <f>IF(M120=1,IF(O120=1,-L120,100)+N120+ROW()*0.000000000001,"")</f>
        <v/>
      </c>
    </row>
    <row r="121">
      <c r="K121" t="n">
        <v>5</v>
      </c>
      <c r="L121" t="n">
        <v>13</v>
      </c>
      <c r="M121">
        <f>IF(AND(L121&gt;=COMBINACIONES_PH!$B$9,K121+L121-1&lt;=$J$2),1,0)</f>
        <v/>
      </c>
      <c r="N121">
        <f>IF(M121=1,_xlfn.STDEV.S(INDEX($J$5:$J$34,K121):INDEX($J$5:$J$34,K121+L121-1))/AVERAGE(INDEX($J$5:$J$34,K121):INDEX($J$5:$J$34,K121+L121-1)),"")</f>
        <v/>
      </c>
      <c r="O121">
        <f>IF(M121=1,IF(N121&lt;=COMBINACIONES_PH!$B$5,1,0),"")</f>
        <v/>
      </c>
      <c r="P121">
        <f>IF(M121=1,IF(O121=1,-L121,100)+N121+ROW()*0.000000000001,"")</f>
        <v/>
      </c>
    </row>
    <row r="122">
      <c r="K122" t="n">
        <v>5</v>
      </c>
      <c r="L122" t="n">
        <v>14</v>
      </c>
      <c r="M122">
        <f>IF(AND(L122&gt;=COMBINACIONES_PH!$B$9,K122+L122-1&lt;=$J$2),1,0)</f>
        <v/>
      </c>
      <c r="N122">
        <f>IF(M122=1,_xlfn.STDEV.S(INDEX($J$5:$J$34,K122):INDEX($J$5:$J$34,K122+L122-1))/AVERAGE(INDEX($J$5:$J$34,K122):INDEX($J$5:$J$34,K122+L122-1)),"")</f>
        <v/>
      </c>
      <c r="O122">
        <f>IF(M122=1,IF(N122&lt;=COMBINACIONES_PH!$B$5,1,0),"")</f>
        <v/>
      </c>
      <c r="P122">
        <f>IF(M122=1,IF(O122=1,-L122,100)+N122+ROW()*0.000000000001,"")</f>
        <v/>
      </c>
    </row>
    <row r="123">
      <c r="K123" t="n">
        <v>5</v>
      </c>
      <c r="L123" t="n">
        <v>15</v>
      </c>
      <c r="M123">
        <f>IF(AND(L123&gt;=COMBINACIONES_PH!$B$9,K123+L123-1&lt;=$J$2),1,0)</f>
        <v/>
      </c>
      <c r="N123">
        <f>IF(M123=1,_xlfn.STDEV.S(INDEX($J$5:$J$34,K123):INDEX($J$5:$J$34,K123+L123-1))/AVERAGE(INDEX($J$5:$J$34,K123):INDEX($J$5:$J$34,K123+L123-1)),"")</f>
        <v/>
      </c>
      <c r="O123">
        <f>IF(M123=1,IF(N123&lt;=COMBINACIONES_PH!$B$5,1,0),"")</f>
        <v/>
      </c>
      <c r="P123">
        <f>IF(M123=1,IF(O123=1,-L123,100)+N123+ROW()*0.000000000001,"")</f>
        <v/>
      </c>
    </row>
    <row r="124">
      <c r="K124" t="n">
        <v>5</v>
      </c>
      <c r="L124" t="n">
        <v>16</v>
      </c>
      <c r="M124">
        <f>IF(AND(L124&gt;=COMBINACIONES_PH!$B$9,K124+L124-1&lt;=$J$2),1,0)</f>
        <v/>
      </c>
      <c r="N124">
        <f>IF(M124=1,_xlfn.STDEV.S(INDEX($J$5:$J$34,K124):INDEX($J$5:$J$34,K124+L124-1))/AVERAGE(INDEX($J$5:$J$34,K124):INDEX($J$5:$J$34,K124+L124-1)),"")</f>
        <v/>
      </c>
      <c r="O124">
        <f>IF(M124=1,IF(N124&lt;=COMBINACIONES_PH!$B$5,1,0),"")</f>
        <v/>
      </c>
      <c r="P124">
        <f>IF(M124=1,IF(O124=1,-L124,100)+N124+ROW()*0.000000000001,"")</f>
        <v/>
      </c>
    </row>
    <row r="125">
      <c r="K125" t="n">
        <v>5</v>
      </c>
      <c r="L125" t="n">
        <v>17</v>
      </c>
      <c r="M125">
        <f>IF(AND(L125&gt;=COMBINACIONES_PH!$B$9,K125+L125-1&lt;=$J$2),1,0)</f>
        <v/>
      </c>
      <c r="N125">
        <f>IF(M125=1,_xlfn.STDEV.S(INDEX($J$5:$J$34,K125):INDEX($J$5:$J$34,K125+L125-1))/AVERAGE(INDEX($J$5:$J$34,K125):INDEX($J$5:$J$34,K125+L125-1)),"")</f>
        <v/>
      </c>
      <c r="O125">
        <f>IF(M125=1,IF(N125&lt;=COMBINACIONES_PH!$B$5,1,0),"")</f>
        <v/>
      </c>
      <c r="P125">
        <f>IF(M125=1,IF(O125=1,-L125,100)+N125+ROW()*0.000000000001,"")</f>
        <v/>
      </c>
    </row>
    <row r="126">
      <c r="K126" t="n">
        <v>5</v>
      </c>
      <c r="L126" t="n">
        <v>18</v>
      </c>
      <c r="M126">
        <f>IF(AND(L126&gt;=COMBINACIONES_PH!$B$9,K126+L126-1&lt;=$J$2),1,0)</f>
        <v/>
      </c>
      <c r="N126">
        <f>IF(M126=1,_xlfn.STDEV.S(INDEX($J$5:$J$34,K126):INDEX($J$5:$J$34,K126+L126-1))/AVERAGE(INDEX($J$5:$J$34,K126):INDEX($J$5:$J$34,K126+L126-1)),"")</f>
        <v/>
      </c>
      <c r="O126">
        <f>IF(M126=1,IF(N126&lt;=COMBINACIONES_PH!$B$5,1,0),"")</f>
        <v/>
      </c>
      <c r="P126">
        <f>IF(M126=1,IF(O126=1,-L126,100)+N126+ROW()*0.000000000001,"")</f>
        <v/>
      </c>
    </row>
    <row r="127">
      <c r="K127" t="n">
        <v>5</v>
      </c>
      <c r="L127" t="n">
        <v>19</v>
      </c>
      <c r="M127">
        <f>IF(AND(L127&gt;=COMBINACIONES_PH!$B$9,K127+L127-1&lt;=$J$2),1,0)</f>
        <v/>
      </c>
      <c r="N127">
        <f>IF(M127=1,_xlfn.STDEV.S(INDEX($J$5:$J$34,K127):INDEX($J$5:$J$34,K127+L127-1))/AVERAGE(INDEX($J$5:$J$34,K127):INDEX($J$5:$J$34,K127+L127-1)),"")</f>
        <v/>
      </c>
      <c r="O127">
        <f>IF(M127=1,IF(N127&lt;=COMBINACIONES_PH!$B$5,1,0),"")</f>
        <v/>
      </c>
      <c r="P127">
        <f>IF(M127=1,IF(O127=1,-L127,100)+N127+ROW()*0.000000000001,"")</f>
        <v/>
      </c>
    </row>
    <row r="128">
      <c r="K128" t="n">
        <v>5</v>
      </c>
      <c r="L128" t="n">
        <v>20</v>
      </c>
      <c r="M128">
        <f>IF(AND(L128&gt;=COMBINACIONES_PH!$B$9,K128+L128-1&lt;=$J$2),1,0)</f>
        <v/>
      </c>
      <c r="N128">
        <f>IF(M128=1,_xlfn.STDEV.S(INDEX($J$5:$J$34,K128):INDEX($J$5:$J$34,K128+L128-1))/AVERAGE(INDEX($J$5:$J$34,K128):INDEX($J$5:$J$34,K128+L128-1)),"")</f>
        <v/>
      </c>
      <c r="O128">
        <f>IF(M128=1,IF(N128&lt;=COMBINACIONES_PH!$B$5,1,0),"")</f>
        <v/>
      </c>
      <c r="P128">
        <f>IF(M128=1,IF(O128=1,-L128,100)+N128+ROW()*0.000000000001,"")</f>
        <v/>
      </c>
    </row>
    <row r="129">
      <c r="K129" t="n">
        <v>5</v>
      </c>
      <c r="L129" t="n">
        <v>21</v>
      </c>
      <c r="M129">
        <f>IF(AND(L129&gt;=COMBINACIONES_PH!$B$9,K129+L129-1&lt;=$J$2),1,0)</f>
        <v/>
      </c>
      <c r="N129">
        <f>IF(M129=1,_xlfn.STDEV.S(INDEX($J$5:$J$34,K129):INDEX($J$5:$J$34,K129+L129-1))/AVERAGE(INDEX($J$5:$J$34,K129):INDEX($J$5:$J$34,K129+L129-1)),"")</f>
        <v/>
      </c>
      <c r="O129">
        <f>IF(M129=1,IF(N129&lt;=COMBINACIONES_PH!$B$5,1,0),"")</f>
        <v/>
      </c>
      <c r="P129">
        <f>IF(M129=1,IF(O129=1,-L129,100)+N129+ROW()*0.000000000001,"")</f>
        <v/>
      </c>
    </row>
    <row r="130">
      <c r="K130" t="n">
        <v>5</v>
      </c>
      <c r="L130" t="n">
        <v>22</v>
      </c>
      <c r="M130">
        <f>IF(AND(L130&gt;=COMBINACIONES_PH!$B$9,K130+L130-1&lt;=$J$2),1,0)</f>
        <v/>
      </c>
      <c r="N130">
        <f>IF(M130=1,_xlfn.STDEV.S(INDEX($J$5:$J$34,K130):INDEX($J$5:$J$34,K130+L130-1))/AVERAGE(INDEX($J$5:$J$34,K130):INDEX($J$5:$J$34,K130+L130-1)),"")</f>
        <v/>
      </c>
      <c r="O130">
        <f>IF(M130=1,IF(N130&lt;=COMBINACIONES_PH!$B$5,1,0),"")</f>
        <v/>
      </c>
      <c r="P130">
        <f>IF(M130=1,IF(O130=1,-L130,100)+N130+ROW()*0.000000000001,"")</f>
        <v/>
      </c>
    </row>
    <row r="131">
      <c r="K131" t="n">
        <v>5</v>
      </c>
      <c r="L131" t="n">
        <v>23</v>
      </c>
      <c r="M131">
        <f>IF(AND(L131&gt;=COMBINACIONES_PH!$B$9,K131+L131-1&lt;=$J$2),1,0)</f>
        <v/>
      </c>
      <c r="N131">
        <f>IF(M131=1,_xlfn.STDEV.S(INDEX($J$5:$J$34,K131):INDEX($J$5:$J$34,K131+L131-1))/AVERAGE(INDEX($J$5:$J$34,K131):INDEX($J$5:$J$34,K131+L131-1)),"")</f>
        <v/>
      </c>
      <c r="O131">
        <f>IF(M131=1,IF(N131&lt;=COMBINACIONES_PH!$B$5,1,0),"")</f>
        <v/>
      </c>
      <c r="P131">
        <f>IF(M131=1,IF(O131=1,-L131,100)+N131+ROW()*0.000000000001,"")</f>
        <v/>
      </c>
    </row>
    <row r="132">
      <c r="K132" t="n">
        <v>5</v>
      </c>
      <c r="L132" t="n">
        <v>24</v>
      </c>
      <c r="M132">
        <f>IF(AND(L132&gt;=COMBINACIONES_PH!$B$9,K132+L132-1&lt;=$J$2),1,0)</f>
        <v/>
      </c>
      <c r="N132">
        <f>IF(M132=1,_xlfn.STDEV.S(INDEX($J$5:$J$34,K132):INDEX($J$5:$J$34,K132+L132-1))/AVERAGE(INDEX($J$5:$J$34,K132):INDEX($J$5:$J$34,K132+L132-1)),"")</f>
        <v/>
      </c>
      <c r="O132">
        <f>IF(M132=1,IF(N132&lt;=COMBINACIONES_PH!$B$5,1,0),"")</f>
        <v/>
      </c>
      <c r="P132">
        <f>IF(M132=1,IF(O132=1,-L132,100)+N132+ROW()*0.000000000001,"")</f>
        <v/>
      </c>
    </row>
    <row r="133">
      <c r="K133" t="n">
        <v>5</v>
      </c>
      <c r="L133" t="n">
        <v>25</v>
      </c>
      <c r="M133">
        <f>IF(AND(L133&gt;=COMBINACIONES_PH!$B$9,K133+L133-1&lt;=$J$2),1,0)</f>
        <v/>
      </c>
      <c r="N133">
        <f>IF(M133=1,_xlfn.STDEV.S(INDEX($J$5:$J$34,K133):INDEX($J$5:$J$34,K133+L133-1))/AVERAGE(INDEX($J$5:$J$34,K133):INDEX($J$5:$J$34,K133+L133-1)),"")</f>
        <v/>
      </c>
      <c r="O133">
        <f>IF(M133=1,IF(N133&lt;=COMBINACIONES_PH!$B$5,1,0),"")</f>
        <v/>
      </c>
      <c r="P133">
        <f>IF(M133=1,IF(O133=1,-L133,100)+N133+ROW()*0.000000000001,"")</f>
        <v/>
      </c>
    </row>
    <row r="134">
      <c r="K134" t="n">
        <v>5</v>
      </c>
      <c r="L134" t="n">
        <v>26</v>
      </c>
      <c r="M134">
        <f>IF(AND(L134&gt;=COMBINACIONES_PH!$B$9,K134+L134-1&lt;=$J$2),1,0)</f>
        <v/>
      </c>
      <c r="N134">
        <f>IF(M134=1,_xlfn.STDEV.S(INDEX($J$5:$J$34,K134):INDEX($J$5:$J$34,K134+L134-1))/AVERAGE(INDEX($J$5:$J$34,K134):INDEX($J$5:$J$34,K134+L134-1)),"")</f>
        <v/>
      </c>
      <c r="O134">
        <f>IF(M134=1,IF(N134&lt;=COMBINACIONES_PH!$B$5,1,0),"")</f>
        <v/>
      </c>
      <c r="P134">
        <f>IF(M134=1,IF(O134=1,-L134,100)+N134+ROW()*0.000000000001,"")</f>
        <v/>
      </c>
    </row>
    <row r="135">
      <c r="K135" t="n">
        <v>6</v>
      </c>
      <c r="L135" t="n">
        <v>3</v>
      </c>
      <c r="M135">
        <f>IF(AND(L135&gt;=COMBINACIONES_PH!$B$9,K135+L135-1&lt;=$J$2),1,0)</f>
        <v/>
      </c>
      <c r="N135">
        <f>IF(M135=1,_xlfn.STDEV.S(INDEX($J$5:$J$34,K135):INDEX($J$5:$J$34,K135+L135-1))/AVERAGE(INDEX($J$5:$J$34,K135):INDEX($J$5:$J$34,K135+L135-1)),"")</f>
        <v/>
      </c>
      <c r="O135">
        <f>IF(M135=1,IF(N135&lt;=COMBINACIONES_PH!$B$5,1,0),"")</f>
        <v/>
      </c>
      <c r="P135">
        <f>IF(M135=1,IF(O135=1,-L135,100)+N135+ROW()*0.000000000001,"")</f>
        <v/>
      </c>
    </row>
    <row r="136">
      <c r="K136" t="n">
        <v>6</v>
      </c>
      <c r="L136" t="n">
        <v>4</v>
      </c>
      <c r="M136">
        <f>IF(AND(L136&gt;=COMBINACIONES_PH!$B$9,K136+L136-1&lt;=$J$2),1,0)</f>
        <v/>
      </c>
      <c r="N136">
        <f>IF(M136=1,_xlfn.STDEV.S(INDEX($J$5:$J$34,K136):INDEX($J$5:$J$34,K136+L136-1))/AVERAGE(INDEX($J$5:$J$34,K136):INDEX($J$5:$J$34,K136+L136-1)),"")</f>
        <v/>
      </c>
      <c r="O136">
        <f>IF(M136=1,IF(N136&lt;=COMBINACIONES_PH!$B$5,1,0),"")</f>
        <v/>
      </c>
      <c r="P136">
        <f>IF(M136=1,IF(O136=1,-L136,100)+N136+ROW()*0.000000000001,"")</f>
        <v/>
      </c>
    </row>
    <row r="137">
      <c r="K137" t="n">
        <v>6</v>
      </c>
      <c r="L137" t="n">
        <v>5</v>
      </c>
      <c r="M137">
        <f>IF(AND(L137&gt;=COMBINACIONES_PH!$B$9,K137+L137-1&lt;=$J$2),1,0)</f>
        <v/>
      </c>
      <c r="N137">
        <f>IF(M137=1,_xlfn.STDEV.S(INDEX($J$5:$J$34,K137):INDEX($J$5:$J$34,K137+L137-1))/AVERAGE(INDEX($J$5:$J$34,K137):INDEX($J$5:$J$34,K137+L137-1)),"")</f>
        <v/>
      </c>
      <c r="O137">
        <f>IF(M137=1,IF(N137&lt;=COMBINACIONES_PH!$B$5,1,0),"")</f>
        <v/>
      </c>
      <c r="P137">
        <f>IF(M137=1,IF(O137=1,-L137,100)+N137+ROW()*0.000000000001,"")</f>
        <v/>
      </c>
    </row>
    <row r="138">
      <c r="K138" t="n">
        <v>6</v>
      </c>
      <c r="L138" t="n">
        <v>6</v>
      </c>
      <c r="M138">
        <f>IF(AND(L138&gt;=COMBINACIONES_PH!$B$9,K138+L138-1&lt;=$J$2),1,0)</f>
        <v/>
      </c>
      <c r="N138">
        <f>IF(M138=1,_xlfn.STDEV.S(INDEX($J$5:$J$34,K138):INDEX($J$5:$J$34,K138+L138-1))/AVERAGE(INDEX($J$5:$J$34,K138):INDEX($J$5:$J$34,K138+L138-1)),"")</f>
        <v/>
      </c>
      <c r="O138">
        <f>IF(M138=1,IF(N138&lt;=COMBINACIONES_PH!$B$5,1,0),"")</f>
        <v/>
      </c>
      <c r="P138">
        <f>IF(M138=1,IF(O138=1,-L138,100)+N138+ROW()*0.000000000001,"")</f>
        <v/>
      </c>
    </row>
    <row r="139">
      <c r="K139" t="n">
        <v>6</v>
      </c>
      <c r="L139" t="n">
        <v>7</v>
      </c>
      <c r="M139">
        <f>IF(AND(L139&gt;=COMBINACIONES_PH!$B$9,K139+L139-1&lt;=$J$2),1,0)</f>
        <v/>
      </c>
      <c r="N139">
        <f>IF(M139=1,_xlfn.STDEV.S(INDEX($J$5:$J$34,K139):INDEX($J$5:$J$34,K139+L139-1))/AVERAGE(INDEX($J$5:$J$34,K139):INDEX($J$5:$J$34,K139+L139-1)),"")</f>
        <v/>
      </c>
      <c r="O139">
        <f>IF(M139=1,IF(N139&lt;=COMBINACIONES_PH!$B$5,1,0),"")</f>
        <v/>
      </c>
      <c r="P139">
        <f>IF(M139=1,IF(O139=1,-L139,100)+N139+ROW()*0.000000000001,"")</f>
        <v/>
      </c>
    </row>
    <row r="140">
      <c r="K140" t="n">
        <v>6</v>
      </c>
      <c r="L140" t="n">
        <v>8</v>
      </c>
      <c r="M140">
        <f>IF(AND(L140&gt;=COMBINACIONES_PH!$B$9,K140+L140-1&lt;=$J$2),1,0)</f>
        <v/>
      </c>
      <c r="N140">
        <f>IF(M140=1,_xlfn.STDEV.S(INDEX($J$5:$J$34,K140):INDEX($J$5:$J$34,K140+L140-1))/AVERAGE(INDEX($J$5:$J$34,K140):INDEX($J$5:$J$34,K140+L140-1)),"")</f>
        <v/>
      </c>
      <c r="O140">
        <f>IF(M140=1,IF(N140&lt;=COMBINACIONES_PH!$B$5,1,0),"")</f>
        <v/>
      </c>
      <c r="P140">
        <f>IF(M140=1,IF(O140=1,-L140,100)+N140+ROW()*0.000000000001,"")</f>
        <v/>
      </c>
    </row>
    <row r="141">
      <c r="K141" t="n">
        <v>6</v>
      </c>
      <c r="L141" t="n">
        <v>9</v>
      </c>
      <c r="M141">
        <f>IF(AND(L141&gt;=COMBINACIONES_PH!$B$9,K141+L141-1&lt;=$J$2),1,0)</f>
        <v/>
      </c>
      <c r="N141">
        <f>IF(M141=1,_xlfn.STDEV.S(INDEX($J$5:$J$34,K141):INDEX($J$5:$J$34,K141+L141-1))/AVERAGE(INDEX($J$5:$J$34,K141):INDEX($J$5:$J$34,K141+L141-1)),"")</f>
        <v/>
      </c>
      <c r="O141">
        <f>IF(M141=1,IF(N141&lt;=COMBINACIONES_PH!$B$5,1,0),"")</f>
        <v/>
      </c>
      <c r="P141">
        <f>IF(M141=1,IF(O141=1,-L141,100)+N141+ROW()*0.000000000001,"")</f>
        <v/>
      </c>
    </row>
    <row r="142">
      <c r="K142" t="n">
        <v>6</v>
      </c>
      <c r="L142" t="n">
        <v>10</v>
      </c>
      <c r="M142">
        <f>IF(AND(L142&gt;=COMBINACIONES_PH!$B$9,K142+L142-1&lt;=$J$2),1,0)</f>
        <v/>
      </c>
      <c r="N142">
        <f>IF(M142=1,_xlfn.STDEV.S(INDEX($J$5:$J$34,K142):INDEX($J$5:$J$34,K142+L142-1))/AVERAGE(INDEX($J$5:$J$34,K142):INDEX($J$5:$J$34,K142+L142-1)),"")</f>
        <v/>
      </c>
      <c r="O142">
        <f>IF(M142=1,IF(N142&lt;=COMBINACIONES_PH!$B$5,1,0),"")</f>
        <v/>
      </c>
      <c r="P142">
        <f>IF(M142=1,IF(O142=1,-L142,100)+N142+ROW()*0.000000000001,"")</f>
        <v/>
      </c>
    </row>
    <row r="143">
      <c r="K143" t="n">
        <v>6</v>
      </c>
      <c r="L143" t="n">
        <v>11</v>
      </c>
      <c r="M143">
        <f>IF(AND(L143&gt;=COMBINACIONES_PH!$B$9,K143+L143-1&lt;=$J$2),1,0)</f>
        <v/>
      </c>
      <c r="N143">
        <f>IF(M143=1,_xlfn.STDEV.S(INDEX($J$5:$J$34,K143):INDEX($J$5:$J$34,K143+L143-1))/AVERAGE(INDEX($J$5:$J$34,K143):INDEX($J$5:$J$34,K143+L143-1)),"")</f>
        <v/>
      </c>
      <c r="O143">
        <f>IF(M143=1,IF(N143&lt;=COMBINACIONES_PH!$B$5,1,0),"")</f>
        <v/>
      </c>
      <c r="P143">
        <f>IF(M143=1,IF(O143=1,-L143,100)+N143+ROW()*0.000000000001,"")</f>
        <v/>
      </c>
    </row>
    <row r="144">
      <c r="K144" t="n">
        <v>6</v>
      </c>
      <c r="L144" t="n">
        <v>12</v>
      </c>
      <c r="M144">
        <f>IF(AND(L144&gt;=COMBINACIONES_PH!$B$9,K144+L144-1&lt;=$J$2),1,0)</f>
        <v/>
      </c>
      <c r="N144">
        <f>IF(M144=1,_xlfn.STDEV.S(INDEX($J$5:$J$34,K144):INDEX($J$5:$J$34,K144+L144-1))/AVERAGE(INDEX($J$5:$J$34,K144):INDEX($J$5:$J$34,K144+L144-1)),"")</f>
        <v/>
      </c>
      <c r="O144">
        <f>IF(M144=1,IF(N144&lt;=COMBINACIONES_PH!$B$5,1,0),"")</f>
        <v/>
      </c>
      <c r="P144">
        <f>IF(M144=1,IF(O144=1,-L144,100)+N144+ROW()*0.000000000001,"")</f>
        <v/>
      </c>
    </row>
    <row r="145">
      <c r="K145" t="n">
        <v>6</v>
      </c>
      <c r="L145" t="n">
        <v>13</v>
      </c>
      <c r="M145">
        <f>IF(AND(L145&gt;=COMBINACIONES_PH!$B$9,K145+L145-1&lt;=$J$2),1,0)</f>
        <v/>
      </c>
      <c r="N145">
        <f>IF(M145=1,_xlfn.STDEV.S(INDEX($J$5:$J$34,K145):INDEX($J$5:$J$34,K145+L145-1))/AVERAGE(INDEX($J$5:$J$34,K145):INDEX($J$5:$J$34,K145+L145-1)),"")</f>
        <v/>
      </c>
      <c r="O145">
        <f>IF(M145=1,IF(N145&lt;=COMBINACIONES_PH!$B$5,1,0),"")</f>
        <v/>
      </c>
      <c r="P145">
        <f>IF(M145=1,IF(O145=1,-L145,100)+N145+ROW()*0.000000000001,"")</f>
        <v/>
      </c>
    </row>
    <row r="146">
      <c r="K146" t="n">
        <v>6</v>
      </c>
      <c r="L146" t="n">
        <v>14</v>
      </c>
      <c r="M146">
        <f>IF(AND(L146&gt;=COMBINACIONES_PH!$B$9,K146+L146-1&lt;=$J$2),1,0)</f>
        <v/>
      </c>
      <c r="N146">
        <f>IF(M146=1,_xlfn.STDEV.S(INDEX($J$5:$J$34,K146):INDEX($J$5:$J$34,K146+L146-1))/AVERAGE(INDEX($J$5:$J$34,K146):INDEX($J$5:$J$34,K146+L146-1)),"")</f>
        <v/>
      </c>
      <c r="O146">
        <f>IF(M146=1,IF(N146&lt;=COMBINACIONES_PH!$B$5,1,0),"")</f>
        <v/>
      </c>
      <c r="P146">
        <f>IF(M146=1,IF(O146=1,-L146,100)+N146+ROW()*0.000000000001,"")</f>
        <v/>
      </c>
    </row>
    <row r="147">
      <c r="K147" t="n">
        <v>6</v>
      </c>
      <c r="L147" t="n">
        <v>15</v>
      </c>
      <c r="M147">
        <f>IF(AND(L147&gt;=COMBINACIONES_PH!$B$9,K147+L147-1&lt;=$J$2),1,0)</f>
        <v/>
      </c>
      <c r="N147">
        <f>IF(M147=1,_xlfn.STDEV.S(INDEX($J$5:$J$34,K147):INDEX($J$5:$J$34,K147+L147-1))/AVERAGE(INDEX($J$5:$J$34,K147):INDEX($J$5:$J$34,K147+L147-1)),"")</f>
        <v/>
      </c>
      <c r="O147">
        <f>IF(M147=1,IF(N147&lt;=COMBINACIONES_PH!$B$5,1,0),"")</f>
        <v/>
      </c>
      <c r="P147">
        <f>IF(M147=1,IF(O147=1,-L147,100)+N147+ROW()*0.000000000001,"")</f>
        <v/>
      </c>
    </row>
    <row r="148">
      <c r="K148" t="n">
        <v>6</v>
      </c>
      <c r="L148" t="n">
        <v>16</v>
      </c>
      <c r="M148">
        <f>IF(AND(L148&gt;=COMBINACIONES_PH!$B$9,K148+L148-1&lt;=$J$2),1,0)</f>
        <v/>
      </c>
      <c r="N148">
        <f>IF(M148=1,_xlfn.STDEV.S(INDEX($J$5:$J$34,K148):INDEX($J$5:$J$34,K148+L148-1))/AVERAGE(INDEX($J$5:$J$34,K148):INDEX($J$5:$J$34,K148+L148-1)),"")</f>
        <v/>
      </c>
      <c r="O148">
        <f>IF(M148=1,IF(N148&lt;=COMBINACIONES_PH!$B$5,1,0),"")</f>
        <v/>
      </c>
      <c r="P148">
        <f>IF(M148=1,IF(O148=1,-L148,100)+N148+ROW()*0.000000000001,"")</f>
        <v/>
      </c>
    </row>
    <row r="149">
      <c r="K149" t="n">
        <v>6</v>
      </c>
      <c r="L149" t="n">
        <v>17</v>
      </c>
      <c r="M149">
        <f>IF(AND(L149&gt;=COMBINACIONES_PH!$B$9,K149+L149-1&lt;=$J$2),1,0)</f>
        <v/>
      </c>
      <c r="N149">
        <f>IF(M149=1,_xlfn.STDEV.S(INDEX($J$5:$J$34,K149):INDEX($J$5:$J$34,K149+L149-1))/AVERAGE(INDEX($J$5:$J$34,K149):INDEX($J$5:$J$34,K149+L149-1)),"")</f>
        <v/>
      </c>
      <c r="O149">
        <f>IF(M149=1,IF(N149&lt;=COMBINACIONES_PH!$B$5,1,0),"")</f>
        <v/>
      </c>
      <c r="P149">
        <f>IF(M149=1,IF(O149=1,-L149,100)+N149+ROW()*0.000000000001,"")</f>
        <v/>
      </c>
    </row>
    <row r="150">
      <c r="K150" t="n">
        <v>6</v>
      </c>
      <c r="L150" t="n">
        <v>18</v>
      </c>
      <c r="M150">
        <f>IF(AND(L150&gt;=COMBINACIONES_PH!$B$9,K150+L150-1&lt;=$J$2),1,0)</f>
        <v/>
      </c>
      <c r="N150">
        <f>IF(M150=1,_xlfn.STDEV.S(INDEX($J$5:$J$34,K150):INDEX($J$5:$J$34,K150+L150-1))/AVERAGE(INDEX($J$5:$J$34,K150):INDEX($J$5:$J$34,K150+L150-1)),"")</f>
        <v/>
      </c>
      <c r="O150">
        <f>IF(M150=1,IF(N150&lt;=COMBINACIONES_PH!$B$5,1,0),"")</f>
        <v/>
      </c>
      <c r="P150">
        <f>IF(M150=1,IF(O150=1,-L150,100)+N150+ROW()*0.000000000001,"")</f>
        <v/>
      </c>
    </row>
    <row r="151">
      <c r="K151" t="n">
        <v>6</v>
      </c>
      <c r="L151" t="n">
        <v>19</v>
      </c>
      <c r="M151">
        <f>IF(AND(L151&gt;=COMBINACIONES_PH!$B$9,K151+L151-1&lt;=$J$2),1,0)</f>
        <v/>
      </c>
      <c r="N151">
        <f>IF(M151=1,_xlfn.STDEV.S(INDEX($J$5:$J$34,K151):INDEX($J$5:$J$34,K151+L151-1))/AVERAGE(INDEX($J$5:$J$34,K151):INDEX($J$5:$J$34,K151+L151-1)),"")</f>
        <v/>
      </c>
      <c r="O151">
        <f>IF(M151=1,IF(N151&lt;=COMBINACIONES_PH!$B$5,1,0),"")</f>
        <v/>
      </c>
      <c r="P151">
        <f>IF(M151=1,IF(O151=1,-L151,100)+N151+ROW()*0.000000000001,"")</f>
        <v/>
      </c>
    </row>
    <row r="152">
      <c r="K152" t="n">
        <v>6</v>
      </c>
      <c r="L152" t="n">
        <v>20</v>
      </c>
      <c r="M152">
        <f>IF(AND(L152&gt;=COMBINACIONES_PH!$B$9,K152+L152-1&lt;=$J$2),1,0)</f>
        <v/>
      </c>
      <c r="N152">
        <f>IF(M152=1,_xlfn.STDEV.S(INDEX($J$5:$J$34,K152):INDEX($J$5:$J$34,K152+L152-1))/AVERAGE(INDEX($J$5:$J$34,K152):INDEX($J$5:$J$34,K152+L152-1)),"")</f>
        <v/>
      </c>
      <c r="O152">
        <f>IF(M152=1,IF(N152&lt;=COMBINACIONES_PH!$B$5,1,0),"")</f>
        <v/>
      </c>
      <c r="P152">
        <f>IF(M152=1,IF(O152=1,-L152,100)+N152+ROW()*0.000000000001,"")</f>
        <v/>
      </c>
    </row>
    <row r="153">
      <c r="K153" t="n">
        <v>6</v>
      </c>
      <c r="L153" t="n">
        <v>21</v>
      </c>
      <c r="M153">
        <f>IF(AND(L153&gt;=COMBINACIONES_PH!$B$9,K153+L153-1&lt;=$J$2),1,0)</f>
        <v/>
      </c>
      <c r="N153">
        <f>IF(M153=1,_xlfn.STDEV.S(INDEX($J$5:$J$34,K153):INDEX($J$5:$J$34,K153+L153-1))/AVERAGE(INDEX($J$5:$J$34,K153):INDEX($J$5:$J$34,K153+L153-1)),"")</f>
        <v/>
      </c>
      <c r="O153">
        <f>IF(M153=1,IF(N153&lt;=COMBINACIONES_PH!$B$5,1,0),"")</f>
        <v/>
      </c>
      <c r="P153">
        <f>IF(M153=1,IF(O153=1,-L153,100)+N153+ROW()*0.000000000001,"")</f>
        <v/>
      </c>
    </row>
    <row r="154">
      <c r="K154" t="n">
        <v>6</v>
      </c>
      <c r="L154" t="n">
        <v>22</v>
      </c>
      <c r="M154">
        <f>IF(AND(L154&gt;=COMBINACIONES_PH!$B$9,K154+L154-1&lt;=$J$2),1,0)</f>
        <v/>
      </c>
      <c r="N154">
        <f>IF(M154=1,_xlfn.STDEV.S(INDEX($J$5:$J$34,K154):INDEX($J$5:$J$34,K154+L154-1))/AVERAGE(INDEX($J$5:$J$34,K154):INDEX($J$5:$J$34,K154+L154-1)),"")</f>
        <v/>
      </c>
      <c r="O154">
        <f>IF(M154=1,IF(N154&lt;=COMBINACIONES_PH!$B$5,1,0),"")</f>
        <v/>
      </c>
      <c r="P154">
        <f>IF(M154=1,IF(O154=1,-L154,100)+N154+ROW()*0.000000000001,"")</f>
        <v/>
      </c>
    </row>
    <row r="155">
      <c r="K155" t="n">
        <v>6</v>
      </c>
      <c r="L155" t="n">
        <v>23</v>
      </c>
      <c r="M155">
        <f>IF(AND(L155&gt;=COMBINACIONES_PH!$B$9,K155+L155-1&lt;=$J$2),1,0)</f>
        <v/>
      </c>
      <c r="N155">
        <f>IF(M155=1,_xlfn.STDEV.S(INDEX($J$5:$J$34,K155):INDEX($J$5:$J$34,K155+L155-1))/AVERAGE(INDEX($J$5:$J$34,K155):INDEX($J$5:$J$34,K155+L155-1)),"")</f>
        <v/>
      </c>
      <c r="O155">
        <f>IF(M155=1,IF(N155&lt;=COMBINACIONES_PH!$B$5,1,0),"")</f>
        <v/>
      </c>
      <c r="P155">
        <f>IF(M155=1,IF(O155=1,-L155,100)+N155+ROW()*0.000000000001,"")</f>
        <v/>
      </c>
    </row>
    <row r="156">
      <c r="K156" t="n">
        <v>6</v>
      </c>
      <c r="L156" t="n">
        <v>24</v>
      </c>
      <c r="M156">
        <f>IF(AND(L156&gt;=COMBINACIONES_PH!$B$9,K156+L156-1&lt;=$J$2),1,0)</f>
        <v/>
      </c>
      <c r="N156">
        <f>IF(M156=1,_xlfn.STDEV.S(INDEX($J$5:$J$34,K156):INDEX($J$5:$J$34,K156+L156-1))/AVERAGE(INDEX($J$5:$J$34,K156):INDEX($J$5:$J$34,K156+L156-1)),"")</f>
        <v/>
      </c>
      <c r="O156">
        <f>IF(M156=1,IF(N156&lt;=COMBINACIONES_PH!$B$5,1,0),"")</f>
        <v/>
      </c>
      <c r="P156">
        <f>IF(M156=1,IF(O156=1,-L156,100)+N156+ROW()*0.000000000001,"")</f>
        <v/>
      </c>
    </row>
    <row r="157">
      <c r="K157" t="n">
        <v>6</v>
      </c>
      <c r="L157" t="n">
        <v>25</v>
      </c>
      <c r="M157">
        <f>IF(AND(L157&gt;=COMBINACIONES_PH!$B$9,K157+L157-1&lt;=$J$2),1,0)</f>
        <v/>
      </c>
      <c r="N157">
        <f>IF(M157=1,_xlfn.STDEV.S(INDEX($J$5:$J$34,K157):INDEX($J$5:$J$34,K157+L157-1))/AVERAGE(INDEX($J$5:$J$34,K157):INDEX($J$5:$J$34,K157+L157-1)),"")</f>
        <v/>
      </c>
      <c r="O157">
        <f>IF(M157=1,IF(N157&lt;=COMBINACIONES_PH!$B$5,1,0),"")</f>
        <v/>
      </c>
      <c r="P157">
        <f>IF(M157=1,IF(O157=1,-L157,100)+N157+ROW()*0.000000000001,"")</f>
        <v/>
      </c>
    </row>
    <row r="158">
      <c r="K158" t="n">
        <v>7</v>
      </c>
      <c r="L158" t="n">
        <v>3</v>
      </c>
      <c r="M158">
        <f>IF(AND(L158&gt;=COMBINACIONES_PH!$B$9,K158+L158-1&lt;=$J$2),1,0)</f>
        <v/>
      </c>
      <c r="N158">
        <f>IF(M158=1,_xlfn.STDEV.S(INDEX($J$5:$J$34,K158):INDEX($J$5:$J$34,K158+L158-1))/AVERAGE(INDEX($J$5:$J$34,K158):INDEX($J$5:$J$34,K158+L158-1)),"")</f>
        <v/>
      </c>
      <c r="O158">
        <f>IF(M158=1,IF(N158&lt;=COMBINACIONES_PH!$B$5,1,0),"")</f>
        <v/>
      </c>
      <c r="P158">
        <f>IF(M158=1,IF(O158=1,-L158,100)+N158+ROW()*0.000000000001,"")</f>
        <v/>
      </c>
    </row>
    <row r="159">
      <c r="K159" t="n">
        <v>7</v>
      </c>
      <c r="L159" t="n">
        <v>4</v>
      </c>
      <c r="M159">
        <f>IF(AND(L159&gt;=COMBINACIONES_PH!$B$9,K159+L159-1&lt;=$J$2),1,0)</f>
        <v/>
      </c>
      <c r="N159">
        <f>IF(M159=1,_xlfn.STDEV.S(INDEX($J$5:$J$34,K159):INDEX($J$5:$J$34,K159+L159-1))/AVERAGE(INDEX($J$5:$J$34,K159):INDEX($J$5:$J$34,K159+L159-1)),"")</f>
        <v/>
      </c>
      <c r="O159">
        <f>IF(M159=1,IF(N159&lt;=COMBINACIONES_PH!$B$5,1,0),"")</f>
        <v/>
      </c>
      <c r="P159">
        <f>IF(M159=1,IF(O159=1,-L159,100)+N159+ROW()*0.000000000001,"")</f>
        <v/>
      </c>
    </row>
    <row r="160">
      <c r="K160" t="n">
        <v>7</v>
      </c>
      <c r="L160" t="n">
        <v>5</v>
      </c>
      <c r="M160">
        <f>IF(AND(L160&gt;=COMBINACIONES_PH!$B$9,K160+L160-1&lt;=$J$2),1,0)</f>
        <v/>
      </c>
      <c r="N160">
        <f>IF(M160=1,_xlfn.STDEV.S(INDEX($J$5:$J$34,K160):INDEX($J$5:$J$34,K160+L160-1))/AVERAGE(INDEX($J$5:$J$34,K160):INDEX($J$5:$J$34,K160+L160-1)),"")</f>
        <v/>
      </c>
      <c r="O160">
        <f>IF(M160=1,IF(N160&lt;=COMBINACIONES_PH!$B$5,1,0),"")</f>
        <v/>
      </c>
      <c r="P160">
        <f>IF(M160=1,IF(O160=1,-L160,100)+N160+ROW()*0.000000000001,"")</f>
        <v/>
      </c>
    </row>
    <row r="161">
      <c r="K161" t="n">
        <v>7</v>
      </c>
      <c r="L161" t="n">
        <v>6</v>
      </c>
      <c r="M161">
        <f>IF(AND(L161&gt;=COMBINACIONES_PH!$B$9,K161+L161-1&lt;=$J$2),1,0)</f>
        <v/>
      </c>
      <c r="N161">
        <f>IF(M161=1,_xlfn.STDEV.S(INDEX($J$5:$J$34,K161):INDEX($J$5:$J$34,K161+L161-1))/AVERAGE(INDEX($J$5:$J$34,K161):INDEX($J$5:$J$34,K161+L161-1)),"")</f>
        <v/>
      </c>
      <c r="O161">
        <f>IF(M161=1,IF(N161&lt;=COMBINACIONES_PH!$B$5,1,0),"")</f>
        <v/>
      </c>
      <c r="P161">
        <f>IF(M161=1,IF(O161=1,-L161,100)+N161+ROW()*0.000000000001,"")</f>
        <v/>
      </c>
    </row>
    <row r="162">
      <c r="K162" t="n">
        <v>7</v>
      </c>
      <c r="L162" t="n">
        <v>7</v>
      </c>
      <c r="M162">
        <f>IF(AND(L162&gt;=COMBINACIONES_PH!$B$9,K162+L162-1&lt;=$J$2),1,0)</f>
        <v/>
      </c>
      <c r="N162">
        <f>IF(M162=1,_xlfn.STDEV.S(INDEX($J$5:$J$34,K162):INDEX($J$5:$J$34,K162+L162-1))/AVERAGE(INDEX($J$5:$J$34,K162):INDEX($J$5:$J$34,K162+L162-1)),"")</f>
        <v/>
      </c>
      <c r="O162">
        <f>IF(M162=1,IF(N162&lt;=COMBINACIONES_PH!$B$5,1,0),"")</f>
        <v/>
      </c>
      <c r="P162">
        <f>IF(M162=1,IF(O162=1,-L162,100)+N162+ROW()*0.000000000001,"")</f>
        <v/>
      </c>
    </row>
    <row r="163">
      <c r="K163" t="n">
        <v>7</v>
      </c>
      <c r="L163" t="n">
        <v>8</v>
      </c>
      <c r="M163">
        <f>IF(AND(L163&gt;=COMBINACIONES_PH!$B$9,K163+L163-1&lt;=$J$2),1,0)</f>
        <v/>
      </c>
      <c r="N163">
        <f>IF(M163=1,_xlfn.STDEV.S(INDEX($J$5:$J$34,K163):INDEX($J$5:$J$34,K163+L163-1))/AVERAGE(INDEX($J$5:$J$34,K163):INDEX($J$5:$J$34,K163+L163-1)),"")</f>
        <v/>
      </c>
      <c r="O163">
        <f>IF(M163=1,IF(N163&lt;=COMBINACIONES_PH!$B$5,1,0),"")</f>
        <v/>
      </c>
      <c r="P163">
        <f>IF(M163=1,IF(O163=1,-L163,100)+N163+ROW()*0.000000000001,"")</f>
        <v/>
      </c>
    </row>
    <row r="164">
      <c r="K164" t="n">
        <v>7</v>
      </c>
      <c r="L164" t="n">
        <v>9</v>
      </c>
      <c r="M164">
        <f>IF(AND(L164&gt;=COMBINACIONES_PH!$B$9,K164+L164-1&lt;=$J$2),1,0)</f>
        <v/>
      </c>
      <c r="N164">
        <f>IF(M164=1,_xlfn.STDEV.S(INDEX($J$5:$J$34,K164):INDEX($J$5:$J$34,K164+L164-1))/AVERAGE(INDEX($J$5:$J$34,K164):INDEX($J$5:$J$34,K164+L164-1)),"")</f>
        <v/>
      </c>
      <c r="O164">
        <f>IF(M164=1,IF(N164&lt;=COMBINACIONES_PH!$B$5,1,0),"")</f>
        <v/>
      </c>
      <c r="P164">
        <f>IF(M164=1,IF(O164=1,-L164,100)+N164+ROW()*0.000000000001,"")</f>
        <v/>
      </c>
    </row>
    <row r="165">
      <c r="K165" t="n">
        <v>7</v>
      </c>
      <c r="L165" t="n">
        <v>10</v>
      </c>
      <c r="M165">
        <f>IF(AND(L165&gt;=COMBINACIONES_PH!$B$9,K165+L165-1&lt;=$J$2),1,0)</f>
        <v/>
      </c>
      <c r="N165">
        <f>IF(M165=1,_xlfn.STDEV.S(INDEX($J$5:$J$34,K165):INDEX($J$5:$J$34,K165+L165-1))/AVERAGE(INDEX($J$5:$J$34,K165):INDEX($J$5:$J$34,K165+L165-1)),"")</f>
        <v/>
      </c>
      <c r="O165">
        <f>IF(M165=1,IF(N165&lt;=COMBINACIONES_PH!$B$5,1,0),"")</f>
        <v/>
      </c>
      <c r="P165">
        <f>IF(M165=1,IF(O165=1,-L165,100)+N165+ROW()*0.000000000001,"")</f>
        <v/>
      </c>
    </row>
    <row r="166">
      <c r="K166" t="n">
        <v>7</v>
      </c>
      <c r="L166" t="n">
        <v>11</v>
      </c>
      <c r="M166">
        <f>IF(AND(L166&gt;=COMBINACIONES_PH!$B$9,K166+L166-1&lt;=$J$2),1,0)</f>
        <v/>
      </c>
      <c r="N166">
        <f>IF(M166=1,_xlfn.STDEV.S(INDEX($J$5:$J$34,K166):INDEX($J$5:$J$34,K166+L166-1))/AVERAGE(INDEX($J$5:$J$34,K166):INDEX($J$5:$J$34,K166+L166-1)),"")</f>
        <v/>
      </c>
      <c r="O166">
        <f>IF(M166=1,IF(N166&lt;=COMBINACIONES_PH!$B$5,1,0),"")</f>
        <v/>
      </c>
      <c r="P166">
        <f>IF(M166=1,IF(O166=1,-L166,100)+N166+ROW()*0.000000000001,"")</f>
        <v/>
      </c>
    </row>
    <row r="167">
      <c r="K167" t="n">
        <v>7</v>
      </c>
      <c r="L167" t="n">
        <v>12</v>
      </c>
      <c r="M167">
        <f>IF(AND(L167&gt;=COMBINACIONES_PH!$B$9,K167+L167-1&lt;=$J$2),1,0)</f>
        <v/>
      </c>
      <c r="N167">
        <f>IF(M167=1,_xlfn.STDEV.S(INDEX($J$5:$J$34,K167):INDEX($J$5:$J$34,K167+L167-1))/AVERAGE(INDEX($J$5:$J$34,K167):INDEX($J$5:$J$34,K167+L167-1)),"")</f>
        <v/>
      </c>
      <c r="O167">
        <f>IF(M167=1,IF(N167&lt;=COMBINACIONES_PH!$B$5,1,0),"")</f>
        <v/>
      </c>
      <c r="P167">
        <f>IF(M167=1,IF(O167=1,-L167,100)+N167+ROW()*0.000000000001,"")</f>
        <v/>
      </c>
    </row>
    <row r="168">
      <c r="K168" t="n">
        <v>7</v>
      </c>
      <c r="L168" t="n">
        <v>13</v>
      </c>
      <c r="M168">
        <f>IF(AND(L168&gt;=COMBINACIONES_PH!$B$9,K168+L168-1&lt;=$J$2),1,0)</f>
        <v/>
      </c>
      <c r="N168">
        <f>IF(M168=1,_xlfn.STDEV.S(INDEX($J$5:$J$34,K168):INDEX($J$5:$J$34,K168+L168-1))/AVERAGE(INDEX($J$5:$J$34,K168):INDEX($J$5:$J$34,K168+L168-1)),"")</f>
        <v/>
      </c>
      <c r="O168">
        <f>IF(M168=1,IF(N168&lt;=COMBINACIONES_PH!$B$5,1,0),"")</f>
        <v/>
      </c>
      <c r="P168">
        <f>IF(M168=1,IF(O168=1,-L168,100)+N168+ROW()*0.000000000001,"")</f>
        <v/>
      </c>
    </row>
    <row r="169">
      <c r="K169" t="n">
        <v>7</v>
      </c>
      <c r="L169" t="n">
        <v>14</v>
      </c>
      <c r="M169">
        <f>IF(AND(L169&gt;=COMBINACIONES_PH!$B$9,K169+L169-1&lt;=$J$2),1,0)</f>
        <v/>
      </c>
      <c r="N169">
        <f>IF(M169=1,_xlfn.STDEV.S(INDEX($J$5:$J$34,K169):INDEX($J$5:$J$34,K169+L169-1))/AVERAGE(INDEX($J$5:$J$34,K169):INDEX($J$5:$J$34,K169+L169-1)),"")</f>
        <v/>
      </c>
      <c r="O169">
        <f>IF(M169=1,IF(N169&lt;=COMBINACIONES_PH!$B$5,1,0),"")</f>
        <v/>
      </c>
      <c r="P169">
        <f>IF(M169=1,IF(O169=1,-L169,100)+N169+ROW()*0.000000000001,"")</f>
        <v/>
      </c>
    </row>
    <row r="170">
      <c r="K170" t="n">
        <v>7</v>
      </c>
      <c r="L170" t="n">
        <v>15</v>
      </c>
      <c r="M170">
        <f>IF(AND(L170&gt;=COMBINACIONES_PH!$B$9,K170+L170-1&lt;=$J$2),1,0)</f>
        <v/>
      </c>
      <c r="N170">
        <f>IF(M170=1,_xlfn.STDEV.S(INDEX($J$5:$J$34,K170):INDEX($J$5:$J$34,K170+L170-1))/AVERAGE(INDEX($J$5:$J$34,K170):INDEX($J$5:$J$34,K170+L170-1)),"")</f>
        <v/>
      </c>
      <c r="O170">
        <f>IF(M170=1,IF(N170&lt;=COMBINACIONES_PH!$B$5,1,0),"")</f>
        <v/>
      </c>
      <c r="P170">
        <f>IF(M170=1,IF(O170=1,-L170,100)+N170+ROW()*0.000000000001,"")</f>
        <v/>
      </c>
    </row>
    <row r="171">
      <c r="K171" t="n">
        <v>7</v>
      </c>
      <c r="L171" t="n">
        <v>16</v>
      </c>
      <c r="M171">
        <f>IF(AND(L171&gt;=COMBINACIONES_PH!$B$9,K171+L171-1&lt;=$J$2),1,0)</f>
        <v/>
      </c>
      <c r="N171">
        <f>IF(M171=1,_xlfn.STDEV.S(INDEX($J$5:$J$34,K171):INDEX($J$5:$J$34,K171+L171-1))/AVERAGE(INDEX($J$5:$J$34,K171):INDEX($J$5:$J$34,K171+L171-1)),"")</f>
        <v/>
      </c>
      <c r="O171">
        <f>IF(M171=1,IF(N171&lt;=COMBINACIONES_PH!$B$5,1,0),"")</f>
        <v/>
      </c>
      <c r="P171">
        <f>IF(M171=1,IF(O171=1,-L171,100)+N171+ROW()*0.000000000001,"")</f>
        <v/>
      </c>
    </row>
    <row r="172">
      <c r="K172" t="n">
        <v>7</v>
      </c>
      <c r="L172" t="n">
        <v>17</v>
      </c>
      <c r="M172">
        <f>IF(AND(L172&gt;=COMBINACIONES_PH!$B$9,K172+L172-1&lt;=$J$2),1,0)</f>
        <v/>
      </c>
      <c r="N172">
        <f>IF(M172=1,_xlfn.STDEV.S(INDEX($J$5:$J$34,K172):INDEX($J$5:$J$34,K172+L172-1))/AVERAGE(INDEX($J$5:$J$34,K172):INDEX($J$5:$J$34,K172+L172-1)),"")</f>
        <v/>
      </c>
      <c r="O172">
        <f>IF(M172=1,IF(N172&lt;=COMBINACIONES_PH!$B$5,1,0),"")</f>
        <v/>
      </c>
      <c r="P172">
        <f>IF(M172=1,IF(O172=1,-L172,100)+N172+ROW()*0.000000000001,"")</f>
        <v/>
      </c>
    </row>
    <row r="173">
      <c r="K173" t="n">
        <v>7</v>
      </c>
      <c r="L173" t="n">
        <v>18</v>
      </c>
      <c r="M173">
        <f>IF(AND(L173&gt;=COMBINACIONES_PH!$B$9,K173+L173-1&lt;=$J$2),1,0)</f>
        <v/>
      </c>
      <c r="N173">
        <f>IF(M173=1,_xlfn.STDEV.S(INDEX($J$5:$J$34,K173):INDEX($J$5:$J$34,K173+L173-1))/AVERAGE(INDEX($J$5:$J$34,K173):INDEX($J$5:$J$34,K173+L173-1)),"")</f>
        <v/>
      </c>
      <c r="O173">
        <f>IF(M173=1,IF(N173&lt;=COMBINACIONES_PH!$B$5,1,0),"")</f>
        <v/>
      </c>
      <c r="P173">
        <f>IF(M173=1,IF(O173=1,-L173,100)+N173+ROW()*0.000000000001,"")</f>
        <v/>
      </c>
    </row>
    <row r="174">
      <c r="K174" t="n">
        <v>7</v>
      </c>
      <c r="L174" t="n">
        <v>19</v>
      </c>
      <c r="M174">
        <f>IF(AND(L174&gt;=COMBINACIONES_PH!$B$9,K174+L174-1&lt;=$J$2),1,0)</f>
        <v/>
      </c>
      <c r="N174">
        <f>IF(M174=1,_xlfn.STDEV.S(INDEX($J$5:$J$34,K174):INDEX($J$5:$J$34,K174+L174-1))/AVERAGE(INDEX($J$5:$J$34,K174):INDEX($J$5:$J$34,K174+L174-1)),"")</f>
        <v/>
      </c>
      <c r="O174">
        <f>IF(M174=1,IF(N174&lt;=COMBINACIONES_PH!$B$5,1,0),"")</f>
        <v/>
      </c>
      <c r="P174">
        <f>IF(M174=1,IF(O174=1,-L174,100)+N174+ROW()*0.000000000001,"")</f>
        <v/>
      </c>
    </row>
    <row r="175">
      <c r="K175" t="n">
        <v>7</v>
      </c>
      <c r="L175" t="n">
        <v>20</v>
      </c>
      <c r="M175">
        <f>IF(AND(L175&gt;=COMBINACIONES_PH!$B$9,K175+L175-1&lt;=$J$2),1,0)</f>
        <v/>
      </c>
      <c r="N175">
        <f>IF(M175=1,_xlfn.STDEV.S(INDEX($J$5:$J$34,K175):INDEX($J$5:$J$34,K175+L175-1))/AVERAGE(INDEX($J$5:$J$34,K175):INDEX($J$5:$J$34,K175+L175-1)),"")</f>
        <v/>
      </c>
      <c r="O175">
        <f>IF(M175=1,IF(N175&lt;=COMBINACIONES_PH!$B$5,1,0),"")</f>
        <v/>
      </c>
      <c r="P175">
        <f>IF(M175=1,IF(O175=1,-L175,100)+N175+ROW()*0.000000000001,"")</f>
        <v/>
      </c>
    </row>
    <row r="176">
      <c r="K176" t="n">
        <v>7</v>
      </c>
      <c r="L176" t="n">
        <v>21</v>
      </c>
      <c r="M176">
        <f>IF(AND(L176&gt;=COMBINACIONES_PH!$B$9,K176+L176-1&lt;=$J$2),1,0)</f>
        <v/>
      </c>
      <c r="N176">
        <f>IF(M176=1,_xlfn.STDEV.S(INDEX($J$5:$J$34,K176):INDEX($J$5:$J$34,K176+L176-1))/AVERAGE(INDEX($J$5:$J$34,K176):INDEX($J$5:$J$34,K176+L176-1)),"")</f>
        <v/>
      </c>
      <c r="O176">
        <f>IF(M176=1,IF(N176&lt;=COMBINACIONES_PH!$B$5,1,0),"")</f>
        <v/>
      </c>
      <c r="P176">
        <f>IF(M176=1,IF(O176=1,-L176,100)+N176+ROW()*0.000000000001,"")</f>
        <v/>
      </c>
    </row>
    <row r="177">
      <c r="K177" t="n">
        <v>7</v>
      </c>
      <c r="L177" t="n">
        <v>22</v>
      </c>
      <c r="M177">
        <f>IF(AND(L177&gt;=COMBINACIONES_PH!$B$9,K177+L177-1&lt;=$J$2),1,0)</f>
        <v/>
      </c>
      <c r="N177">
        <f>IF(M177=1,_xlfn.STDEV.S(INDEX($J$5:$J$34,K177):INDEX($J$5:$J$34,K177+L177-1))/AVERAGE(INDEX($J$5:$J$34,K177):INDEX($J$5:$J$34,K177+L177-1)),"")</f>
        <v/>
      </c>
      <c r="O177">
        <f>IF(M177=1,IF(N177&lt;=COMBINACIONES_PH!$B$5,1,0),"")</f>
        <v/>
      </c>
      <c r="P177">
        <f>IF(M177=1,IF(O177=1,-L177,100)+N177+ROW()*0.000000000001,"")</f>
        <v/>
      </c>
    </row>
    <row r="178">
      <c r="K178" t="n">
        <v>7</v>
      </c>
      <c r="L178" t="n">
        <v>23</v>
      </c>
      <c r="M178">
        <f>IF(AND(L178&gt;=COMBINACIONES_PH!$B$9,K178+L178-1&lt;=$J$2),1,0)</f>
        <v/>
      </c>
      <c r="N178">
        <f>IF(M178=1,_xlfn.STDEV.S(INDEX($J$5:$J$34,K178):INDEX($J$5:$J$34,K178+L178-1))/AVERAGE(INDEX($J$5:$J$34,K178):INDEX($J$5:$J$34,K178+L178-1)),"")</f>
        <v/>
      </c>
      <c r="O178">
        <f>IF(M178=1,IF(N178&lt;=COMBINACIONES_PH!$B$5,1,0),"")</f>
        <v/>
      </c>
      <c r="P178">
        <f>IF(M178=1,IF(O178=1,-L178,100)+N178+ROW()*0.000000000001,"")</f>
        <v/>
      </c>
    </row>
    <row r="179">
      <c r="K179" t="n">
        <v>7</v>
      </c>
      <c r="L179" t="n">
        <v>24</v>
      </c>
      <c r="M179">
        <f>IF(AND(L179&gt;=COMBINACIONES_PH!$B$9,K179+L179-1&lt;=$J$2),1,0)</f>
        <v/>
      </c>
      <c r="N179">
        <f>IF(M179=1,_xlfn.STDEV.S(INDEX($J$5:$J$34,K179):INDEX($J$5:$J$34,K179+L179-1))/AVERAGE(INDEX($J$5:$J$34,K179):INDEX($J$5:$J$34,K179+L179-1)),"")</f>
        <v/>
      </c>
      <c r="O179">
        <f>IF(M179=1,IF(N179&lt;=COMBINACIONES_PH!$B$5,1,0),"")</f>
        <v/>
      </c>
      <c r="P179">
        <f>IF(M179=1,IF(O179=1,-L179,100)+N179+ROW()*0.000000000001,"")</f>
        <v/>
      </c>
    </row>
    <row r="180">
      <c r="K180" t="n">
        <v>8</v>
      </c>
      <c r="L180" t="n">
        <v>3</v>
      </c>
      <c r="M180">
        <f>IF(AND(L180&gt;=COMBINACIONES_PH!$B$9,K180+L180-1&lt;=$J$2),1,0)</f>
        <v/>
      </c>
      <c r="N180">
        <f>IF(M180=1,_xlfn.STDEV.S(INDEX($J$5:$J$34,K180):INDEX($J$5:$J$34,K180+L180-1))/AVERAGE(INDEX($J$5:$J$34,K180):INDEX($J$5:$J$34,K180+L180-1)),"")</f>
        <v/>
      </c>
      <c r="O180">
        <f>IF(M180=1,IF(N180&lt;=COMBINACIONES_PH!$B$5,1,0),"")</f>
        <v/>
      </c>
      <c r="P180">
        <f>IF(M180=1,IF(O180=1,-L180,100)+N180+ROW()*0.000000000001,"")</f>
        <v/>
      </c>
    </row>
    <row r="181">
      <c r="K181" t="n">
        <v>8</v>
      </c>
      <c r="L181" t="n">
        <v>4</v>
      </c>
      <c r="M181">
        <f>IF(AND(L181&gt;=COMBINACIONES_PH!$B$9,K181+L181-1&lt;=$J$2),1,0)</f>
        <v/>
      </c>
      <c r="N181">
        <f>IF(M181=1,_xlfn.STDEV.S(INDEX($J$5:$J$34,K181):INDEX($J$5:$J$34,K181+L181-1))/AVERAGE(INDEX($J$5:$J$34,K181):INDEX($J$5:$J$34,K181+L181-1)),"")</f>
        <v/>
      </c>
      <c r="O181">
        <f>IF(M181=1,IF(N181&lt;=COMBINACIONES_PH!$B$5,1,0),"")</f>
        <v/>
      </c>
      <c r="P181">
        <f>IF(M181=1,IF(O181=1,-L181,100)+N181+ROW()*0.000000000001,"")</f>
        <v/>
      </c>
    </row>
    <row r="182">
      <c r="K182" t="n">
        <v>8</v>
      </c>
      <c r="L182" t="n">
        <v>5</v>
      </c>
      <c r="M182">
        <f>IF(AND(L182&gt;=COMBINACIONES_PH!$B$9,K182+L182-1&lt;=$J$2),1,0)</f>
        <v/>
      </c>
      <c r="N182">
        <f>IF(M182=1,_xlfn.STDEV.S(INDEX($J$5:$J$34,K182):INDEX($J$5:$J$34,K182+L182-1))/AVERAGE(INDEX($J$5:$J$34,K182):INDEX($J$5:$J$34,K182+L182-1)),"")</f>
        <v/>
      </c>
      <c r="O182">
        <f>IF(M182=1,IF(N182&lt;=COMBINACIONES_PH!$B$5,1,0),"")</f>
        <v/>
      </c>
      <c r="P182">
        <f>IF(M182=1,IF(O182=1,-L182,100)+N182+ROW()*0.000000000001,"")</f>
        <v/>
      </c>
    </row>
    <row r="183">
      <c r="K183" t="n">
        <v>8</v>
      </c>
      <c r="L183" t="n">
        <v>6</v>
      </c>
      <c r="M183">
        <f>IF(AND(L183&gt;=COMBINACIONES_PH!$B$9,K183+L183-1&lt;=$J$2),1,0)</f>
        <v/>
      </c>
      <c r="N183">
        <f>IF(M183=1,_xlfn.STDEV.S(INDEX($J$5:$J$34,K183):INDEX($J$5:$J$34,K183+L183-1))/AVERAGE(INDEX($J$5:$J$34,K183):INDEX($J$5:$J$34,K183+L183-1)),"")</f>
        <v/>
      </c>
      <c r="O183">
        <f>IF(M183=1,IF(N183&lt;=COMBINACIONES_PH!$B$5,1,0),"")</f>
        <v/>
      </c>
      <c r="P183">
        <f>IF(M183=1,IF(O183=1,-L183,100)+N183+ROW()*0.000000000001,"")</f>
        <v/>
      </c>
    </row>
    <row r="184">
      <c r="K184" t="n">
        <v>8</v>
      </c>
      <c r="L184" t="n">
        <v>7</v>
      </c>
      <c r="M184">
        <f>IF(AND(L184&gt;=COMBINACIONES_PH!$B$9,K184+L184-1&lt;=$J$2),1,0)</f>
        <v/>
      </c>
      <c r="N184">
        <f>IF(M184=1,_xlfn.STDEV.S(INDEX($J$5:$J$34,K184):INDEX($J$5:$J$34,K184+L184-1))/AVERAGE(INDEX($J$5:$J$34,K184):INDEX($J$5:$J$34,K184+L184-1)),"")</f>
        <v/>
      </c>
      <c r="O184">
        <f>IF(M184=1,IF(N184&lt;=COMBINACIONES_PH!$B$5,1,0),"")</f>
        <v/>
      </c>
      <c r="P184">
        <f>IF(M184=1,IF(O184=1,-L184,100)+N184+ROW()*0.000000000001,"")</f>
        <v/>
      </c>
    </row>
    <row r="185">
      <c r="K185" t="n">
        <v>8</v>
      </c>
      <c r="L185" t="n">
        <v>8</v>
      </c>
      <c r="M185">
        <f>IF(AND(L185&gt;=COMBINACIONES_PH!$B$9,K185+L185-1&lt;=$J$2),1,0)</f>
        <v/>
      </c>
      <c r="N185">
        <f>IF(M185=1,_xlfn.STDEV.S(INDEX($J$5:$J$34,K185):INDEX($J$5:$J$34,K185+L185-1))/AVERAGE(INDEX($J$5:$J$34,K185):INDEX($J$5:$J$34,K185+L185-1)),"")</f>
        <v/>
      </c>
      <c r="O185">
        <f>IF(M185=1,IF(N185&lt;=COMBINACIONES_PH!$B$5,1,0),"")</f>
        <v/>
      </c>
      <c r="P185">
        <f>IF(M185=1,IF(O185=1,-L185,100)+N185+ROW()*0.000000000001,"")</f>
        <v/>
      </c>
    </row>
    <row r="186">
      <c r="K186" t="n">
        <v>8</v>
      </c>
      <c r="L186" t="n">
        <v>9</v>
      </c>
      <c r="M186">
        <f>IF(AND(L186&gt;=COMBINACIONES_PH!$B$9,K186+L186-1&lt;=$J$2),1,0)</f>
        <v/>
      </c>
      <c r="N186">
        <f>IF(M186=1,_xlfn.STDEV.S(INDEX($J$5:$J$34,K186):INDEX($J$5:$J$34,K186+L186-1))/AVERAGE(INDEX($J$5:$J$34,K186):INDEX($J$5:$J$34,K186+L186-1)),"")</f>
        <v/>
      </c>
      <c r="O186">
        <f>IF(M186=1,IF(N186&lt;=COMBINACIONES_PH!$B$5,1,0),"")</f>
        <v/>
      </c>
      <c r="P186">
        <f>IF(M186=1,IF(O186=1,-L186,100)+N186+ROW()*0.000000000001,"")</f>
        <v/>
      </c>
    </row>
    <row r="187">
      <c r="K187" t="n">
        <v>8</v>
      </c>
      <c r="L187" t="n">
        <v>10</v>
      </c>
      <c r="M187">
        <f>IF(AND(L187&gt;=COMBINACIONES_PH!$B$9,K187+L187-1&lt;=$J$2),1,0)</f>
        <v/>
      </c>
      <c r="N187">
        <f>IF(M187=1,_xlfn.STDEV.S(INDEX($J$5:$J$34,K187):INDEX($J$5:$J$34,K187+L187-1))/AVERAGE(INDEX($J$5:$J$34,K187):INDEX($J$5:$J$34,K187+L187-1)),"")</f>
        <v/>
      </c>
      <c r="O187">
        <f>IF(M187=1,IF(N187&lt;=COMBINACIONES_PH!$B$5,1,0),"")</f>
        <v/>
      </c>
      <c r="P187">
        <f>IF(M187=1,IF(O187=1,-L187,100)+N187+ROW()*0.000000000001,"")</f>
        <v/>
      </c>
    </row>
    <row r="188">
      <c r="K188" t="n">
        <v>8</v>
      </c>
      <c r="L188" t="n">
        <v>11</v>
      </c>
      <c r="M188">
        <f>IF(AND(L188&gt;=COMBINACIONES_PH!$B$9,K188+L188-1&lt;=$J$2),1,0)</f>
        <v/>
      </c>
      <c r="N188">
        <f>IF(M188=1,_xlfn.STDEV.S(INDEX($J$5:$J$34,K188):INDEX($J$5:$J$34,K188+L188-1))/AVERAGE(INDEX($J$5:$J$34,K188):INDEX($J$5:$J$34,K188+L188-1)),"")</f>
        <v/>
      </c>
      <c r="O188">
        <f>IF(M188=1,IF(N188&lt;=COMBINACIONES_PH!$B$5,1,0),"")</f>
        <v/>
      </c>
      <c r="P188">
        <f>IF(M188=1,IF(O188=1,-L188,100)+N188+ROW()*0.000000000001,"")</f>
        <v/>
      </c>
    </row>
    <row r="189">
      <c r="K189" t="n">
        <v>8</v>
      </c>
      <c r="L189" t="n">
        <v>12</v>
      </c>
      <c r="M189">
        <f>IF(AND(L189&gt;=COMBINACIONES_PH!$B$9,K189+L189-1&lt;=$J$2),1,0)</f>
        <v/>
      </c>
      <c r="N189">
        <f>IF(M189=1,_xlfn.STDEV.S(INDEX($J$5:$J$34,K189):INDEX($J$5:$J$34,K189+L189-1))/AVERAGE(INDEX($J$5:$J$34,K189):INDEX($J$5:$J$34,K189+L189-1)),"")</f>
        <v/>
      </c>
      <c r="O189">
        <f>IF(M189=1,IF(N189&lt;=COMBINACIONES_PH!$B$5,1,0),"")</f>
        <v/>
      </c>
      <c r="P189">
        <f>IF(M189=1,IF(O189=1,-L189,100)+N189+ROW()*0.000000000001,"")</f>
        <v/>
      </c>
    </row>
    <row r="190">
      <c r="K190" t="n">
        <v>8</v>
      </c>
      <c r="L190" t="n">
        <v>13</v>
      </c>
      <c r="M190">
        <f>IF(AND(L190&gt;=COMBINACIONES_PH!$B$9,K190+L190-1&lt;=$J$2),1,0)</f>
        <v/>
      </c>
      <c r="N190">
        <f>IF(M190=1,_xlfn.STDEV.S(INDEX($J$5:$J$34,K190):INDEX($J$5:$J$34,K190+L190-1))/AVERAGE(INDEX($J$5:$J$34,K190):INDEX($J$5:$J$34,K190+L190-1)),"")</f>
        <v/>
      </c>
      <c r="O190">
        <f>IF(M190=1,IF(N190&lt;=COMBINACIONES_PH!$B$5,1,0),"")</f>
        <v/>
      </c>
      <c r="P190">
        <f>IF(M190=1,IF(O190=1,-L190,100)+N190+ROW()*0.000000000001,"")</f>
        <v/>
      </c>
    </row>
    <row r="191">
      <c r="K191" t="n">
        <v>8</v>
      </c>
      <c r="L191" t="n">
        <v>14</v>
      </c>
      <c r="M191">
        <f>IF(AND(L191&gt;=COMBINACIONES_PH!$B$9,K191+L191-1&lt;=$J$2),1,0)</f>
        <v/>
      </c>
      <c r="N191">
        <f>IF(M191=1,_xlfn.STDEV.S(INDEX($J$5:$J$34,K191):INDEX($J$5:$J$34,K191+L191-1))/AVERAGE(INDEX($J$5:$J$34,K191):INDEX($J$5:$J$34,K191+L191-1)),"")</f>
        <v/>
      </c>
      <c r="O191">
        <f>IF(M191=1,IF(N191&lt;=COMBINACIONES_PH!$B$5,1,0),"")</f>
        <v/>
      </c>
      <c r="P191">
        <f>IF(M191=1,IF(O191=1,-L191,100)+N191+ROW()*0.000000000001,"")</f>
        <v/>
      </c>
    </row>
    <row r="192">
      <c r="K192" t="n">
        <v>8</v>
      </c>
      <c r="L192" t="n">
        <v>15</v>
      </c>
      <c r="M192">
        <f>IF(AND(L192&gt;=COMBINACIONES_PH!$B$9,K192+L192-1&lt;=$J$2),1,0)</f>
        <v/>
      </c>
      <c r="N192">
        <f>IF(M192=1,_xlfn.STDEV.S(INDEX($J$5:$J$34,K192):INDEX($J$5:$J$34,K192+L192-1))/AVERAGE(INDEX($J$5:$J$34,K192):INDEX($J$5:$J$34,K192+L192-1)),"")</f>
        <v/>
      </c>
      <c r="O192">
        <f>IF(M192=1,IF(N192&lt;=COMBINACIONES_PH!$B$5,1,0),"")</f>
        <v/>
      </c>
      <c r="P192">
        <f>IF(M192=1,IF(O192=1,-L192,100)+N192+ROW()*0.000000000001,"")</f>
        <v/>
      </c>
    </row>
    <row r="193">
      <c r="K193" t="n">
        <v>8</v>
      </c>
      <c r="L193" t="n">
        <v>16</v>
      </c>
      <c r="M193">
        <f>IF(AND(L193&gt;=COMBINACIONES_PH!$B$9,K193+L193-1&lt;=$J$2),1,0)</f>
        <v/>
      </c>
      <c r="N193">
        <f>IF(M193=1,_xlfn.STDEV.S(INDEX($J$5:$J$34,K193):INDEX($J$5:$J$34,K193+L193-1))/AVERAGE(INDEX($J$5:$J$34,K193):INDEX($J$5:$J$34,K193+L193-1)),"")</f>
        <v/>
      </c>
      <c r="O193">
        <f>IF(M193=1,IF(N193&lt;=COMBINACIONES_PH!$B$5,1,0),"")</f>
        <v/>
      </c>
      <c r="P193">
        <f>IF(M193=1,IF(O193=1,-L193,100)+N193+ROW()*0.000000000001,"")</f>
        <v/>
      </c>
    </row>
    <row r="194">
      <c r="K194" t="n">
        <v>8</v>
      </c>
      <c r="L194" t="n">
        <v>17</v>
      </c>
      <c r="M194">
        <f>IF(AND(L194&gt;=COMBINACIONES_PH!$B$9,K194+L194-1&lt;=$J$2),1,0)</f>
        <v/>
      </c>
      <c r="N194">
        <f>IF(M194=1,_xlfn.STDEV.S(INDEX($J$5:$J$34,K194):INDEX($J$5:$J$34,K194+L194-1))/AVERAGE(INDEX($J$5:$J$34,K194):INDEX($J$5:$J$34,K194+L194-1)),"")</f>
        <v/>
      </c>
      <c r="O194">
        <f>IF(M194=1,IF(N194&lt;=COMBINACIONES_PH!$B$5,1,0),"")</f>
        <v/>
      </c>
      <c r="P194">
        <f>IF(M194=1,IF(O194=1,-L194,100)+N194+ROW()*0.000000000001,"")</f>
        <v/>
      </c>
    </row>
    <row r="195">
      <c r="K195" t="n">
        <v>8</v>
      </c>
      <c r="L195" t="n">
        <v>18</v>
      </c>
      <c r="M195">
        <f>IF(AND(L195&gt;=COMBINACIONES_PH!$B$9,K195+L195-1&lt;=$J$2),1,0)</f>
        <v/>
      </c>
      <c r="N195">
        <f>IF(M195=1,_xlfn.STDEV.S(INDEX($J$5:$J$34,K195):INDEX($J$5:$J$34,K195+L195-1))/AVERAGE(INDEX($J$5:$J$34,K195):INDEX($J$5:$J$34,K195+L195-1)),"")</f>
        <v/>
      </c>
      <c r="O195">
        <f>IF(M195=1,IF(N195&lt;=COMBINACIONES_PH!$B$5,1,0),"")</f>
        <v/>
      </c>
      <c r="P195">
        <f>IF(M195=1,IF(O195=1,-L195,100)+N195+ROW()*0.000000000001,"")</f>
        <v/>
      </c>
    </row>
    <row r="196">
      <c r="K196" t="n">
        <v>8</v>
      </c>
      <c r="L196" t="n">
        <v>19</v>
      </c>
      <c r="M196">
        <f>IF(AND(L196&gt;=COMBINACIONES_PH!$B$9,K196+L196-1&lt;=$J$2),1,0)</f>
        <v/>
      </c>
      <c r="N196">
        <f>IF(M196=1,_xlfn.STDEV.S(INDEX($J$5:$J$34,K196):INDEX($J$5:$J$34,K196+L196-1))/AVERAGE(INDEX($J$5:$J$34,K196):INDEX($J$5:$J$34,K196+L196-1)),"")</f>
        <v/>
      </c>
      <c r="O196">
        <f>IF(M196=1,IF(N196&lt;=COMBINACIONES_PH!$B$5,1,0),"")</f>
        <v/>
      </c>
      <c r="P196">
        <f>IF(M196=1,IF(O196=1,-L196,100)+N196+ROW()*0.000000000001,"")</f>
        <v/>
      </c>
    </row>
    <row r="197">
      <c r="K197" t="n">
        <v>8</v>
      </c>
      <c r="L197" t="n">
        <v>20</v>
      </c>
      <c r="M197">
        <f>IF(AND(L197&gt;=COMBINACIONES_PH!$B$9,K197+L197-1&lt;=$J$2),1,0)</f>
        <v/>
      </c>
      <c r="N197">
        <f>IF(M197=1,_xlfn.STDEV.S(INDEX($J$5:$J$34,K197):INDEX($J$5:$J$34,K197+L197-1))/AVERAGE(INDEX($J$5:$J$34,K197):INDEX($J$5:$J$34,K197+L197-1)),"")</f>
        <v/>
      </c>
      <c r="O197">
        <f>IF(M197=1,IF(N197&lt;=COMBINACIONES_PH!$B$5,1,0),"")</f>
        <v/>
      </c>
      <c r="P197">
        <f>IF(M197=1,IF(O197=1,-L197,100)+N197+ROW()*0.000000000001,"")</f>
        <v/>
      </c>
    </row>
    <row r="198">
      <c r="K198" t="n">
        <v>8</v>
      </c>
      <c r="L198" t="n">
        <v>21</v>
      </c>
      <c r="M198">
        <f>IF(AND(L198&gt;=COMBINACIONES_PH!$B$9,K198+L198-1&lt;=$J$2),1,0)</f>
        <v/>
      </c>
      <c r="N198">
        <f>IF(M198=1,_xlfn.STDEV.S(INDEX($J$5:$J$34,K198):INDEX($J$5:$J$34,K198+L198-1))/AVERAGE(INDEX($J$5:$J$34,K198):INDEX($J$5:$J$34,K198+L198-1)),"")</f>
        <v/>
      </c>
      <c r="O198">
        <f>IF(M198=1,IF(N198&lt;=COMBINACIONES_PH!$B$5,1,0),"")</f>
        <v/>
      </c>
      <c r="P198">
        <f>IF(M198=1,IF(O198=1,-L198,100)+N198+ROW()*0.000000000001,"")</f>
        <v/>
      </c>
    </row>
    <row r="199">
      <c r="K199" t="n">
        <v>8</v>
      </c>
      <c r="L199" t="n">
        <v>22</v>
      </c>
      <c r="M199">
        <f>IF(AND(L199&gt;=COMBINACIONES_PH!$B$9,K199+L199-1&lt;=$J$2),1,0)</f>
        <v/>
      </c>
      <c r="N199">
        <f>IF(M199=1,_xlfn.STDEV.S(INDEX($J$5:$J$34,K199):INDEX($J$5:$J$34,K199+L199-1))/AVERAGE(INDEX($J$5:$J$34,K199):INDEX($J$5:$J$34,K199+L199-1)),"")</f>
        <v/>
      </c>
      <c r="O199">
        <f>IF(M199=1,IF(N199&lt;=COMBINACIONES_PH!$B$5,1,0),"")</f>
        <v/>
      </c>
      <c r="P199">
        <f>IF(M199=1,IF(O199=1,-L199,100)+N199+ROW()*0.000000000001,"")</f>
        <v/>
      </c>
    </row>
    <row r="200">
      <c r="K200" t="n">
        <v>8</v>
      </c>
      <c r="L200" t="n">
        <v>23</v>
      </c>
      <c r="M200">
        <f>IF(AND(L200&gt;=COMBINACIONES_PH!$B$9,K200+L200-1&lt;=$J$2),1,0)</f>
        <v/>
      </c>
      <c r="N200">
        <f>IF(M200=1,_xlfn.STDEV.S(INDEX($J$5:$J$34,K200):INDEX($J$5:$J$34,K200+L200-1))/AVERAGE(INDEX($J$5:$J$34,K200):INDEX($J$5:$J$34,K200+L200-1)),"")</f>
        <v/>
      </c>
      <c r="O200">
        <f>IF(M200=1,IF(N200&lt;=COMBINACIONES_PH!$B$5,1,0),"")</f>
        <v/>
      </c>
      <c r="P200">
        <f>IF(M200=1,IF(O200=1,-L200,100)+N200+ROW()*0.000000000001,"")</f>
        <v/>
      </c>
    </row>
    <row r="201">
      <c r="K201" t="n">
        <v>9</v>
      </c>
      <c r="L201" t="n">
        <v>3</v>
      </c>
      <c r="M201">
        <f>IF(AND(L201&gt;=COMBINACIONES_PH!$B$9,K201+L201-1&lt;=$J$2),1,0)</f>
        <v/>
      </c>
      <c r="N201">
        <f>IF(M201=1,_xlfn.STDEV.S(INDEX($J$5:$J$34,K201):INDEX($J$5:$J$34,K201+L201-1))/AVERAGE(INDEX($J$5:$J$34,K201):INDEX($J$5:$J$34,K201+L201-1)),"")</f>
        <v/>
      </c>
      <c r="O201">
        <f>IF(M201=1,IF(N201&lt;=COMBINACIONES_PH!$B$5,1,0),"")</f>
        <v/>
      </c>
      <c r="P201">
        <f>IF(M201=1,IF(O201=1,-L201,100)+N201+ROW()*0.000000000001,"")</f>
        <v/>
      </c>
    </row>
    <row r="202">
      <c r="K202" t="n">
        <v>9</v>
      </c>
      <c r="L202" t="n">
        <v>4</v>
      </c>
      <c r="M202">
        <f>IF(AND(L202&gt;=COMBINACIONES_PH!$B$9,K202+L202-1&lt;=$J$2),1,0)</f>
        <v/>
      </c>
      <c r="N202">
        <f>IF(M202=1,_xlfn.STDEV.S(INDEX($J$5:$J$34,K202):INDEX($J$5:$J$34,K202+L202-1))/AVERAGE(INDEX($J$5:$J$34,K202):INDEX($J$5:$J$34,K202+L202-1)),"")</f>
        <v/>
      </c>
      <c r="O202">
        <f>IF(M202=1,IF(N202&lt;=COMBINACIONES_PH!$B$5,1,0),"")</f>
        <v/>
      </c>
      <c r="P202">
        <f>IF(M202=1,IF(O202=1,-L202,100)+N202+ROW()*0.000000000001,"")</f>
        <v/>
      </c>
    </row>
    <row r="203">
      <c r="K203" t="n">
        <v>9</v>
      </c>
      <c r="L203" t="n">
        <v>5</v>
      </c>
      <c r="M203">
        <f>IF(AND(L203&gt;=COMBINACIONES_PH!$B$9,K203+L203-1&lt;=$J$2),1,0)</f>
        <v/>
      </c>
      <c r="N203">
        <f>IF(M203=1,_xlfn.STDEV.S(INDEX($J$5:$J$34,K203):INDEX($J$5:$J$34,K203+L203-1))/AVERAGE(INDEX($J$5:$J$34,K203):INDEX($J$5:$J$34,K203+L203-1)),"")</f>
        <v/>
      </c>
      <c r="O203">
        <f>IF(M203=1,IF(N203&lt;=COMBINACIONES_PH!$B$5,1,0),"")</f>
        <v/>
      </c>
      <c r="P203">
        <f>IF(M203=1,IF(O203=1,-L203,100)+N203+ROW()*0.000000000001,"")</f>
        <v/>
      </c>
    </row>
    <row r="204">
      <c r="K204" t="n">
        <v>9</v>
      </c>
      <c r="L204" t="n">
        <v>6</v>
      </c>
      <c r="M204">
        <f>IF(AND(L204&gt;=COMBINACIONES_PH!$B$9,K204+L204-1&lt;=$J$2),1,0)</f>
        <v/>
      </c>
      <c r="N204">
        <f>IF(M204=1,_xlfn.STDEV.S(INDEX($J$5:$J$34,K204):INDEX($J$5:$J$34,K204+L204-1))/AVERAGE(INDEX($J$5:$J$34,K204):INDEX($J$5:$J$34,K204+L204-1)),"")</f>
        <v/>
      </c>
      <c r="O204">
        <f>IF(M204=1,IF(N204&lt;=COMBINACIONES_PH!$B$5,1,0),"")</f>
        <v/>
      </c>
      <c r="P204">
        <f>IF(M204=1,IF(O204=1,-L204,100)+N204+ROW()*0.000000000001,"")</f>
        <v/>
      </c>
    </row>
    <row r="205">
      <c r="K205" t="n">
        <v>9</v>
      </c>
      <c r="L205" t="n">
        <v>7</v>
      </c>
      <c r="M205">
        <f>IF(AND(L205&gt;=COMBINACIONES_PH!$B$9,K205+L205-1&lt;=$J$2),1,0)</f>
        <v/>
      </c>
      <c r="N205">
        <f>IF(M205=1,_xlfn.STDEV.S(INDEX($J$5:$J$34,K205):INDEX($J$5:$J$34,K205+L205-1))/AVERAGE(INDEX($J$5:$J$34,K205):INDEX($J$5:$J$34,K205+L205-1)),"")</f>
        <v/>
      </c>
      <c r="O205">
        <f>IF(M205=1,IF(N205&lt;=COMBINACIONES_PH!$B$5,1,0),"")</f>
        <v/>
      </c>
      <c r="P205">
        <f>IF(M205=1,IF(O205=1,-L205,100)+N205+ROW()*0.000000000001,"")</f>
        <v/>
      </c>
    </row>
    <row r="206">
      <c r="K206" t="n">
        <v>9</v>
      </c>
      <c r="L206" t="n">
        <v>8</v>
      </c>
      <c r="M206">
        <f>IF(AND(L206&gt;=COMBINACIONES_PH!$B$9,K206+L206-1&lt;=$J$2),1,0)</f>
        <v/>
      </c>
      <c r="N206">
        <f>IF(M206=1,_xlfn.STDEV.S(INDEX($J$5:$J$34,K206):INDEX($J$5:$J$34,K206+L206-1))/AVERAGE(INDEX($J$5:$J$34,K206):INDEX($J$5:$J$34,K206+L206-1)),"")</f>
        <v/>
      </c>
      <c r="O206">
        <f>IF(M206=1,IF(N206&lt;=COMBINACIONES_PH!$B$5,1,0),"")</f>
        <v/>
      </c>
      <c r="P206">
        <f>IF(M206=1,IF(O206=1,-L206,100)+N206+ROW()*0.000000000001,"")</f>
        <v/>
      </c>
    </row>
    <row r="207">
      <c r="K207" t="n">
        <v>9</v>
      </c>
      <c r="L207" t="n">
        <v>9</v>
      </c>
      <c r="M207">
        <f>IF(AND(L207&gt;=COMBINACIONES_PH!$B$9,K207+L207-1&lt;=$J$2),1,0)</f>
        <v/>
      </c>
      <c r="N207">
        <f>IF(M207=1,_xlfn.STDEV.S(INDEX($J$5:$J$34,K207):INDEX($J$5:$J$34,K207+L207-1))/AVERAGE(INDEX($J$5:$J$34,K207):INDEX($J$5:$J$34,K207+L207-1)),"")</f>
        <v/>
      </c>
      <c r="O207">
        <f>IF(M207=1,IF(N207&lt;=COMBINACIONES_PH!$B$5,1,0),"")</f>
        <v/>
      </c>
      <c r="P207">
        <f>IF(M207=1,IF(O207=1,-L207,100)+N207+ROW()*0.000000000001,"")</f>
        <v/>
      </c>
    </row>
    <row r="208">
      <c r="K208" t="n">
        <v>9</v>
      </c>
      <c r="L208" t="n">
        <v>10</v>
      </c>
      <c r="M208">
        <f>IF(AND(L208&gt;=COMBINACIONES_PH!$B$9,K208+L208-1&lt;=$J$2),1,0)</f>
        <v/>
      </c>
      <c r="N208">
        <f>IF(M208=1,_xlfn.STDEV.S(INDEX($J$5:$J$34,K208):INDEX($J$5:$J$34,K208+L208-1))/AVERAGE(INDEX($J$5:$J$34,K208):INDEX($J$5:$J$34,K208+L208-1)),"")</f>
        <v/>
      </c>
      <c r="O208">
        <f>IF(M208=1,IF(N208&lt;=COMBINACIONES_PH!$B$5,1,0),"")</f>
        <v/>
      </c>
      <c r="P208">
        <f>IF(M208=1,IF(O208=1,-L208,100)+N208+ROW()*0.000000000001,"")</f>
        <v/>
      </c>
    </row>
    <row r="209">
      <c r="K209" t="n">
        <v>9</v>
      </c>
      <c r="L209" t="n">
        <v>11</v>
      </c>
      <c r="M209">
        <f>IF(AND(L209&gt;=COMBINACIONES_PH!$B$9,K209+L209-1&lt;=$J$2),1,0)</f>
        <v/>
      </c>
      <c r="N209">
        <f>IF(M209=1,_xlfn.STDEV.S(INDEX($J$5:$J$34,K209):INDEX($J$5:$J$34,K209+L209-1))/AVERAGE(INDEX($J$5:$J$34,K209):INDEX($J$5:$J$34,K209+L209-1)),"")</f>
        <v/>
      </c>
      <c r="O209">
        <f>IF(M209=1,IF(N209&lt;=COMBINACIONES_PH!$B$5,1,0),"")</f>
        <v/>
      </c>
      <c r="P209">
        <f>IF(M209=1,IF(O209=1,-L209,100)+N209+ROW()*0.000000000001,"")</f>
        <v/>
      </c>
    </row>
    <row r="210">
      <c r="K210" t="n">
        <v>9</v>
      </c>
      <c r="L210" t="n">
        <v>12</v>
      </c>
      <c r="M210">
        <f>IF(AND(L210&gt;=COMBINACIONES_PH!$B$9,K210+L210-1&lt;=$J$2),1,0)</f>
        <v/>
      </c>
      <c r="N210">
        <f>IF(M210=1,_xlfn.STDEV.S(INDEX($J$5:$J$34,K210):INDEX($J$5:$J$34,K210+L210-1))/AVERAGE(INDEX($J$5:$J$34,K210):INDEX($J$5:$J$34,K210+L210-1)),"")</f>
        <v/>
      </c>
      <c r="O210">
        <f>IF(M210=1,IF(N210&lt;=COMBINACIONES_PH!$B$5,1,0),"")</f>
        <v/>
      </c>
      <c r="P210">
        <f>IF(M210=1,IF(O210=1,-L210,100)+N210+ROW()*0.000000000001,"")</f>
        <v/>
      </c>
    </row>
    <row r="211">
      <c r="K211" t="n">
        <v>9</v>
      </c>
      <c r="L211" t="n">
        <v>13</v>
      </c>
      <c r="M211">
        <f>IF(AND(L211&gt;=COMBINACIONES_PH!$B$9,K211+L211-1&lt;=$J$2),1,0)</f>
        <v/>
      </c>
      <c r="N211">
        <f>IF(M211=1,_xlfn.STDEV.S(INDEX($J$5:$J$34,K211):INDEX($J$5:$J$34,K211+L211-1))/AVERAGE(INDEX($J$5:$J$34,K211):INDEX($J$5:$J$34,K211+L211-1)),"")</f>
        <v/>
      </c>
      <c r="O211">
        <f>IF(M211=1,IF(N211&lt;=COMBINACIONES_PH!$B$5,1,0),"")</f>
        <v/>
      </c>
      <c r="P211">
        <f>IF(M211=1,IF(O211=1,-L211,100)+N211+ROW()*0.000000000001,"")</f>
        <v/>
      </c>
    </row>
    <row r="212">
      <c r="K212" t="n">
        <v>9</v>
      </c>
      <c r="L212" t="n">
        <v>14</v>
      </c>
      <c r="M212">
        <f>IF(AND(L212&gt;=COMBINACIONES_PH!$B$9,K212+L212-1&lt;=$J$2),1,0)</f>
        <v/>
      </c>
      <c r="N212">
        <f>IF(M212=1,_xlfn.STDEV.S(INDEX($J$5:$J$34,K212):INDEX($J$5:$J$34,K212+L212-1))/AVERAGE(INDEX($J$5:$J$34,K212):INDEX($J$5:$J$34,K212+L212-1)),"")</f>
        <v/>
      </c>
      <c r="O212">
        <f>IF(M212=1,IF(N212&lt;=COMBINACIONES_PH!$B$5,1,0),"")</f>
        <v/>
      </c>
      <c r="P212">
        <f>IF(M212=1,IF(O212=1,-L212,100)+N212+ROW()*0.000000000001,"")</f>
        <v/>
      </c>
    </row>
    <row r="213">
      <c r="K213" t="n">
        <v>9</v>
      </c>
      <c r="L213" t="n">
        <v>15</v>
      </c>
      <c r="M213">
        <f>IF(AND(L213&gt;=COMBINACIONES_PH!$B$9,K213+L213-1&lt;=$J$2),1,0)</f>
        <v/>
      </c>
      <c r="N213">
        <f>IF(M213=1,_xlfn.STDEV.S(INDEX($J$5:$J$34,K213):INDEX($J$5:$J$34,K213+L213-1))/AVERAGE(INDEX($J$5:$J$34,K213):INDEX($J$5:$J$34,K213+L213-1)),"")</f>
        <v/>
      </c>
      <c r="O213">
        <f>IF(M213=1,IF(N213&lt;=COMBINACIONES_PH!$B$5,1,0),"")</f>
        <v/>
      </c>
      <c r="P213">
        <f>IF(M213=1,IF(O213=1,-L213,100)+N213+ROW()*0.000000000001,"")</f>
        <v/>
      </c>
    </row>
    <row r="214">
      <c r="K214" t="n">
        <v>9</v>
      </c>
      <c r="L214" t="n">
        <v>16</v>
      </c>
      <c r="M214">
        <f>IF(AND(L214&gt;=COMBINACIONES_PH!$B$9,K214+L214-1&lt;=$J$2),1,0)</f>
        <v/>
      </c>
      <c r="N214">
        <f>IF(M214=1,_xlfn.STDEV.S(INDEX($J$5:$J$34,K214):INDEX($J$5:$J$34,K214+L214-1))/AVERAGE(INDEX($J$5:$J$34,K214):INDEX($J$5:$J$34,K214+L214-1)),"")</f>
        <v/>
      </c>
      <c r="O214">
        <f>IF(M214=1,IF(N214&lt;=COMBINACIONES_PH!$B$5,1,0),"")</f>
        <v/>
      </c>
      <c r="P214">
        <f>IF(M214=1,IF(O214=1,-L214,100)+N214+ROW()*0.000000000001,"")</f>
        <v/>
      </c>
    </row>
    <row r="215">
      <c r="K215" t="n">
        <v>9</v>
      </c>
      <c r="L215" t="n">
        <v>17</v>
      </c>
      <c r="M215">
        <f>IF(AND(L215&gt;=COMBINACIONES_PH!$B$9,K215+L215-1&lt;=$J$2),1,0)</f>
        <v/>
      </c>
      <c r="N215">
        <f>IF(M215=1,_xlfn.STDEV.S(INDEX($J$5:$J$34,K215):INDEX($J$5:$J$34,K215+L215-1))/AVERAGE(INDEX($J$5:$J$34,K215):INDEX($J$5:$J$34,K215+L215-1)),"")</f>
        <v/>
      </c>
      <c r="O215">
        <f>IF(M215=1,IF(N215&lt;=COMBINACIONES_PH!$B$5,1,0),"")</f>
        <v/>
      </c>
      <c r="P215">
        <f>IF(M215=1,IF(O215=1,-L215,100)+N215+ROW()*0.000000000001,"")</f>
        <v/>
      </c>
    </row>
    <row r="216">
      <c r="K216" t="n">
        <v>9</v>
      </c>
      <c r="L216" t="n">
        <v>18</v>
      </c>
      <c r="M216">
        <f>IF(AND(L216&gt;=COMBINACIONES_PH!$B$9,K216+L216-1&lt;=$J$2),1,0)</f>
        <v/>
      </c>
      <c r="N216">
        <f>IF(M216=1,_xlfn.STDEV.S(INDEX($J$5:$J$34,K216):INDEX($J$5:$J$34,K216+L216-1))/AVERAGE(INDEX($J$5:$J$34,K216):INDEX($J$5:$J$34,K216+L216-1)),"")</f>
        <v/>
      </c>
      <c r="O216">
        <f>IF(M216=1,IF(N216&lt;=COMBINACIONES_PH!$B$5,1,0),"")</f>
        <v/>
      </c>
      <c r="P216">
        <f>IF(M216=1,IF(O216=1,-L216,100)+N216+ROW()*0.000000000001,"")</f>
        <v/>
      </c>
    </row>
    <row r="217">
      <c r="K217" t="n">
        <v>9</v>
      </c>
      <c r="L217" t="n">
        <v>19</v>
      </c>
      <c r="M217">
        <f>IF(AND(L217&gt;=COMBINACIONES_PH!$B$9,K217+L217-1&lt;=$J$2),1,0)</f>
        <v/>
      </c>
      <c r="N217">
        <f>IF(M217=1,_xlfn.STDEV.S(INDEX($J$5:$J$34,K217):INDEX($J$5:$J$34,K217+L217-1))/AVERAGE(INDEX($J$5:$J$34,K217):INDEX($J$5:$J$34,K217+L217-1)),"")</f>
        <v/>
      </c>
      <c r="O217">
        <f>IF(M217=1,IF(N217&lt;=COMBINACIONES_PH!$B$5,1,0),"")</f>
        <v/>
      </c>
      <c r="P217">
        <f>IF(M217=1,IF(O217=1,-L217,100)+N217+ROW()*0.000000000001,"")</f>
        <v/>
      </c>
    </row>
    <row r="218">
      <c r="K218" t="n">
        <v>9</v>
      </c>
      <c r="L218" t="n">
        <v>20</v>
      </c>
      <c r="M218">
        <f>IF(AND(L218&gt;=COMBINACIONES_PH!$B$9,K218+L218-1&lt;=$J$2),1,0)</f>
        <v/>
      </c>
      <c r="N218">
        <f>IF(M218=1,_xlfn.STDEV.S(INDEX($J$5:$J$34,K218):INDEX($J$5:$J$34,K218+L218-1))/AVERAGE(INDEX($J$5:$J$34,K218):INDEX($J$5:$J$34,K218+L218-1)),"")</f>
        <v/>
      </c>
      <c r="O218">
        <f>IF(M218=1,IF(N218&lt;=COMBINACIONES_PH!$B$5,1,0),"")</f>
        <v/>
      </c>
      <c r="P218">
        <f>IF(M218=1,IF(O218=1,-L218,100)+N218+ROW()*0.000000000001,"")</f>
        <v/>
      </c>
    </row>
    <row r="219">
      <c r="K219" t="n">
        <v>9</v>
      </c>
      <c r="L219" t="n">
        <v>21</v>
      </c>
      <c r="M219">
        <f>IF(AND(L219&gt;=COMBINACIONES_PH!$B$9,K219+L219-1&lt;=$J$2),1,0)</f>
        <v/>
      </c>
      <c r="N219">
        <f>IF(M219=1,_xlfn.STDEV.S(INDEX($J$5:$J$34,K219):INDEX($J$5:$J$34,K219+L219-1))/AVERAGE(INDEX($J$5:$J$34,K219):INDEX($J$5:$J$34,K219+L219-1)),"")</f>
        <v/>
      </c>
      <c r="O219">
        <f>IF(M219=1,IF(N219&lt;=COMBINACIONES_PH!$B$5,1,0),"")</f>
        <v/>
      </c>
      <c r="P219">
        <f>IF(M219=1,IF(O219=1,-L219,100)+N219+ROW()*0.000000000001,"")</f>
        <v/>
      </c>
    </row>
    <row r="220">
      <c r="K220" t="n">
        <v>9</v>
      </c>
      <c r="L220" t="n">
        <v>22</v>
      </c>
      <c r="M220">
        <f>IF(AND(L220&gt;=COMBINACIONES_PH!$B$9,K220+L220-1&lt;=$J$2),1,0)</f>
        <v/>
      </c>
      <c r="N220">
        <f>IF(M220=1,_xlfn.STDEV.S(INDEX($J$5:$J$34,K220):INDEX($J$5:$J$34,K220+L220-1))/AVERAGE(INDEX($J$5:$J$34,K220):INDEX($J$5:$J$34,K220+L220-1)),"")</f>
        <v/>
      </c>
      <c r="O220">
        <f>IF(M220=1,IF(N220&lt;=COMBINACIONES_PH!$B$5,1,0),"")</f>
        <v/>
      </c>
      <c r="P220">
        <f>IF(M220=1,IF(O220=1,-L220,100)+N220+ROW()*0.000000000001,"")</f>
        <v/>
      </c>
    </row>
    <row r="221">
      <c r="K221" t="n">
        <v>10</v>
      </c>
      <c r="L221" t="n">
        <v>3</v>
      </c>
      <c r="M221">
        <f>IF(AND(L221&gt;=COMBINACIONES_PH!$B$9,K221+L221-1&lt;=$J$2),1,0)</f>
        <v/>
      </c>
      <c r="N221">
        <f>IF(M221=1,_xlfn.STDEV.S(INDEX($J$5:$J$34,K221):INDEX($J$5:$J$34,K221+L221-1))/AVERAGE(INDEX($J$5:$J$34,K221):INDEX($J$5:$J$34,K221+L221-1)),"")</f>
        <v/>
      </c>
      <c r="O221">
        <f>IF(M221=1,IF(N221&lt;=COMBINACIONES_PH!$B$5,1,0),"")</f>
        <v/>
      </c>
      <c r="P221">
        <f>IF(M221=1,IF(O221=1,-L221,100)+N221+ROW()*0.000000000001,"")</f>
        <v/>
      </c>
    </row>
    <row r="222">
      <c r="K222" t="n">
        <v>10</v>
      </c>
      <c r="L222" t="n">
        <v>4</v>
      </c>
      <c r="M222">
        <f>IF(AND(L222&gt;=COMBINACIONES_PH!$B$9,K222+L222-1&lt;=$J$2),1,0)</f>
        <v/>
      </c>
      <c r="N222">
        <f>IF(M222=1,_xlfn.STDEV.S(INDEX($J$5:$J$34,K222):INDEX($J$5:$J$34,K222+L222-1))/AVERAGE(INDEX($J$5:$J$34,K222):INDEX($J$5:$J$34,K222+L222-1)),"")</f>
        <v/>
      </c>
      <c r="O222">
        <f>IF(M222=1,IF(N222&lt;=COMBINACIONES_PH!$B$5,1,0),"")</f>
        <v/>
      </c>
      <c r="P222">
        <f>IF(M222=1,IF(O222=1,-L222,100)+N222+ROW()*0.000000000001,"")</f>
        <v/>
      </c>
    </row>
    <row r="223">
      <c r="K223" t="n">
        <v>10</v>
      </c>
      <c r="L223" t="n">
        <v>5</v>
      </c>
      <c r="M223">
        <f>IF(AND(L223&gt;=COMBINACIONES_PH!$B$9,K223+L223-1&lt;=$J$2),1,0)</f>
        <v/>
      </c>
      <c r="N223">
        <f>IF(M223=1,_xlfn.STDEV.S(INDEX($J$5:$J$34,K223):INDEX($J$5:$J$34,K223+L223-1))/AVERAGE(INDEX($J$5:$J$34,K223):INDEX($J$5:$J$34,K223+L223-1)),"")</f>
        <v/>
      </c>
      <c r="O223">
        <f>IF(M223=1,IF(N223&lt;=COMBINACIONES_PH!$B$5,1,0),"")</f>
        <v/>
      </c>
      <c r="P223">
        <f>IF(M223=1,IF(O223=1,-L223,100)+N223+ROW()*0.000000000001,"")</f>
        <v/>
      </c>
    </row>
    <row r="224">
      <c r="K224" t="n">
        <v>10</v>
      </c>
      <c r="L224" t="n">
        <v>6</v>
      </c>
      <c r="M224">
        <f>IF(AND(L224&gt;=COMBINACIONES_PH!$B$9,K224+L224-1&lt;=$J$2),1,0)</f>
        <v/>
      </c>
      <c r="N224">
        <f>IF(M224=1,_xlfn.STDEV.S(INDEX($J$5:$J$34,K224):INDEX($J$5:$J$34,K224+L224-1))/AVERAGE(INDEX($J$5:$J$34,K224):INDEX($J$5:$J$34,K224+L224-1)),"")</f>
        <v/>
      </c>
      <c r="O224">
        <f>IF(M224=1,IF(N224&lt;=COMBINACIONES_PH!$B$5,1,0),"")</f>
        <v/>
      </c>
      <c r="P224">
        <f>IF(M224=1,IF(O224=1,-L224,100)+N224+ROW()*0.000000000001,"")</f>
        <v/>
      </c>
    </row>
    <row r="225">
      <c r="K225" t="n">
        <v>10</v>
      </c>
      <c r="L225" t="n">
        <v>7</v>
      </c>
      <c r="M225">
        <f>IF(AND(L225&gt;=COMBINACIONES_PH!$B$9,K225+L225-1&lt;=$J$2),1,0)</f>
        <v/>
      </c>
      <c r="N225">
        <f>IF(M225=1,_xlfn.STDEV.S(INDEX($J$5:$J$34,K225):INDEX($J$5:$J$34,K225+L225-1))/AVERAGE(INDEX($J$5:$J$34,K225):INDEX($J$5:$J$34,K225+L225-1)),"")</f>
        <v/>
      </c>
      <c r="O225">
        <f>IF(M225=1,IF(N225&lt;=COMBINACIONES_PH!$B$5,1,0),"")</f>
        <v/>
      </c>
      <c r="P225">
        <f>IF(M225=1,IF(O225=1,-L225,100)+N225+ROW()*0.000000000001,"")</f>
        <v/>
      </c>
    </row>
    <row r="226">
      <c r="K226" t="n">
        <v>10</v>
      </c>
      <c r="L226" t="n">
        <v>8</v>
      </c>
      <c r="M226">
        <f>IF(AND(L226&gt;=COMBINACIONES_PH!$B$9,K226+L226-1&lt;=$J$2),1,0)</f>
        <v/>
      </c>
      <c r="N226">
        <f>IF(M226=1,_xlfn.STDEV.S(INDEX($J$5:$J$34,K226):INDEX($J$5:$J$34,K226+L226-1))/AVERAGE(INDEX($J$5:$J$34,K226):INDEX($J$5:$J$34,K226+L226-1)),"")</f>
        <v/>
      </c>
      <c r="O226">
        <f>IF(M226=1,IF(N226&lt;=COMBINACIONES_PH!$B$5,1,0),"")</f>
        <v/>
      </c>
      <c r="P226">
        <f>IF(M226=1,IF(O226=1,-L226,100)+N226+ROW()*0.000000000001,"")</f>
        <v/>
      </c>
    </row>
    <row r="227">
      <c r="K227" t="n">
        <v>10</v>
      </c>
      <c r="L227" t="n">
        <v>9</v>
      </c>
      <c r="M227">
        <f>IF(AND(L227&gt;=COMBINACIONES_PH!$B$9,K227+L227-1&lt;=$J$2),1,0)</f>
        <v/>
      </c>
      <c r="N227">
        <f>IF(M227=1,_xlfn.STDEV.S(INDEX($J$5:$J$34,K227):INDEX($J$5:$J$34,K227+L227-1))/AVERAGE(INDEX($J$5:$J$34,K227):INDEX($J$5:$J$34,K227+L227-1)),"")</f>
        <v/>
      </c>
      <c r="O227">
        <f>IF(M227=1,IF(N227&lt;=COMBINACIONES_PH!$B$5,1,0),"")</f>
        <v/>
      </c>
      <c r="P227">
        <f>IF(M227=1,IF(O227=1,-L227,100)+N227+ROW()*0.000000000001,"")</f>
        <v/>
      </c>
    </row>
    <row r="228">
      <c r="K228" t="n">
        <v>10</v>
      </c>
      <c r="L228" t="n">
        <v>10</v>
      </c>
      <c r="M228">
        <f>IF(AND(L228&gt;=COMBINACIONES_PH!$B$9,K228+L228-1&lt;=$J$2),1,0)</f>
        <v/>
      </c>
      <c r="N228">
        <f>IF(M228=1,_xlfn.STDEV.S(INDEX($J$5:$J$34,K228):INDEX($J$5:$J$34,K228+L228-1))/AVERAGE(INDEX($J$5:$J$34,K228):INDEX($J$5:$J$34,K228+L228-1)),"")</f>
        <v/>
      </c>
      <c r="O228">
        <f>IF(M228=1,IF(N228&lt;=COMBINACIONES_PH!$B$5,1,0),"")</f>
        <v/>
      </c>
      <c r="P228">
        <f>IF(M228=1,IF(O228=1,-L228,100)+N228+ROW()*0.000000000001,"")</f>
        <v/>
      </c>
    </row>
    <row r="229">
      <c r="K229" t="n">
        <v>10</v>
      </c>
      <c r="L229" t="n">
        <v>11</v>
      </c>
      <c r="M229">
        <f>IF(AND(L229&gt;=COMBINACIONES_PH!$B$9,K229+L229-1&lt;=$J$2),1,0)</f>
        <v/>
      </c>
      <c r="N229">
        <f>IF(M229=1,_xlfn.STDEV.S(INDEX($J$5:$J$34,K229):INDEX($J$5:$J$34,K229+L229-1))/AVERAGE(INDEX($J$5:$J$34,K229):INDEX($J$5:$J$34,K229+L229-1)),"")</f>
        <v/>
      </c>
      <c r="O229">
        <f>IF(M229=1,IF(N229&lt;=COMBINACIONES_PH!$B$5,1,0),"")</f>
        <v/>
      </c>
      <c r="P229">
        <f>IF(M229=1,IF(O229=1,-L229,100)+N229+ROW()*0.000000000001,"")</f>
        <v/>
      </c>
    </row>
    <row r="230">
      <c r="K230" t="n">
        <v>10</v>
      </c>
      <c r="L230" t="n">
        <v>12</v>
      </c>
      <c r="M230">
        <f>IF(AND(L230&gt;=COMBINACIONES_PH!$B$9,K230+L230-1&lt;=$J$2),1,0)</f>
        <v/>
      </c>
      <c r="N230">
        <f>IF(M230=1,_xlfn.STDEV.S(INDEX($J$5:$J$34,K230):INDEX($J$5:$J$34,K230+L230-1))/AVERAGE(INDEX($J$5:$J$34,K230):INDEX($J$5:$J$34,K230+L230-1)),"")</f>
        <v/>
      </c>
      <c r="O230">
        <f>IF(M230=1,IF(N230&lt;=COMBINACIONES_PH!$B$5,1,0),"")</f>
        <v/>
      </c>
      <c r="P230">
        <f>IF(M230=1,IF(O230=1,-L230,100)+N230+ROW()*0.000000000001,"")</f>
        <v/>
      </c>
    </row>
    <row r="231">
      <c r="K231" t="n">
        <v>10</v>
      </c>
      <c r="L231" t="n">
        <v>13</v>
      </c>
      <c r="M231">
        <f>IF(AND(L231&gt;=COMBINACIONES_PH!$B$9,K231+L231-1&lt;=$J$2),1,0)</f>
        <v/>
      </c>
      <c r="N231">
        <f>IF(M231=1,_xlfn.STDEV.S(INDEX($J$5:$J$34,K231):INDEX($J$5:$J$34,K231+L231-1))/AVERAGE(INDEX($J$5:$J$34,K231):INDEX($J$5:$J$34,K231+L231-1)),"")</f>
        <v/>
      </c>
      <c r="O231">
        <f>IF(M231=1,IF(N231&lt;=COMBINACIONES_PH!$B$5,1,0),"")</f>
        <v/>
      </c>
      <c r="P231">
        <f>IF(M231=1,IF(O231=1,-L231,100)+N231+ROW()*0.000000000001,"")</f>
        <v/>
      </c>
    </row>
    <row r="232">
      <c r="K232" t="n">
        <v>10</v>
      </c>
      <c r="L232" t="n">
        <v>14</v>
      </c>
      <c r="M232">
        <f>IF(AND(L232&gt;=COMBINACIONES_PH!$B$9,K232+L232-1&lt;=$J$2),1,0)</f>
        <v/>
      </c>
      <c r="N232">
        <f>IF(M232=1,_xlfn.STDEV.S(INDEX($J$5:$J$34,K232):INDEX($J$5:$J$34,K232+L232-1))/AVERAGE(INDEX($J$5:$J$34,K232):INDEX($J$5:$J$34,K232+L232-1)),"")</f>
        <v/>
      </c>
      <c r="O232">
        <f>IF(M232=1,IF(N232&lt;=COMBINACIONES_PH!$B$5,1,0),"")</f>
        <v/>
      </c>
      <c r="P232">
        <f>IF(M232=1,IF(O232=1,-L232,100)+N232+ROW()*0.000000000001,"")</f>
        <v/>
      </c>
    </row>
    <row r="233">
      <c r="K233" t="n">
        <v>10</v>
      </c>
      <c r="L233" t="n">
        <v>15</v>
      </c>
      <c r="M233">
        <f>IF(AND(L233&gt;=COMBINACIONES_PH!$B$9,K233+L233-1&lt;=$J$2),1,0)</f>
        <v/>
      </c>
      <c r="N233">
        <f>IF(M233=1,_xlfn.STDEV.S(INDEX($J$5:$J$34,K233):INDEX($J$5:$J$34,K233+L233-1))/AVERAGE(INDEX($J$5:$J$34,K233):INDEX($J$5:$J$34,K233+L233-1)),"")</f>
        <v/>
      </c>
      <c r="O233">
        <f>IF(M233=1,IF(N233&lt;=COMBINACIONES_PH!$B$5,1,0),"")</f>
        <v/>
      </c>
      <c r="P233">
        <f>IF(M233=1,IF(O233=1,-L233,100)+N233+ROW()*0.000000000001,"")</f>
        <v/>
      </c>
    </row>
    <row r="234">
      <c r="K234" t="n">
        <v>10</v>
      </c>
      <c r="L234" t="n">
        <v>16</v>
      </c>
      <c r="M234">
        <f>IF(AND(L234&gt;=COMBINACIONES_PH!$B$9,K234+L234-1&lt;=$J$2),1,0)</f>
        <v/>
      </c>
      <c r="N234">
        <f>IF(M234=1,_xlfn.STDEV.S(INDEX($J$5:$J$34,K234):INDEX($J$5:$J$34,K234+L234-1))/AVERAGE(INDEX($J$5:$J$34,K234):INDEX($J$5:$J$34,K234+L234-1)),"")</f>
        <v/>
      </c>
      <c r="O234">
        <f>IF(M234=1,IF(N234&lt;=COMBINACIONES_PH!$B$5,1,0),"")</f>
        <v/>
      </c>
      <c r="P234">
        <f>IF(M234=1,IF(O234=1,-L234,100)+N234+ROW()*0.000000000001,"")</f>
        <v/>
      </c>
    </row>
    <row r="235">
      <c r="K235" t="n">
        <v>10</v>
      </c>
      <c r="L235" t="n">
        <v>17</v>
      </c>
      <c r="M235">
        <f>IF(AND(L235&gt;=COMBINACIONES_PH!$B$9,K235+L235-1&lt;=$J$2),1,0)</f>
        <v/>
      </c>
      <c r="N235">
        <f>IF(M235=1,_xlfn.STDEV.S(INDEX($J$5:$J$34,K235):INDEX($J$5:$J$34,K235+L235-1))/AVERAGE(INDEX($J$5:$J$34,K235):INDEX($J$5:$J$34,K235+L235-1)),"")</f>
        <v/>
      </c>
      <c r="O235">
        <f>IF(M235=1,IF(N235&lt;=COMBINACIONES_PH!$B$5,1,0),"")</f>
        <v/>
      </c>
      <c r="P235">
        <f>IF(M235=1,IF(O235=1,-L235,100)+N235+ROW()*0.000000000001,"")</f>
        <v/>
      </c>
    </row>
    <row r="236">
      <c r="K236" t="n">
        <v>10</v>
      </c>
      <c r="L236" t="n">
        <v>18</v>
      </c>
      <c r="M236">
        <f>IF(AND(L236&gt;=COMBINACIONES_PH!$B$9,K236+L236-1&lt;=$J$2),1,0)</f>
        <v/>
      </c>
      <c r="N236">
        <f>IF(M236=1,_xlfn.STDEV.S(INDEX($J$5:$J$34,K236):INDEX($J$5:$J$34,K236+L236-1))/AVERAGE(INDEX($J$5:$J$34,K236):INDEX($J$5:$J$34,K236+L236-1)),"")</f>
        <v/>
      </c>
      <c r="O236">
        <f>IF(M236=1,IF(N236&lt;=COMBINACIONES_PH!$B$5,1,0),"")</f>
        <v/>
      </c>
      <c r="P236">
        <f>IF(M236=1,IF(O236=1,-L236,100)+N236+ROW()*0.000000000001,"")</f>
        <v/>
      </c>
    </row>
    <row r="237">
      <c r="K237" t="n">
        <v>10</v>
      </c>
      <c r="L237" t="n">
        <v>19</v>
      </c>
      <c r="M237">
        <f>IF(AND(L237&gt;=COMBINACIONES_PH!$B$9,K237+L237-1&lt;=$J$2),1,0)</f>
        <v/>
      </c>
      <c r="N237">
        <f>IF(M237=1,_xlfn.STDEV.S(INDEX($J$5:$J$34,K237):INDEX($J$5:$J$34,K237+L237-1))/AVERAGE(INDEX($J$5:$J$34,K237):INDEX($J$5:$J$34,K237+L237-1)),"")</f>
        <v/>
      </c>
      <c r="O237">
        <f>IF(M237=1,IF(N237&lt;=COMBINACIONES_PH!$B$5,1,0),"")</f>
        <v/>
      </c>
      <c r="P237">
        <f>IF(M237=1,IF(O237=1,-L237,100)+N237+ROW()*0.000000000001,"")</f>
        <v/>
      </c>
    </row>
    <row r="238">
      <c r="K238" t="n">
        <v>10</v>
      </c>
      <c r="L238" t="n">
        <v>20</v>
      </c>
      <c r="M238">
        <f>IF(AND(L238&gt;=COMBINACIONES_PH!$B$9,K238+L238-1&lt;=$J$2),1,0)</f>
        <v/>
      </c>
      <c r="N238">
        <f>IF(M238=1,_xlfn.STDEV.S(INDEX($J$5:$J$34,K238):INDEX($J$5:$J$34,K238+L238-1))/AVERAGE(INDEX($J$5:$J$34,K238):INDEX($J$5:$J$34,K238+L238-1)),"")</f>
        <v/>
      </c>
      <c r="O238">
        <f>IF(M238=1,IF(N238&lt;=COMBINACIONES_PH!$B$5,1,0),"")</f>
        <v/>
      </c>
      <c r="P238">
        <f>IF(M238=1,IF(O238=1,-L238,100)+N238+ROW()*0.000000000001,"")</f>
        <v/>
      </c>
    </row>
    <row r="239">
      <c r="K239" t="n">
        <v>10</v>
      </c>
      <c r="L239" t="n">
        <v>21</v>
      </c>
      <c r="M239">
        <f>IF(AND(L239&gt;=COMBINACIONES_PH!$B$9,K239+L239-1&lt;=$J$2),1,0)</f>
        <v/>
      </c>
      <c r="N239">
        <f>IF(M239=1,_xlfn.STDEV.S(INDEX($J$5:$J$34,K239):INDEX($J$5:$J$34,K239+L239-1))/AVERAGE(INDEX($J$5:$J$34,K239):INDEX($J$5:$J$34,K239+L239-1)),"")</f>
        <v/>
      </c>
      <c r="O239">
        <f>IF(M239=1,IF(N239&lt;=COMBINACIONES_PH!$B$5,1,0),"")</f>
        <v/>
      </c>
      <c r="P239">
        <f>IF(M239=1,IF(O239=1,-L239,100)+N239+ROW()*0.000000000001,"")</f>
        <v/>
      </c>
    </row>
    <row r="240">
      <c r="K240" t="n">
        <v>11</v>
      </c>
      <c r="L240" t="n">
        <v>3</v>
      </c>
      <c r="M240">
        <f>IF(AND(L240&gt;=COMBINACIONES_PH!$B$9,K240+L240-1&lt;=$J$2),1,0)</f>
        <v/>
      </c>
      <c r="N240">
        <f>IF(M240=1,_xlfn.STDEV.S(INDEX($J$5:$J$34,K240):INDEX($J$5:$J$34,K240+L240-1))/AVERAGE(INDEX($J$5:$J$34,K240):INDEX($J$5:$J$34,K240+L240-1)),"")</f>
        <v/>
      </c>
      <c r="O240">
        <f>IF(M240=1,IF(N240&lt;=COMBINACIONES_PH!$B$5,1,0),"")</f>
        <v/>
      </c>
      <c r="P240">
        <f>IF(M240=1,IF(O240=1,-L240,100)+N240+ROW()*0.000000000001,"")</f>
        <v/>
      </c>
    </row>
    <row r="241">
      <c r="K241" t="n">
        <v>11</v>
      </c>
      <c r="L241" t="n">
        <v>4</v>
      </c>
      <c r="M241">
        <f>IF(AND(L241&gt;=COMBINACIONES_PH!$B$9,K241+L241-1&lt;=$J$2),1,0)</f>
        <v/>
      </c>
      <c r="N241">
        <f>IF(M241=1,_xlfn.STDEV.S(INDEX($J$5:$J$34,K241):INDEX($J$5:$J$34,K241+L241-1))/AVERAGE(INDEX($J$5:$J$34,K241):INDEX($J$5:$J$34,K241+L241-1)),"")</f>
        <v/>
      </c>
      <c r="O241">
        <f>IF(M241=1,IF(N241&lt;=COMBINACIONES_PH!$B$5,1,0),"")</f>
        <v/>
      </c>
      <c r="P241">
        <f>IF(M241=1,IF(O241=1,-L241,100)+N241+ROW()*0.000000000001,"")</f>
        <v/>
      </c>
    </row>
    <row r="242">
      <c r="K242" t="n">
        <v>11</v>
      </c>
      <c r="L242" t="n">
        <v>5</v>
      </c>
      <c r="M242">
        <f>IF(AND(L242&gt;=COMBINACIONES_PH!$B$9,K242+L242-1&lt;=$J$2),1,0)</f>
        <v/>
      </c>
      <c r="N242">
        <f>IF(M242=1,_xlfn.STDEV.S(INDEX($J$5:$J$34,K242):INDEX($J$5:$J$34,K242+L242-1))/AVERAGE(INDEX($J$5:$J$34,K242):INDEX($J$5:$J$34,K242+L242-1)),"")</f>
        <v/>
      </c>
      <c r="O242">
        <f>IF(M242=1,IF(N242&lt;=COMBINACIONES_PH!$B$5,1,0),"")</f>
        <v/>
      </c>
      <c r="P242">
        <f>IF(M242=1,IF(O242=1,-L242,100)+N242+ROW()*0.000000000001,"")</f>
        <v/>
      </c>
    </row>
    <row r="243">
      <c r="K243" t="n">
        <v>11</v>
      </c>
      <c r="L243" t="n">
        <v>6</v>
      </c>
      <c r="M243">
        <f>IF(AND(L243&gt;=COMBINACIONES_PH!$B$9,K243+L243-1&lt;=$J$2),1,0)</f>
        <v/>
      </c>
      <c r="N243">
        <f>IF(M243=1,_xlfn.STDEV.S(INDEX($J$5:$J$34,K243):INDEX($J$5:$J$34,K243+L243-1))/AVERAGE(INDEX($J$5:$J$34,K243):INDEX($J$5:$J$34,K243+L243-1)),"")</f>
        <v/>
      </c>
      <c r="O243">
        <f>IF(M243=1,IF(N243&lt;=COMBINACIONES_PH!$B$5,1,0),"")</f>
        <v/>
      </c>
      <c r="P243">
        <f>IF(M243=1,IF(O243=1,-L243,100)+N243+ROW()*0.000000000001,"")</f>
        <v/>
      </c>
    </row>
    <row r="244">
      <c r="K244" t="n">
        <v>11</v>
      </c>
      <c r="L244" t="n">
        <v>7</v>
      </c>
      <c r="M244">
        <f>IF(AND(L244&gt;=COMBINACIONES_PH!$B$9,K244+L244-1&lt;=$J$2),1,0)</f>
        <v/>
      </c>
      <c r="N244">
        <f>IF(M244=1,_xlfn.STDEV.S(INDEX($J$5:$J$34,K244):INDEX($J$5:$J$34,K244+L244-1))/AVERAGE(INDEX($J$5:$J$34,K244):INDEX($J$5:$J$34,K244+L244-1)),"")</f>
        <v/>
      </c>
      <c r="O244">
        <f>IF(M244=1,IF(N244&lt;=COMBINACIONES_PH!$B$5,1,0),"")</f>
        <v/>
      </c>
      <c r="P244">
        <f>IF(M244=1,IF(O244=1,-L244,100)+N244+ROW()*0.000000000001,"")</f>
        <v/>
      </c>
    </row>
    <row r="245">
      <c r="K245" t="n">
        <v>11</v>
      </c>
      <c r="L245" t="n">
        <v>8</v>
      </c>
      <c r="M245">
        <f>IF(AND(L245&gt;=COMBINACIONES_PH!$B$9,K245+L245-1&lt;=$J$2),1,0)</f>
        <v/>
      </c>
      <c r="N245">
        <f>IF(M245=1,_xlfn.STDEV.S(INDEX($J$5:$J$34,K245):INDEX($J$5:$J$34,K245+L245-1))/AVERAGE(INDEX($J$5:$J$34,K245):INDEX($J$5:$J$34,K245+L245-1)),"")</f>
        <v/>
      </c>
      <c r="O245">
        <f>IF(M245=1,IF(N245&lt;=COMBINACIONES_PH!$B$5,1,0),"")</f>
        <v/>
      </c>
      <c r="P245">
        <f>IF(M245=1,IF(O245=1,-L245,100)+N245+ROW()*0.000000000001,"")</f>
        <v/>
      </c>
    </row>
    <row r="246">
      <c r="K246" t="n">
        <v>11</v>
      </c>
      <c r="L246" t="n">
        <v>9</v>
      </c>
      <c r="M246">
        <f>IF(AND(L246&gt;=COMBINACIONES_PH!$B$9,K246+L246-1&lt;=$J$2),1,0)</f>
        <v/>
      </c>
      <c r="N246">
        <f>IF(M246=1,_xlfn.STDEV.S(INDEX($J$5:$J$34,K246):INDEX($J$5:$J$34,K246+L246-1))/AVERAGE(INDEX($J$5:$J$34,K246):INDEX($J$5:$J$34,K246+L246-1)),"")</f>
        <v/>
      </c>
      <c r="O246">
        <f>IF(M246=1,IF(N246&lt;=COMBINACIONES_PH!$B$5,1,0),"")</f>
        <v/>
      </c>
      <c r="P246">
        <f>IF(M246=1,IF(O246=1,-L246,100)+N246+ROW()*0.000000000001,"")</f>
        <v/>
      </c>
    </row>
    <row r="247">
      <c r="K247" t="n">
        <v>11</v>
      </c>
      <c r="L247" t="n">
        <v>10</v>
      </c>
      <c r="M247">
        <f>IF(AND(L247&gt;=COMBINACIONES_PH!$B$9,K247+L247-1&lt;=$J$2),1,0)</f>
        <v/>
      </c>
      <c r="N247">
        <f>IF(M247=1,_xlfn.STDEV.S(INDEX($J$5:$J$34,K247):INDEX($J$5:$J$34,K247+L247-1))/AVERAGE(INDEX($J$5:$J$34,K247):INDEX($J$5:$J$34,K247+L247-1)),"")</f>
        <v/>
      </c>
      <c r="O247">
        <f>IF(M247=1,IF(N247&lt;=COMBINACIONES_PH!$B$5,1,0),"")</f>
        <v/>
      </c>
      <c r="P247">
        <f>IF(M247=1,IF(O247=1,-L247,100)+N247+ROW()*0.000000000001,"")</f>
        <v/>
      </c>
    </row>
    <row r="248">
      <c r="K248" t="n">
        <v>11</v>
      </c>
      <c r="L248" t="n">
        <v>11</v>
      </c>
      <c r="M248">
        <f>IF(AND(L248&gt;=COMBINACIONES_PH!$B$9,K248+L248-1&lt;=$J$2),1,0)</f>
        <v/>
      </c>
      <c r="N248">
        <f>IF(M248=1,_xlfn.STDEV.S(INDEX($J$5:$J$34,K248):INDEX($J$5:$J$34,K248+L248-1))/AVERAGE(INDEX($J$5:$J$34,K248):INDEX($J$5:$J$34,K248+L248-1)),"")</f>
        <v/>
      </c>
      <c r="O248">
        <f>IF(M248=1,IF(N248&lt;=COMBINACIONES_PH!$B$5,1,0),"")</f>
        <v/>
      </c>
      <c r="P248">
        <f>IF(M248=1,IF(O248=1,-L248,100)+N248+ROW()*0.000000000001,"")</f>
        <v/>
      </c>
    </row>
    <row r="249">
      <c r="K249" t="n">
        <v>11</v>
      </c>
      <c r="L249" t="n">
        <v>12</v>
      </c>
      <c r="M249">
        <f>IF(AND(L249&gt;=COMBINACIONES_PH!$B$9,K249+L249-1&lt;=$J$2),1,0)</f>
        <v/>
      </c>
      <c r="N249">
        <f>IF(M249=1,_xlfn.STDEV.S(INDEX($J$5:$J$34,K249):INDEX($J$5:$J$34,K249+L249-1))/AVERAGE(INDEX($J$5:$J$34,K249):INDEX($J$5:$J$34,K249+L249-1)),"")</f>
        <v/>
      </c>
      <c r="O249">
        <f>IF(M249=1,IF(N249&lt;=COMBINACIONES_PH!$B$5,1,0),"")</f>
        <v/>
      </c>
      <c r="P249">
        <f>IF(M249=1,IF(O249=1,-L249,100)+N249+ROW()*0.000000000001,"")</f>
        <v/>
      </c>
    </row>
    <row r="250">
      <c r="K250" t="n">
        <v>11</v>
      </c>
      <c r="L250" t="n">
        <v>13</v>
      </c>
      <c r="M250">
        <f>IF(AND(L250&gt;=COMBINACIONES_PH!$B$9,K250+L250-1&lt;=$J$2),1,0)</f>
        <v/>
      </c>
      <c r="N250">
        <f>IF(M250=1,_xlfn.STDEV.S(INDEX($J$5:$J$34,K250):INDEX($J$5:$J$34,K250+L250-1))/AVERAGE(INDEX($J$5:$J$34,K250):INDEX($J$5:$J$34,K250+L250-1)),"")</f>
        <v/>
      </c>
      <c r="O250">
        <f>IF(M250=1,IF(N250&lt;=COMBINACIONES_PH!$B$5,1,0),"")</f>
        <v/>
      </c>
      <c r="P250">
        <f>IF(M250=1,IF(O250=1,-L250,100)+N250+ROW()*0.000000000001,"")</f>
        <v/>
      </c>
    </row>
    <row r="251">
      <c r="K251" t="n">
        <v>11</v>
      </c>
      <c r="L251" t="n">
        <v>14</v>
      </c>
      <c r="M251">
        <f>IF(AND(L251&gt;=COMBINACIONES_PH!$B$9,K251+L251-1&lt;=$J$2),1,0)</f>
        <v/>
      </c>
      <c r="N251">
        <f>IF(M251=1,_xlfn.STDEV.S(INDEX($J$5:$J$34,K251):INDEX($J$5:$J$34,K251+L251-1))/AVERAGE(INDEX($J$5:$J$34,K251):INDEX($J$5:$J$34,K251+L251-1)),"")</f>
        <v/>
      </c>
      <c r="O251">
        <f>IF(M251=1,IF(N251&lt;=COMBINACIONES_PH!$B$5,1,0),"")</f>
        <v/>
      </c>
      <c r="P251">
        <f>IF(M251=1,IF(O251=1,-L251,100)+N251+ROW()*0.000000000001,"")</f>
        <v/>
      </c>
    </row>
    <row r="252">
      <c r="K252" t="n">
        <v>11</v>
      </c>
      <c r="L252" t="n">
        <v>15</v>
      </c>
      <c r="M252">
        <f>IF(AND(L252&gt;=COMBINACIONES_PH!$B$9,K252+L252-1&lt;=$J$2),1,0)</f>
        <v/>
      </c>
      <c r="N252">
        <f>IF(M252=1,_xlfn.STDEV.S(INDEX($J$5:$J$34,K252):INDEX($J$5:$J$34,K252+L252-1))/AVERAGE(INDEX($J$5:$J$34,K252):INDEX($J$5:$J$34,K252+L252-1)),"")</f>
        <v/>
      </c>
      <c r="O252">
        <f>IF(M252=1,IF(N252&lt;=COMBINACIONES_PH!$B$5,1,0),"")</f>
        <v/>
      </c>
      <c r="P252">
        <f>IF(M252=1,IF(O252=1,-L252,100)+N252+ROW()*0.000000000001,"")</f>
        <v/>
      </c>
    </row>
    <row r="253">
      <c r="K253" t="n">
        <v>11</v>
      </c>
      <c r="L253" t="n">
        <v>16</v>
      </c>
      <c r="M253">
        <f>IF(AND(L253&gt;=COMBINACIONES_PH!$B$9,K253+L253-1&lt;=$J$2),1,0)</f>
        <v/>
      </c>
      <c r="N253">
        <f>IF(M253=1,_xlfn.STDEV.S(INDEX($J$5:$J$34,K253):INDEX($J$5:$J$34,K253+L253-1))/AVERAGE(INDEX($J$5:$J$34,K253):INDEX($J$5:$J$34,K253+L253-1)),"")</f>
        <v/>
      </c>
      <c r="O253">
        <f>IF(M253=1,IF(N253&lt;=COMBINACIONES_PH!$B$5,1,0),"")</f>
        <v/>
      </c>
      <c r="P253">
        <f>IF(M253=1,IF(O253=1,-L253,100)+N253+ROW()*0.000000000001,"")</f>
        <v/>
      </c>
    </row>
    <row r="254">
      <c r="K254" t="n">
        <v>11</v>
      </c>
      <c r="L254" t="n">
        <v>17</v>
      </c>
      <c r="M254">
        <f>IF(AND(L254&gt;=COMBINACIONES_PH!$B$9,K254+L254-1&lt;=$J$2),1,0)</f>
        <v/>
      </c>
      <c r="N254">
        <f>IF(M254=1,_xlfn.STDEV.S(INDEX($J$5:$J$34,K254):INDEX($J$5:$J$34,K254+L254-1))/AVERAGE(INDEX($J$5:$J$34,K254):INDEX($J$5:$J$34,K254+L254-1)),"")</f>
        <v/>
      </c>
      <c r="O254">
        <f>IF(M254=1,IF(N254&lt;=COMBINACIONES_PH!$B$5,1,0),"")</f>
        <v/>
      </c>
      <c r="P254">
        <f>IF(M254=1,IF(O254=1,-L254,100)+N254+ROW()*0.000000000001,"")</f>
        <v/>
      </c>
    </row>
    <row r="255">
      <c r="K255" t="n">
        <v>11</v>
      </c>
      <c r="L255" t="n">
        <v>18</v>
      </c>
      <c r="M255">
        <f>IF(AND(L255&gt;=COMBINACIONES_PH!$B$9,K255+L255-1&lt;=$J$2),1,0)</f>
        <v/>
      </c>
      <c r="N255">
        <f>IF(M255=1,_xlfn.STDEV.S(INDEX($J$5:$J$34,K255):INDEX($J$5:$J$34,K255+L255-1))/AVERAGE(INDEX($J$5:$J$34,K255):INDEX($J$5:$J$34,K255+L255-1)),"")</f>
        <v/>
      </c>
      <c r="O255">
        <f>IF(M255=1,IF(N255&lt;=COMBINACIONES_PH!$B$5,1,0),"")</f>
        <v/>
      </c>
      <c r="P255">
        <f>IF(M255=1,IF(O255=1,-L255,100)+N255+ROW()*0.000000000001,"")</f>
        <v/>
      </c>
    </row>
    <row r="256">
      <c r="K256" t="n">
        <v>11</v>
      </c>
      <c r="L256" t="n">
        <v>19</v>
      </c>
      <c r="M256">
        <f>IF(AND(L256&gt;=COMBINACIONES_PH!$B$9,K256+L256-1&lt;=$J$2),1,0)</f>
        <v/>
      </c>
      <c r="N256">
        <f>IF(M256=1,_xlfn.STDEV.S(INDEX($J$5:$J$34,K256):INDEX($J$5:$J$34,K256+L256-1))/AVERAGE(INDEX($J$5:$J$34,K256):INDEX($J$5:$J$34,K256+L256-1)),"")</f>
        <v/>
      </c>
      <c r="O256">
        <f>IF(M256=1,IF(N256&lt;=COMBINACIONES_PH!$B$5,1,0),"")</f>
        <v/>
      </c>
      <c r="P256">
        <f>IF(M256=1,IF(O256=1,-L256,100)+N256+ROW()*0.000000000001,"")</f>
        <v/>
      </c>
    </row>
    <row r="257">
      <c r="K257" t="n">
        <v>11</v>
      </c>
      <c r="L257" t="n">
        <v>20</v>
      </c>
      <c r="M257">
        <f>IF(AND(L257&gt;=COMBINACIONES_PH!$B$9,K257+L257-1&lt;=$J$2),1,0)</f>
        <v/>
      </c>
      <c r="N257">
        <f>IF(M257=1,_xlfn.STDEV.S(INDEX($J$5:$J$34,K257):INDEX($J$5:$J$34,K257+L257-1))/AVERAGE(INDEX($J$5:$J$34,K257):INDEX($J$5:$J$34,K257+L257-1)),"")</f>
        <v/>
      </c>
      <c r="O257">
        <f>IF(M257=1,IF(N257&lt;=COMBINACIONES_PH!$B$5,1,0),"")</f>
        <v/>
      </c>
      <c r="P257">
        <f>IF(M257=1,IF(O257=1,-L257,100)+N257+ROW()*0.000000000001,"")</f>
        <v/>
      </c>
    </row>
    <row r="258">
      <c r="K258" t="n">
        <v>12</v>
      </c>
      <c r="L258" t="n">
        <v>3</v>
      </c>
      <c r="M258">
        <f>IF(AND(L258&gt;=COMBINACIONES_PH!$B$9,K258+L258-1&lt;=$J$2),1,0)</f>
        <v/>
      </c>
      <c r="N258">
        <f>IF(M258=1,_xlfn.STDEV.S(INDEX($J$5:$J$34,K258):INDEX($J$5:$J$34,K258+L258-1))/AVERAGE(INDEX($J$5:$J$34,K258):INDEX($J$5:$J$34,K258+L258-1)),"")</f>
        <v/>
      </c>
      <c r="O258">
        <f>IF(M258=1,IF(N258&lt;=COMBINACIONES_PH!$B$5,1,0),"")</f>
        <v/>
      </c>
      <c r="P258">
        <f>IF(M258=1,IF(O258=1,-L258,100)+N258+ROW()*0.000000000001,"")</f>
        <v/>
      </c>
    </row>
    <row r="259">
      <c r="K259" t="n">
        <v>12</v>
      </c>
      <c r="L259" t="n">
        <v>4</v>
      </c>
      <c r="M259">
        <f>IF(AND(L259&gt;=COMBINACIONES_PH!$B$9,K259+L259-1&lt;=$J$2),1,0)</f>
        <v/>
      </c>
      <c r="N259">
        <f>IF(M259=1,_xlfn.STDEV.S(INDEX($J$5:$J$34,K259):INDEX($J$5:$J$34,K259+L259-1))/AVERAGE(INDEX($J$5:$J$34,K259):INDEX($J$5:$J$34,K259+L259-1)),"")</f>
        <v/>
      </c>
      <c r="O259">
        <f>IF(M259=1,IF(N259&lt;=COMBINACIONES_PH!$B$5,1,0),"")</f>
        <v/>
      </c>
      <c r="P259">
        <f>IF(M259=1,IF(O259=1,-L259,100)+N259+ROW()*0.000000000001,"")</f>
        <v/>
      </c>
    </row>
    <row r="260">
      <c r="K260" t="n">
        <v>12</v>
      </c>
      <c r="L260" t="n">
        <v>5</v>
      </c>
      <c r="M260">
        <f>IF(AND(L260&gt;=COMBINACIONES_PH!$B$9,K260+L260-1&lt;=$J$2),1,0)</f>
        <v/>
      </c>
      <c r="N260">
        <f>IF(M260=1,_xlfn.STDEV.S(INDEX($J$5:$J$34,K260):INDEX($J$5:$J$34,K260+L260-1))/AVERAGE(INDEX($J$5:$J$34,K260):INDEX($J$5:$J$34,K260+L260-1)),"")</f>
        <v/>
      </c>
      <c r="O260">
        <f>IF(M260=1,IF(N260&lt;=COMBINACIONES_PH!$B$5,1,0),"")</f>
        <v/>
      </c>
      <c r="P260">
        <f>IF(M260=1,IF(O260=1,-L260,100)+N260+ROW()*0.000000000001,"")</f>
        <v/>
      </c>
    </row>
    <row r="261">
      <c r="K261" t="n">
        <v>12</v>
      </c>
      <c r="L261" t="n">
        <v>6</v>
      </c>
      <c r="M261">
        <f>IF(AND(L261&gt;=COMBINACIONES_PH!$B$9,K261+L261-1&lt;=$J$2),1,0)</f>
        <v/>
      </c>
      <c r="N261">
        <f>IF(M261=1,_xlfn.STDEV.S(INDEX($J$5:$J$34,K261):INDEX($J$5:$J$34,K261+L261-1))/AVERAGE(INDEX($J$5:$J$34,K261):INDEX($J$5:$J$34,K261+L261-1)),"")</f>
        <v/>
      </c>
      <c r="O261">
        <f>IF(M261=1,IF(N261&lt;=COMBINACIONES_PH!$B$5,1,0),"")</f>
        <v/>
      </c>
      <c r="P261">
        <f>IF(M261=1,IF(O261=1,-L261,100)+N261+ROW()*0.000000000001,"")</f>
        <v/>
      </c>
    </row>
    <row r="262">
      <c r="K262" t="n">
        <v>12</v>
      </c>
      <c r="L262" t="n">
        <v>7</v>
      </c>
      <c r="M262">
        <f>IF(AND(L262&gt;=COMBINACIONES_PH!$B$9,K262+L262-1&lt;=$J$2),1,0)</f>
        <v/>
      </c>
      <c r="N262">
        <f>IF(M262=1,_xlfn.STDEV.S(INDEX($J$5:$J$34,K262):INDEX($J$5:$J$34,K262+L262-1))/AVERAGE(INDEX($J$5:$J$34,K262):INDEX($J$5:$J$34,K262+L262-1)),"")</f>
        <v/>
      </c>
      <c r="O262">
        <f>IF(M262=1,IF(N262&lt;=COMBINACIONES_PH!$B$5,1,0),"")</f>
        <v/>
      </c>
      <c r="P262">
        <f>IF(M262=1,IF(O262=1,-L262,100)+N262+ROW()*0.000000000001,"")</f>
        <v/>
      </c>
    </row>
    <row r="263">
      <c r="K263" t="n">
        <v>12</v>
      </c>
      <c r="L263" t="n">
        <v>8</v>
      </c>
      <c r="M263">
        <f>IF(AND(L263&gt;=COMBINACIONES_PH!$B$9,K263+L263-1&lt;=$J$2),1,0)</f>
        <v/>
      </c>
      <c r="N263">
        <f>IF(M263=1,_xlfn.STDEV.S(INDEX($J$5:$J$34,K263):INDEX($J$5:$J$34,K263+L263-1))/AVERAGE(INDEX($J$5:$J$34,K263):INDEX($J$5:$J$34,K263+L263-1)),"")</f>
        <v/>
      </c>
      <c r="O263">
        <f>IF(M263=1,IF(N263&lt;=COMBINACIONES_PH!$B$5,1,0),"")</f>
        <v/>
      </c>
      <c r="P263">
        <f>IF(M263=1,IF(O263=1,-L263,100)+N263+ROW()*0.000000000001,"")</f>
        <v/>
      </c>
    </row>
    <row r="264">
      <c r="K264" t="n">
        <v>12</v>
      </c>
      <c r="L264" t="n">
        <v>9</v>
      </c>
      <c r="M264">
        <f>IF(AND(L264&gt;=COMBINACIONES_PH!$B$9,K264+L264-1&lt;=$J$2),1,0)</f>
        <v/>
      </c>
      <c r="N264">
        <f>IF(M264=1,_xlfn.STDEV.S(INDEX($J$5:$J$34,K264):INDEX($J$5:$J$34,K264+L264-1))/AVERAGE(INDEX($J$5:$J$34,K264):INDEX($J$5:$J$34,K264+L264-1)),"")</f>
        <v/>
      </c>
      <c r="O264">
        <f>IF(M264=1,IF(N264&lt;=COMBINACIONES_PH!$B$5,1,0),"")</f>
        <v/>
      </c>
      <c r="P264">
        <f>IF(M264=1,IF(O264=1,-L264,100)+N264+ROW()*0.000000000001,"")</f>
        <v/>
      </c>
    </row>
    <row r="265">
      <c r="K265" t="n">
        <v>12</v>
      </c>
      <c r="L265" t="n">
        <v>10</v>
      </c>
      <c r="M265">
        <f>IF(AND(L265&gt;=COMBINACIONES_PH!$B$9,K265+L265-1&lt;=$J$2),1,0)</f>
        <v/>
      </c>
      <c r="N265">
        <f>IF(M265=1,_xlfn.STDEV.S(INDEX($J$5:$J$34,K265):INDEX($J$5:$J$34,K265+L265-1))/AVERAGE(INDEX($J$5:$J$34,K265):INDEX($J$5:$J$34,K265+L265-1)),"")</f>
        <v/>
      </c>
      <c r="O265">
        <f>IF(M265=1,IF(N265&lt;=COMBINACIONES_PH!$B$5,1,0),"")</f>
        <v/>
      </c>
      <c r="P265">
        <f>IF(M265=1,IF(O265=1,-L265,100)+N265+ROW()*0.000000000001,"")</f>
        <v/>
      </c>
    </row>
    <row r="266">
      <c r="K266" t="n">
        <v>12</v>
      </c>
      <c r="L266" t="n">
        <v>11</v>
      </c>
      <c r="M266">
        <f>IF(AND(L266&gt;=COMBINACIONES_PH!$B$9,K266+L266-1&lt;=$J$2),1,0)</f>
        <v/>
      </c>
      <c r="N266">
        <f>IF(M266=1,_xlfn.STDEV.S(INDEX($J$5:$J$34,K266):INDEX($J$5:$J$34,K266+L266-1))/AVERAGE(INDEX($J$5:$J$34,K266):INDEX($J$5:$J$34,K266+L266-1)),"")</f>
        <v/>
      </c>
      <c r="O266">
        <f>IF(M266=1,IF(N266&lt;=COMBINACIONES_PH!$B$5,1,0),"")</f>
        <v/>
      </c>
      <c r="P266">
        <f>IF(M266=1,IF(O266=1,-L266,100)+N266+ROW()*0.000000000001,"")</f>
        <v/>
      </c>
    </row>
    <row r="267">
      <c r="K267" t="n">
        <v>12</v>
      </c>
      <c r="L267" t="n">
        <v>12</v>
      </c>
      <c r="M267">
        <f>IF(AND(L267&gt;=COMBINACIONES_PH!$B$9,K267+L267-1&lt;=$J$2),1,0)</f>
        <v/>
      </c>
      <c r="N267">
        <f>IF(M267=1,_xlfn.STDEV.S(INDEX($J$5:$J$34,K267):INDEX($J$5:$J$34,K267+L267-1))/AVERAGE(INDEX($J$5:$J$34,K267):INDEX($J$5:$J$34,K267+L267-1)),"")</f>
        <v/>
      </c>
      <c r="O267">
        <f>IF(M267=1,IF(N267&lt;=COMBINACIONES_PH!$B$5,1,0),"")</f>
        <v/>
      </c>
      <c r="P267">
        <f>IF(M267=1,IF(O267=1,-L267,100)+N267+ROW()*0.000000000001,"")</f>
        <v/>
      </c>
    </row>
    <row r="268">
      <c r="K268" t="n">
        <v>12</v>
      </c>
      <c r="L268" t="n">
        <v>13</v>
      </c>
      <c r="M268">
        <f>IF(AND(L268&gt;=COMBINACIONES_PH!$B$9,K268+L268-1&lt;=$J$2),1,0)</f>
        <v/>
      </c>
      <c r="N268">
        <f>IF(M268=1,_xlfn.STDEV.S(INDEX($J$5:$J$34,K268):INDEX($J$5:$J$34,K268+L268-1))/AVERAGE(INDEX($J$5:$J$34,K268):INDEX($J$5:$J$34,K268+L268-1)),"")</f>
        <v/>
      </c>
      <c r="O268">
        <f>IF(M268=1,IF(N268&lt;=COMBINACIONES_PH!$B$5,1,0),"")</f>
        <v/>
      </c>
      <c r="P268">
        <f>IF(M268=1,IF(O268=1,-L268,100)+N268+ROW()*0.000000000001,"")</f>
        <v/>
      </c>
    </row>
    <row r="269">
      <c r="K269" t="n">
        <v>12</v>
      </c>
      <c r="L269" t="n">
        <v>14</v>
      </c>
      <c r="M269">
        <f>IF(AND(L269&gt;=COMBINACIONES_PH!$B$9,K269+L269-1&lt;=$J$2),1,0)</f>
        <v/>
      </c>
      <c r="N269">
        <f>IF(M269=1,_xlfn.STDEV.S(INDEX($J$5:$J$34,K269):INDEX($J$5:$J$34,K269+L269-1))/AVERAGE(INDEX($J$5:$J$34,K269):INDEX($J$5:$J$34,K269+L269-1)),"")</f>
        <v/>
      </c>
      <c r="O269">
        <f>IF(M269=1,IF(N269&lt;=COMBINACIONES_PH!$B$5,1,0),"")</f>
        <v/>
      </c>
      <c r="P269">
        <f>IF(M269=1,IF(O269=1,-L269,100)+N269+ROW()*0.000000000001,"")</f>
        <v/>
      </c>
    </row>
    <row r="270">
      <c r="K270" t="n">
        <v>12</v>
      </c>
      <c r="L270" t="n">
        <v>15</v>
      </c>
      <c r="M270">
        <f>IF(AND(L270&gt;=COMBINACIONES_PH!$B$9,K270+L270-1&lt;=$J$2),1,0)</f>
        <v/>
      </c>
      <c r="N270">
        <f>IF(M270=1,_xlfn.STDEV.S(INDEX($J$5:$J$34,K270):INDEX($J$5:$J$34,K270+L270-1))/AVERAGE(INDEX($J$5:$J$34,K270):INDEX($J$5:$J$34,K270+L270-1)),"")</f>
        <v/>
      </c>
      <c r="O270">
        <f>IF(M270=1,IF(N270&lt;=COMBINACIONES_PH!$B$5,1,0),"")</f>
        <v/>
      </c>
      <c r="P270">
        <f>IF(M270=1,IF(O270=1,-L270,100)+N270+ROW()*0.000000000001,"")</f>
        <v/>
      </c>
    </row>
    <row r="271">
      <c r="K271" t="n">
        <v>12</v>
      </c>
      <c r="L271" t="n">
        <v>16</v>
      </c>
      <c r="M271">
        <f>IF(AND(L271&gt;=COMBINACIONES_PH!$B$9,K271+L271-1&lt;=$J$2),1,0)</f>
        <v/>
      </c>
      <c r="N271">
        <f>IF(M271=1,_xlfn.STDEV.S(INDEX($J$5:$J$34,K271):INDEX($J$5:$J$34,K271+L271-1))/AVERAGE(INDEX($J$5:$J$34,K271):INDEX($J$5:$J$34,K271+L271-1)),"")</f>
        <v/>
      </c>
      <c r="O271">
        <f>IF(M271=1,IF(N271&lt;=COMBINACIONES_PH!$B$5,1,0),"")</f>
        <v/>
      </c>
      <c r="P271">
        <f>IF(M271=1,IF(O271=1,-L271,100)+N271+ROW()*0.000000000001,"")</f>
        <v/>
      </c>
    </row>
    <row r="272">
      <c r="K272" t="n">
        <v>12</v>
      </c>
      <c r="L272" t="n">
        <v>17</v>
      </c>
      <c r="M272">
        <f>IF(AND(L272&gt;=COMBINACIONES_PH!$B$9,K272+L272-1&lt;=$J$2),1,0)</f>
        <v/>
      </c>
      <c r="N272">
        <f>IF(M272=1,_xlfn.STDEV.S(INDEX($J$5:$J$34,K272):INDEX($J$5:$J$34,K272+L272-1))/AVERAGE(INDEX($J$5:$J$34,K272):INDEX($J$5:$J$34,K272+L272-1)),"")</f>
        <v/>
      </c>
      <c r="O272">
        <f>IF(M272=1,IF(N272&lt;=COMBINACIONES_PH!$B$5,1,0),"")</f>
        <v/>
      </c>
      <c r="P272">
        <f>IF(M272=1,IF(O272=1,-L272,100)+N272+ROW()*0.000000000001,"")</f>
        <v/>
      </c>
    </row>
    <row r="273">
      <c r="K273" t="n">
        <v>12</v>
      </c>
      <c r="L273" t="n">
        <v>18</v>
      </c>
      <c r="M273">
        <f>IF(AND(L273&gt;=COMBINACIONES_PH!$B$9,K273+L273-1&lt;=$J$2),1,0)</f>
        <v/>
      </c>
      <c r="N273">
        <f>IF(M273=1,_xlfn.STDEV.S(INDEX($J$5:$J$34,K273):INDEX($J$5:$J$34,K273+L273-1))/AVERAGE(INDEX($J$5:$J$34,K273):INDEX($J$5:$J$34,K273+L273-1)),"")</f>
        <v/>
      </c>
      <c r="O273">
        <f>IF(M273=1,IF(N273&lt;=COMBINACIONES_PH!$B$5,1,0),"")</f>
        <v/>
      </c>
      <c r="P273">
        <f>IF(M273=1,IF(O273=1,-L273,100)+N273+ROW()*0.000000000001,"")</f>
        <v/>
      </c>
    </row>
    <row r="274">
      <c r="K274" t="n">
        <v>12</v>
      </c>
      <c r="L274" t="n">
        <v>19</v>
      </c>
      <c r="M274">
        <f>IF(AND(L274&gt;=COMBINACIONES_PH!$B$9,K274+L274-1&lt;=$J$2),1,0)</f>
        <v/>
      </c>
      <c r="N274">
        <f>IF(M274=1,_xlfn.STDEV.S(INDEX($J$5:$J$34,K274):INDEX($J$5:$J$34,K274+L274-1))/AVERAGE(INDEX($J$5:$J$34,K274):INDEX($J$5:$J$34,K274+L274-1)),"")</f>
        <v/>
      </c>
      <c r="O274">
        <f>IF(M274=1,IF(N274&lt;=COMBINACIONES_PH!$B$5,1,0),"")</f>
        <v/>
      </c>
      <c r="P274">
        <f>IF(M274=1,IF(O274=1,-L274,100)+N274+ROW()*0.000000000001,"")</f>
        <v/>
      </c>
    </row>
    <row r="275">
      <c r="K275" t="n">
        <v>13</v>
      </c>
      <c r="L275" t="n">
        <v>3</v>
      </c>
      <c r="M275">
        <f>IF(AND(L275&gt;=COMBINACIONES_PH!$B$9,K275+L275-1&lt;=$J$2),1,0)</f>
        <v/>
      </c>
      <c r="N275">
        <f>IF(M275=1,_xlfn.STDEV.S(INDEX($J$5:$J$34,K275):INDEX($J$5:$J$34,K275+L275-1))/AVERAGE(INDEX($J$5:$J$34,K275):INDEX($J$5:$J$34,K275+L275-1)),"")</f>
        <v/>
      </c>
      <c r="O275">
        <f>IF(M275=1,IF(N275&lt;=COMBINACIONES_PH!$B$5,1,0),"")</f>
        <v/>
      </c>
      <c r="P275">
        <f>IF(M275=1,IF(O275=1,-L275,100)+N275+ROW()*0.000000000001,"")</f>
        <v/>
      </c>
    </row>
    <row r="276">
      <c r="K276" t="n">
        <v>13</v>
      </c>
      <c r="L276" t="n">
        <v>4</v>
      </c>
      <c r="M276">
        <f>IF(AND(L276&gt;=COMBINACIONES_PH!$B$9,K276+L276-1&lt;=$J$2),1,0)</f>
        <v/>
      </c>
      <c r="N276">
        <f>IF(M276=1,_xlfn.STDEV.S(INDEX($J$5:$J$34,K276):INDEX($J$5:$J$34,K276+L276-1))/AVERAGE(INDEX($J$5:$J$34,K276):INDEX($J$5:$J$34,K276+L276-1)),"")</f>
        <v/>
      </c>
      <c r="O276">
        <f>IF(M276=1,IF(N276&lt;=COMBINACIONES_PH!$B$5,1,0),"")</f>
        <v/>
      </c>
      <c r="P276">
        <f>IF(M276=1,IF(O276=1,-L276,100)+N276+ROW()*0.000000000001,"")</f>
        <v/>
      </c>
    </row>
    <row r="277">
      <c r="K277" t="n">
        <v>13</v>
      </c>
      <c r="L277" t="n">
        <v>5</v>
      </c>
      <c r="M277">
        <f>IF(AND(L277&gt;=COMBINACIONES_PH!$B$9,K277+L277-1&lt;=$J$2),1,0)</f>
        <v/>
      </c>
      <c r="N277">
        <f>IF(M277=1,_xlfn.STDEV.S(INDEX($J$5:$J$34,K277):INDEX($J$5:$J$34,K277+L277-1))/AVERAGE(INDEX($J$5:$J$34,K277):INDEX($J$5:$J$34,K277+L277-1)),"")</f>
        <v/>
      </c>
      <c r="O277">
        <f>IF(M277=1,IF(N277&lt;=COMBINACIONES_PH!$B$5,1,0),"")</f>
        <v/>
      </c>
      <c r="P277">
        <f>IF(M277=1,IF(O277=1,-L277,100)+N277+ROW()*0.000000000001,"")</f>
        <v/>
      </c>
    </row>
    <row r="278">
      <c r="K278" t="n">
        <v>13</v>
      </c>
      <c r="L278" t="n">
        <v>6</v>
      </c>
      <c r="M278">
        <f>IF(AND(L278&gt;=COMBINACIONES_PH!$B$9,K278+L278-1&lt;=$J$2),1,0)</f>
        <v/>
      </c>
      <c r="N278">
        <f>IF(M278=1,_xlfn.STDEV.S(INDEX($J$5:$J$34,K278):INDEX($J$5:$J$34,K278+L278-1))/AVERAGE(INDEX($J$5:$J$34,K278):INDEX($J$5:$J$34,K278+L278-1)),"")</f>
        <v/>
      </c>
      <c r="O278">
        <f>IF(M278=1,IF(N278&lt;=COMBINACIONES_PH!$B$5,1,0),"")</f>
        <v/>
      </c>
      <c r="P278">
        <f>IF(M278=1,IF(O278=1,-L278,100)+N278+ROW()*0.000000000001,"")</f>
        <v/>
      </c>
    </row>
    <row r="279">
      <c r="K279" t="n">
        <v>13</v>
      </c>
      <c r="L279" t="n">
        <v>7</v>
      </c>
      <c r="M279">
        <f>IF(AND(L279&gt;=COMBINACIONES_PH!$B$9,K279+L279-1&lt;=$J$2),1,0)</f>
        <v/>
      </c>
      <c r="N279">
        <f>IF(M279=1,_xlfn.STDEV.S(INDEX($J$5:$J$34,K279):INDEX($J$5:$J$34,K279+L279-1))/AVERAGE(INDEX($J$5:$J$34,K279):INDEX($J$5:$J$34,K279+L279-1)),"")</f>
        <v/>
      </c>
      <c r="O279">
        <f>IF(M279=1,IF(N279&lt;=COMBINACIONES_PH!$B$5,1,0),"")</f>
        <v/>
      </c>
      <c r="P279">
        <f>IF(M279=1,IF(O279=1,-L279,100)+N279+ROW()*0.000000000001,"")</f>
        <v/>
      </c>
    </row>
    <row r="280">
      <c r="K280" t="n">
        <v>13</v>
      </c>
      <c r="L280" t="n">
        <v>8</v>
      </c>
      <c r="M280">
        <f>IF(AND(L280&gt;=COMBINACIONES_PH!$B$9,K280+L280-1&lt;=$J$2),1,0)</f>
        <v/>
      </c>
      <c r="N280">
        <f>IF(M280=1,_xlfn.STDEV.S(INDEX($J$5:$J$34,K280):INDEX($J$5:$J$34,K280+L280-1))/AVERAGE(INDEX($J$5:$J$34,K280):INDEX($J$5:$J$34,K280+L280-1)),"")</f>
        <v/>
      </c>
      <c r="O280">
        <f>IF(M280=1,IF(N280&lt;=COMBINACIONES_PH!$B$5,1,0),"")</f>
        <v/>
      </c>
      <c r="P280">
        <f>IF(M280=1,IF(O280=1,-L280,100)+N280+ROW()*0.000000000001,"")</f>
        <v/>
      </c>
    </row>
    <row r="281">
      <c r="K281" t="n">
        <v>13</v>
      </c>
      <c r="L281" t="n">
        <v>9</v>
      </c>
      <c r="M281">
        <f>IF(AND(L281&gt;=COMBINACIONES_PH!$B$9,K281+L281-1&lt;=$J$2),1,0)</f>
        <v/>
      </c>
      <c r="N281">
        <f>IF(M281=1,_xlfn.STDEV.S(INDEX($J$5:$J$34,K281):INDEX($J$5:$J$34,K281+L281-1))/AVERAGE(INDEX($J$5:$J$34,K281):INDEX($J$5:$J$34,K281+L281-1)),"")</f>
        <v/>
      </c>
      <c r="O281">
        <f>IF(M281=1,IF(N281&lt;=COMBINACIONES_PH!$B$5,1,0),"")</f>
        <v/>
      </c>
      <c r="P281">
        <f>IF(M281=1,IF(O281=1,-L281,100)+N281+ROW()*0.000000000001,"")</f>
        <v/>
      </c>
    </row>
    <row r="282">
      <c r="K282" t="n">
        <v>13</v>
      </c>
      <c r="L282" t="n">
        <v>10</v>
      </c>
      <c r="M282">
        <f>IF(AND(L282&gt;=COMBINACIONES_PH!$B$9,K282+L282-1&lt;=$J$2),1,0)</f>
        <v/>
      </c>
      <c r="N282">
        <f>IF(M282=1,_xlfn.STDEV.S(INDEX($J$5:$J$34,K282):INDEX($J$5:$J$34,K282+L282-1))/AVERAGE(INDEX($J$5:$J$34,K282):INDEX($J$5:$J$34,K282+L282-1)),"")</f>
        <v/>
      </c>
      <c r="O282">
        <f>IF(M282=1,IF(N282&lt;=COMBINACIONES_PH!$B$5,1,0),"")</f>
        <v/>
      </c>
      <c r="P282">
        <f>IF(M282=1,IF(O282=1,-L282,100)+N282+ROW()*0.000000000001,"")</f>
        <v/>
      </c>
    </row>
    <row r="283">
      <c r="K283" t="n">
        <v>13</v>
      </c>
      <c r="L283" t="n">
        <v>11</v>
      </c>
      <c r="M283">
        <f>IF(AND(L283&gt;=COMBINACIONES_PH!$B$9,K283+L283-1&lt;=$J$2),1,0)</f>
        <v/>
      </c>
      <c r="N283">
        <f>IF(M283=1,_xlfn.STDEV.S(INDEX($J$5:$J$34,K283):INDEX($J$5:$J$34,K283+L283-1))/AVERAGE(INDEX($J$5:$J$34,K283):INDEX($J$5:$J$34,K283+L283-1)),"")</f>
        <v/>
      </c>
      <c r="O283">
        <f>IF(M283=1,IF(N283&lt;=COMBINACIONES_PH!$B$5,1,0),"")</f>
        <v/>
      </c>
      <c r="P283">
        <f>IF(M283=1,IF(O283=1,-L283,100)+N283+ROW()*0.000000000001,"")</f>
        <v/>
      </c>
    </row>
    <row r="284">
      <c r="K284" t="n">
        <v>13</v>
      </c>
      <c r="L284" t="n">
        <v>12</v>
      </c>
      <c r="M284">
        <f>IF(AND(L284&gt;=COMBINACIONES_PH!$B$9,K284+L284-1&lt;=$J$2),1,0)</f>
        <v/>
      </c>
      <c r="N284">
        <f>IF(M284=1,_xlfn.STDEV.S(INDEX($J$5:$J$34,K284):INDEX($J$5:$J$34,K284+L284-1))/AVERAGE(INDEX($J$5:$J$34,K284):INDEX($J$5:$J$34,K284+L284-1)),"")</f>
        <v/>
      </c>
      <c r="O284">
        <f>IF(M284=1,IF(N284&lt;=COMBINACIONES_PH!$B$5,1,0),"")</f>
        <v/>
      </c>
      <c r="P284">
        <f>IF(M284=1,IF(O284=1,-L284,100)+N284+ROW()*0.000000000001,"")</f>
        <v/>
      </c>
    </row>
    <row r="285">
      <c r="K285" t="n">
        <v>13</v>
      </c>
      <c r="L285" t="n">
        <v>13</v>
      </c>
      <c r="M285">
        <f>IF(AND(L285&gt;=COMBINACIONES_PH!$B$9,K285+L285-1&lt;=$J$2),1,0)</f>
        <v/>
      </c>
      <c r="N285">
        <f>IF(M285=1,_xlfn.STDEV.S(INDEX($J$5:$J$34,K285):INDEX($J$5:$J$34,K285+L285-1))/AVERAGE(INDEX($J$5:$J$34,K285):INDEX($J$5:$J$34,K285+L285-1)),"")</f>
        <v/>
      </c>
      <c r="O285">
        <f>IF(M285=1,IF(N285&lt;=COMBINACIONES_PH!$B$5,1,0),"")</f>
        <v/>
      </c>
      <c r="P285">
        <f>IF(M285=1,IF(O285=1,-L285,100)+N285+ROW()*0.000000000001,"")</f>
        <v/>
      </c>
    </row>
    <row r="286">
      <c r="K286" t="n">
        <v>13</v>
      </c>
      <c r="L286" t="n">
        <v>14</v>
      </c>
      <c r="M286">
        <f>IF(AND(L286&gt;=COMBINACIONES_PH!$B$9,K286+L286-1&lt;=$J$2),1,0)</f>
        <v/>
      </c>
      <c r="N286">
        <f>IF(M286=1,_xlfn.STDEV.S(INDEX($J$5:$J$34,K286):INDEX($J$5:$J$34,K286+L286-1))/AVERAGE(INDEX($J$5:$J$34,K286):INDEX($J$5:$J$34,K286+L286-1)),"")</f>
        <v/>
      </c>
      <c r="O286">
        <f>IF(M286=1,IF(N286&lt;=COMBINACIONES_PH!$B$5,1,0),"")</f>
        <v/>
      </c>
      <c r="P286">
        <f>IF(M286=1,IF(O286=1,-L286,100)+N286+ROW()*0.000000000001,"")</f>
        <v/>
      </c>
    </row>
    <row r="287">
      <c r="K287" t="n">
        <v>13</v>
      </c>
      <c r="L287" t="n">
        <v>15</v>
      </c>
      <c r="M287">
        <f>IF(AND(L287&gt;=COMBINACIONES_PH!$B$9,K287+L287-1&lt;=$J$2),1,0)</f>
        <v/>
      </c>
      <c r="N287">
        <f>IF(M287=1,_xlfn.STDEV.S(INDEX($J$5:$J$34,K287):INDEX($J$5:$J$34,K287+L287-1))/AVERAGE(INDEX($J$5:$J$34,K287):INDEX($J$5:$J$34,K287+L287-1)),"")</f>
        <v/>
      </c>
      <c r="O287">
        <f>IF(M287=1,IF(N287&lt;=COMBINACIONES_PH!$B$5,1,0),"")</f>
        <v/>
      </c>
      <c r="P287">
        <f>IF(M287=1,IF(O287=1,-L287,100)+N287+ROW()*0.000000000001,"")</f>
        <v/>
      </c>
    </row>
    <row r="288">
      <c r="K288" t="n">
        <v>13</v>
      </c>
      <c r="L288" t="n">
        <v>16</v>
      </c>
      <c r="M288">
        <f>IF(AND(L288&gt;=COMBINACIONES_PH!$B$9,K288+L288-1&lt;=$J$2),1,0)</f>
        <v/>
      </c>
      <c r="N288">
        <f>IF(M288=1,_xlfn.STDEV.S(INDEX($J$5:$J$34,K288):INDEX($J$5:$J$34,K288+L288-1))/AVERAGE(INDEX($J$5:$J$34,K288):INDEX($J$5:$J$34,K288+L288-1)),"")</f>
        <v/>
      </c>
      <c r="O288">
        <f>IF(M288=1,IF(N288&lt;=COMBINACIONES_PH!$B$5,1,0),"")</f>
        <v/>
      </c>
      <c r="P288">
        <f>IF(M288=1,IF(O288=1,-L288,100)+N288+ROW()*0.000000000001,"")</f>
        <v/>
      </c>
    </row>
    <row r="289">
      <c r="K289" t="n">
        <v>13</v>
      </c>
      <c r="L289" t="n">
        <v>17</v>
      </c>
      <c r="M289">
        <f>IF(AND(L289&gt;=COMBINACIONES_PH!$B$9,K289+L289-1&lt;=$J$2),1,0)</f>
        <v/>
      </c>
      <c r="N289">
        <f>IF(M289=1,_xlfn.STDEV.S(INDEX($J$5:$J$34,K289):INDEX($J$5:$J$34,K289+L289-1))/AVERAGE(INDEX($J$5:$J$34,K289):INDEX($J$5:$J$34,K289+L289-1)),"")</f>
        <v/>
      </c>
      <c r="O289">
        <f>IF(M289=1,IF(N289&lt;=COMBINACIONES_PH!$B$5,1,0),"")</f>
        <v/>
      </c>
      <c r="P289">
        <f>IF(M289=1,IF(O289=1,-L289,100)+N289+ROW()*0.000000000001,"")</f>
        <v/>
      </c>
    </row>
    <row r="290">
      <c r="K290" t="n">
        <v>13</v>
      </c>
      <c r="L290" t="n">
        <v>18</v>
      </c>
      <c r="M290">
        <f>IF(AND(L290&gt;=COMBINACIONES_PH!$B$9,K290+L290-1&lt;=$J$2),1,0)</f>
        <v/>
      </c>
      <c r="N290">
        <f>IF(M290=1,_xlfn.STDEV.S(INDEX($J$5:$J$34,K290):INDEX($J$5:$J$34,K290+L290-1))/AVERAGE(INDEX($J$5:$J$34,K290):INDEX($J$5:$J$34,K290+L290-1)),"")</f>
        <v/>
      </c>
      <c r="O290">
        <f>IF(M290=1,IF(N290&lt;=COMBINACIONES_PH!$B$5,1,0),"")</f>
        <v/>
      </c>
      <c r="P290">
        <f>IF(M290=1,IF(O290=1,-L290,100)+N290+ROW()*0.000000000001,"")</f>
        <v/>
      </c>
    </row>
    <row r="291">
      <c r="K291" t="n">
        <v>14</v>
      </c>
      <c r="L291" t="n">
        <v>3</v>
      </c>
      <c r="M291">
        <f>IF(AND(L291&gt;=COMBINACIONES_PH!$B$9,K291+L291-1&lt;=$J$2),1,0)</f>
        <v/>
      </c>
      <c r="N291">
        <f>IF(M291=1,_xlfn.STDEV.S(INDEX($J$5:$J$34,K291):INDEX($J$5:$J$34,K291+L291-1))/AVERAGE(INDEX($J$5:$J$34,K291):INDEX($J$5:$J$34,K291+L291-1)),"")</f>
        <v/>
      </c>
      <c r="O291">
        <f>IF(M291=1,IF(N291&lt;=COMBINACIONES_PH!$B$5,1,0),"")</f>
        <v/>
      </c>
      <c r="P291">
        <f>IF(M291=1,IF(O291=1,-L291,100)+N291+ROW()*0.000000000001,"")</f>
        <v/>
      </c>
    </row>
    <row r="292">
      <c r="K292" t="n">
        <v>14</v>
      </c>
      <c r="L292" t="n">
        <v>4</v>
      </c>
      <c r="M292">
        <f>IF(AND(L292&gt;=COMBINACIONES_PH!$B$9,K292+L292-1&lt;=$J$2),1,0)</f>
        <v/>
      </c>
      <c r="N292">
        <f>IF(M292=1,_xlfn.STDEV.S(INDEX($J$5:$J$34,K292):INDEX($J$5:$J$34,K292+L292-1))/AVERAGE(INDEX($J$5:$J$34,K292):INDEX($J$5:$J$34,K292+L292-1)),"")</f>
        <v/>
      </c>
      <c r="O292">
        <f>IF(M292=1,IF(N292&lt;=COMBINACIONES_PH!$B$5,1,0),"")</f>
        <v/>
      </c>
      <c r="P292">
        <f>IF(M292=1,IF(O292=1,-L292,100)+N292+ROW()*0.000000000001,"")</f>
        <v/>
      </c>
    </row>
    <row r="293">
      <c r="K293" t="n">
        <v>14</v>
      </c>
      <c r="L293" t="n">
        <v>5</v>
      </c>
      <c r="M293">
        <f>IF(AND(L293&gt;=COMBINACIONES_PH!$B$9,K293+L293-1&lt;=$J$2),1,0)</f>
        <v/>
      </c>
      <c r="N293">
        <f>IF(M293=1,_xlfn.STDEV.S(INDEX($J$5:$J$34,K293):INDEX($J$5:$J$34,K293+L293-1))/AVERAGE(INDEX($J$5:$J$34,K293):INDEX($J$5:$J$34,K293+L293-1)),"")</f>
        <v/>
      </c>
      <c r="O293">
        <f>IF(M293=1,IF(N293&lt;=COMBINACIONES_PH!$B$5,1,0),"")</f>
        <v/>
      </c>
      <c r="P293">
        <f>IF(M293=1,IF(O293=1,-L293,100)+N293+ROW()*0.000000000001,"")</f>
        <v/>
      </c>
    </row>
    <row r="294">
      <c r="K294" t="n">
        <v>14</v>
      </c>
      <c r="L294" t="n">
        <v>6</v>
      </c>
      <c r="M294">
        <f>IF(AND(L294&gt;=COMBINACIONES_PH!$B$9,K294+L294-1&lt;=$J$2),1,0)</f>
        <v/>
      </c>
      <c r="N294">
        <f>IF(M294=1,_xlfn.STDEV.S(INDEX($J$5:$J$34,K294):INDEX($J$5:$J$34,K294+L294-1))/AVERAGE(INDEX($J$5:$J$34,K294):INDEX($J$5:$J$34,K294+L294-1)),"")</f>
        <v/>
      </c>
      <c r="O294">
        <f>IF(M294=1,IF(N294&lt;=COMBINACIONES_PH!$B$5,1,0),"")</f>
        <v/>
      </c>
      <c r="P294">
        <f>IF(M294=1,IF(O294=1,-L294,100)+N294+ROW()*0.000000000001,"")</f>
        <v/>
      </c>
    </row>
    <row r="295">
      <c r="K295" t="n">
        <v>14</v>
      </c>
      <c r="L295" t="n">
        <v>7</v>
      </c>
      <c r="M295">
        <f>IF(AND(L295&gt;=COMBINACIONES_PH!$B$9,K295+L295-1&lt;=$J$2),1,0)</f>
        <v/>
      </c>
      <c r="N295">
        <f>IF(M295=1,_xlfn.STDEV.S(INDEX($J$5:$J$34,K295):INDEX($J$5:$J$34,K295+L295-1))/AVERAGE(INDEX($J$5:$J$34,K295):INDEX($J$5:$J$34,K295+L295-1)),"")</f>
        <v/>
      </c>
      <c r="O295">
        <f>IF(M295=1,IF(N295&lt;=COMBINACIONES_PH!$B$5,1,0),"")</f>
        <v/>
      </c>
      <c r="P295">
        <f>IF(M295=1,IF(O295=1,-L295,100)+N295+ROW()*0.000000000001,"")</f>
        <v/>
      </c>
    </row>
    <row r="296">
      <c r="K296" t="n">
        <v>14</v>
      </c>
      <c r="L296" t="n">
        <v>8</v>
      </c>
      <c r="M296">
        <f>IF(AND(L296&gt;=COMBINACIONES_PH!$B$9,K296+L296-1&lt;=$J$2),1,0)</f>
        <v/>
      </c>
      <c r="N296">
        <f>IF(M296=1,_xlfn.STDEV.S(INDEX($J$5:$J$34,K296):INDEX($J$5:$J$34,K296+L296-1))/AVERAGE(INDEX($J$5:$J$34,K296):INDEX($J$5:$J$34,K296+L296-1)),"")</f>
        <v/>
      </c>
      <c r="O296">
        <f>IF(M296=1,IF(N296&lt;=COMBINACIONES_PH!$B$5,1,0),"")</f>
        <v/>
      </c>
      <c r="P296">
        <f>IF(M296=1,IF(O296=1,-L296,100)+N296+ROW()*0.000000000001,"")</f>
        <v/>
      </c>
    </row>
    <row r="297">
      <c r="K297" t="n">
        <v>14</v>
      </c>
      <c r="L297" t="n">
        <v>9</v>
      </c>
      <c r="M297">
        <f>IF(AND(L297&gt;=COMBINACIONES_PH!$B$9,K297+L297-1&lt;=$J$2),1,0)</f>
        <v/>
      </c>
      <c r="N297">
        <f>IF(M297=1,_xlfn.STDEV.S(INDEX($J$5:$J$34,K297):INDEX($J$5:$J$34,K297+L297-1))/AVERAGE(INDEX($J$5:$J$34,K297):INDEX($J$5:$J$34,K297+L297-1)),"")</f>
        <v/>
      </c>
      <c r="O297">
        <f>IF(M297=1,IF(N297&lt;=COMBINACIONES_PH!$B$5,1,0),"")</f>
        <v/>
      </c>
      <c r="P297">
        <f>IF(M297=1,IF(O297=1,-L297,100)+N297+ROW()*0.000000000001,"")</f>
        <v/>
      </c>
    </row>
    <row r="298">
      <c r="K298" t="n">
        <v>14</v>
      </c>
      <c r="L298" t="n">
        <v>10</v>
      </c>
      <c r="M298">
        <f>IF(AND(L298&gt;=COMBINACIONES_PH!$B$9,K298+L298-1&lt;=$J$2),1,0)</f>
        <v/>
      </c>
      <c r="N298">
        <f>IF(M298=1,_xlfn.STDEV.S(INDEX($J$5:$J$34,K298):INDEX($J$5:$J$34,K298+L298-1))/AVERAGE(INDEX($J$5:$J$34,K298):INDEX($J$5:$J$34,K298+L298-1)),"")</f>
        <v/>
      </c>
      <c r="O298">
        <f>IF(M298=1,IF(N298&lt;=COMBINACIONES_PH!$B$5,1,0),"")</f>
        <v/>
      </c>
      <c r="P298">
        <f>IF(M298=1,IF(O298=1,-L298,100)+N298+ROW()*0.000000000001,"")</f>
        <v/>
      </c>
    </row>
    <row r="299">
      <c r="K299" t="n">
        <v>14</v>
      </c>
      <c r="L299" t="n">
        <v>11</v>
      </c>
      <c r="M299">
        <f>IF(AND(L299&gt;=COMBINACIONES_PH!$B$9,K299+L299-1&lt;=$J$2),1,0)</f>
        <v/>
      </c>
      <c r="N299">
        <f>IF(M299=1,_xlfn.STDEV.S(INDEX($J$5:$J$34,K299):INDEX($J$5:$J$34,K299+L299-1))/AVERAGE(INDEX($J$5:$J$34,K299):INDEX($J$5:$J$34,K299+L299-1)),"")</f>
        <v/>
      </c>
      <c r="O299">
        <f>IF(M299=1,IF(N299&lt;=COMBINACIONES_PH!$B$5,1,0),"")</f>
        <v/>
      </c>
      <c r="P299">
        <f>IF(M299=1,IF(O299=1,-L299,100)+N299+ROW()*0.000000000001,"")</f>
        <v/>
      </c>
    </row>
    <row r="300">
      <c r="K300" t="n">
        <v>14</v>
      </c>
      <c r="L300" t="n">
        <v>12</v>
      </c>
      <c r="M300">
        <f>IF(AND(L300&gt;=COMBINACIONES_PH!$B$9,K300+L300-1&lt;=$J$2),1,0)</f>
        <v/>
      </c>
      <c r="N300">
        <f>IF(M300=1,_xlfn.STDEV.S(INDEX($J$5:$J$34,K300):INDEX($J$5:$J$34,K300+L300-1))/AVERAGE(INDEX($J$5:$J$34,K300):INDEX($J$5:$J$34,K300+L300-1)),"")</f>
        <v/>
      </c>
      <c r="O300">
        <f>IF(M300=1,IF(N300&lt;=COMBINACIONES_PH!$B$5,1,0),"")</f>
        <v/>
      </c>
      <c r="P300">
        <f>IF(M300=1,IF(O300=1,-L300,100)+N300+ROW()*0.000000000001,"")</f>
        <v/>
      </c>
    </row>
    <row r="301">
      <c r="K301" t="n">
        <v>14</v>
      </c>
      <c r="L301" t="n">
        <v>13</v>
      </c>
      <c r="M301">
        <f>IF(AND(L301&gt;=COMBINACIONES_PH!$B$9,K301+L301-1&lt;=$J$2),1,0)</f>
        <v/>
      </c>
      <c r="N301">
        <f>IF(M301=1,_xlfn.STDEV.S(INDEX($J$5:$J$34,K301):INDEX($J$5:$J$34,K301+L301-1))/AVERAGE(INDEX($J$5:$J$34,K301):INDEX($J$5:$J$34,K301+L301-1)),"")</f>
        <v/>
      </c>
      <c r="O301">
        <f>IF(M301=1,IF(N301&lt;=COMBINACIONES_PH!$B$5,1,0),"")</f>
        <v/>
      </c>
      <c r="P301">
        <f>IF(M301=1,IF(O301=1,-L301,100)+N301+ROW()*0.000000000001,"")</f>
        <v/>
      </c>
    </row>
    <row r="302">
      <c r="K302" t="n">
        <v>14</v>
      </c>
      <c r="L302" t="n">
        <v>14</v>
      </c>
      <c r="M302">
        <f>IF(AND(L302&gt;=COMBINACIONES_PH!$B$9,K302+L302-1&lt;=$J$2),1,0)</f>
        <v/>
      </c>
      <c r="N302">
        <f>IF(M302=1,_xlfn.STDEV.S(INDEX($J$5:$J$34,K302):INDEX($J$5:$J$34,K302+L302-1))/AVERAGE(INDEX($J$5:$J$34,K302):INDEX($J$5:$J$34,K302+L302-1)),"")</f>
        <v/>
      </c>
      <c r="O302">
        <f>IF(M302=1,IF(N302&lt;=COMBINACIONES_PH!$B$5,1,0),"")</f>
        <v/>
      </c>
      <c r="P302">
        <f>IF(M302=1,IF(O302=1,-L302,100)+N302+ROW()*0.000000000001,"")</f>
        <v/>
      </c>
    </row>
    <row r="303">
      <c r="K303" t="n">
        <v>14</v>
      </c>
      <c r="L303" t="n">
        <v>15</v>
      </c>
      <c r="M303">
        <f>IF(AND(L303&gt;=COMBINACIONES_PH!$B$9,K303+L303-1&lt;=$J$2),1,0)</f>
        <v/>
      </c>
      <c r="N303">
        <f>IF(M303=1,_xlfn.STDEV.S(INDEX($J$5:$J$34,K303):INDEX($J$5:$J$34,K303+L303-1))/AVERAGE(INDEX($J$5:$J$34,K303):INDEX($J$5:$J$34,K303+L303-1)),"")</f>
        <v/>
      </c>
      <c r="O303">
        <f>IF(M303=1,IF(N303&lt;=COMBINACIONES_PH!$B$5,1,0),"")</f>
        <v/>
      </c>
      <c r="P303">
        <f>IF(M303=1,IF(O303=1,-L303,100)+N303+ROW()*0.000000000001,"")</f>
        <v/>
      </c>
    </row>
    <row r="304">
      <c r="K304" t="n">
        <v>14</v>
      </c>
      <c r="L304" t="n">
        <v>16</v>
      </c>
      <c r="M304">
        <f>IF(AND(L304&gt;=COMBINACIONES_PH!$B$9,K304+L304-1&lt;=$J$2),1,0)</f>
        <v/>
      </c>
      <c r="N304">
        <f>IF(M304=1,_xlfn.STDEV.S(INDEX($J$5:$J$34,K304):INDEX($J$5:$J$34,K304+L304-1))/AVERAGE(INDEX($J$5:$J$34,K304):INDEX($J$5:$J$34,K304+L304-1)),"")</f>
        <v/>
      </c>
      <c r="O304">
        <f>IF(M304=1,IF(N304&lt;=COMBINACIONES_PH!$B$5,1,0),"")</f>
        <v/>
      </c>
      <c r="P304">
        <f>IF(M304=1,IF(O304=1,-L304,100)+N304+ROW()*0.000000000001,"")</f>
        <v/>
      </c>
    </row>
    <row r="305">
      <c r="K305" t="n">
        <v>14</v>
      </c>
      <c r="L305" t="n">
        <v>17</v>
      </c>
      <c r="M305">
        <f>IF(AND(L305&gt;=COMBINACIONES_PH!$B$9,K305+L305-1&lt;=$J$2),1,0)</f>
        <v/>
      </c>
      <c r="N305">
        <f>IF(M305=1,_xlfn.STDEV.S(INDEX($J$5:$J$34,K305):INDEX($J$5:$J$34,K305+L305-1))/AVERAGE(INDEX($J$5:$J$34,K305):INDEX($J$5:$J$34,K305+L305-1)),"")</f>
        <v/>
      </c>
      <c r="O305">
        <f>IF(M305=1,IF(N305&lt;=COMBINACIONES_PH!$B$5,1,0),"")</f>
        <v/>
      </c>
      <c r="P305">
        <f>IF(M305=1,IF(O305=1,-L305,100)+N305+ROW()*0.000000000001,"")</f>
        <v/>
      </c>
    </row>
    <row r="306">
      <c r="K306" t="n">
        <v>15</v>
      </c>
      <c r="L306" t="n">
        <v>3</v>
      </c>
      <c r="M306">
        <f>IF(AND(L306&gt;=COMBINACIONES_PH!$B$9,K306+L306-1&lt;=$J$2),1,0)</f>
        <v/>
      </c>
      <c r="N306">
        <f>IF(M306=1,_xlfn.STDEV.S(INDEX($J$5:$J$34,K306):INDEX($J$5:$J$34,K306+L306-1))/AVERAGE(INDEX($J$5:$J$34,K306):INDEX($J$5:$J$34,K306+L306-1)),"")</f>
        <v/>
      </c>
      <c r="O306">
        <f>IF(M306=1,IF(N306&lt;=COMBINACIONES_PH!$B$5,1,0),"")</f>
        <v/>
      </c>
      <c r="P306">
        <f>IF(M306=1,IF(O306=1,-L306,100)+N306+ROW()*0.000000000001,"")</f>
        <v/>
      </c>
    </row>
    <row r="307">
      <c r="K307" t="n">
        <v>15</v>
      </c>
      <c r="L307" t="n">
        <v>4</v>
      </c>
      <c r="M307">
        <f>IF(AND(L307&gt;=COMBINACIONES_PH!$B$9,K307+L307-1&lt;=$J$2),1,0)</f>
        <v/>
      </c>
      <c r="N307">
        <f>IF(M307=1,_xlfn.STDEV.S(INDEX($J$5:$J$34,K307):INDEX($J$5:$J$34,K307+L307-1))/AVERAGE(INDEX($J$5:$J$34,K307):INDEX($J$5:$J$34,K307+L307-1)),"")</f>
        <v/>
      </c>
      <c r="O307">
        <f>IF(M307=1,IF(N307&lt;=COMBINACIONES_PH!$B$5,1,0),"")</f>
        <v/>
      </c>
      <c r="P307">
        <f>IF(M307=1,IF(O307=1,-L307,100)+N307+ROW()*0.000000000001,"")</f>
        <v/>
      </c>
    </row>
    <row r="308">
      <c r="K308" t="n">
        <v>15</v>
      </c>
      <c r="L308" t="n">
        <v>5</v>
      </c>
      <c r="M308">
        <f>IF(AND(L308&gt;=COMBINACIONES_PH!$B$9,K308+L308-1&lt;=$J$2),1,0)</f>
        <v/>
      </c>
      <c r="N308">
        <f>IF(M308=1,_xlfn.STDEV.S(INDEX($J$5:$J$34,K308):INDEX($J$5:$J$34,K308+L308-1))/AVERAGE(INDEX($J$5:$J$34,K308):INDEX($J$5:$J$34,K308+L308-1)),"")</f>
        <v/>
      </c>
      <c r="O308">
        <f>IF(M308=1,IF(N308&lt;=COMBINACIONES_PH!$B$5,1,0),"")</f>
        <v/>
      </c>
      <c r="P308">
        <f>IF(M308=1,IF(O308=1,-L308,100)+N308+ROW()*0.000000000001,"")</f>
        <v/>
      </c>
    </row>
    <row r="309">
      <c r="K309" t="n">
        <v>15</v>
      </c>
      <c r="L309" t="n">
        <v>6</v>
      </c>
      <c r="M309">
        <f>IF(AND(L309&gt;=COMBINACIONES_PH!$B$9,K309+L309-1&lt;=$J$2),1,0)</f>
        <v/>
      </c>
      <c r="N309">
        <f>IF(M309=1,_xlfn.STDEV.S(INDEX($J$5:$J$34,K309):INDEX($J$5:$J$34,K309+L309-1))/AVERAGE(INDEX($J$5:$J$34,K309):INDEX($J$5:$J$34,K309+L309-1)),"")</f>
        <v/>
      </c>
      <c r="O309">
        <f>IF(M309=1,IF(N309&lt;=COMBINACIONES_PH!$B$5,1,0),"")</f>
        <v/>
      </c>
      <c r="P309">
        <f>IF(M309=1,IF(O309=1,-L309,100)+N309+ROW()*0.000000000001,"")</f>
        <v/>
      </c>
    </row>
    <row r="310">
      <c r="K310" t="n">
        <v>15</v>
      </c>
      <c r="L310" t="n">
        <v>7</v>
      </c>
      <c r="M310">
        <f>IF(AND(L310&gt;=COMBINACIONES_PH!$B$9,K310+L310-1&lt;=$J$2),1,0)</f>
        <v/>
      </c>
      <c r="N310">
        <f>IF(M310=1,_xlfn.STDEV.S(INDEX($J$5:$J$34,K310):INDEX($J$5:$J$34,K310+L310-1))/AVERAGE(INDEX($J$5:$J$34,K310):INDEX($J$5:$J$34,K310+L310-1)),"")</f>
        <v/>
      </c>
      <c r="O310">
        <f>IF(M310=1,IF(N310&lt;=COMBINACIONES_PH!$B$5,1,0),"")</f>
        <v/>
      </c>
      <c r="P310">
        <f>IF(M310=1,IF(O310=1,-L310,100)+N310+ROW()*0.000000000001,"")</f>
        <v/>
      </c>
    </row>
    <row r="311">
      <c r="K311" t="n">
        <v>15</v>
      </c>
      <c r="L311" t="n">
        <v>8</v>
      </c>
      <c r="M311">
        <f>IF(AND(L311&gt;=COMBINACIONES_PH!$B$9,K311+L311-1&lt;=$J$2),1,0)</f>
        <v/>
      </c>
      <c r="N311">
        <f>IF(M311=1,_xlfn.STDEV.S(INDEX($J$5:$J$34,K311):INDEX($J$5:$J$34,K311+L311-1))/AVERAGE(INDEX($J$5:$J$34,K311):INDEX($J$5:$J$34,K311+L311-1)),"")</f>
        <v/>
      </c>
      <c r="O311">
        <f>IF(M311=1,IF(N311&lt;=COMBINACIONES_PH!$B$5,1,0),"")</f>
        <v/>
      </c>
      <c r="P311">
        <f>IF(M311=1,IF(O311=1,-L311,100)+N311+ROW()*0.000000000001,"")</f>
        <v/>
      </c>
    </row>
    <row r="312">
      <c r="K312" t="n">
        <v>15</v>
      </c>
      <c r="L312" t="n">
        <v>9</v>
      </c>
      <c r="M312">
        <f>IF(AND(L312&gt;=COMBINACIONES_PH!$B$9,K312+L312-1&lt;=$J$2),1,0)</f>
        <v/>
      </c>
      <c r="N312">
        <f>IF(M312=1,_xlfn.STDEV.S(INDEX($J$5:$J$34,K312):INDEX($J$5:$J$34,K312+L312-1))/AVERAGE(INDEX($J$5:$J$34,K312):INDEX($J$5:$J$34,K312+L312-1)),"")</f>
        <v/>
      </c>
      <c r="O312">
        <f>IF(M312=1,IF(N312&lt;=COMBINACIONES_PH!$B$5,1,0),"")</f>
        <v/>
      </c>
      <c r="P312">
        <f>IF(M312=1,IF(O312=1,-L312,100)+N312+ROW()*0.000000000001,"")</f>
        <v/>
      </c>
    </row>
    <row r="313">
      <c r="K313" t="n">
        <v>15</v>
      </c>
      <c r="L313" t="n">
        <v>10</v>
      </c>
      <c r="M313">
        <f>IF(AND(L313&gt;=COMBINACIONES_PH!$B$9,K313+L313-1&lt;=$J$2),1,0)</f>
        <v/>
      </c>
      <c r="N313">
        <f>IF(M313=1,_xlfn.STDEV.S(INDEX($J$5:$J$34,K313):INDEX($J$5:$J$34,K313+L313-1))/AVERAGE(INDEX($J$5:$J$34,K313):INDEX($J$5:$J$34,K313+L313-1)),"")</f>
        <v/>
      </c>
      <c r="O313">
        <f>IF(M313=1,IF(N313&lt;=COMBINACIONES_PH!$B$5,1,0),"")</f>
        <v/>
      </c>
      <c r="P313">
        <f>IF(M313=1,IF(O313=1,-L313,100)+N313+ROW()*0.000000000001,"")</f>
        <v/>
      </c>
    </row>
    <row r="314">
      <c r="K314" t="n">
        <v>15</v>
      </c>
      <c r="L314" t="n">
        <v>11</v>
      </c>
      <c r="M314">
        <f>IF(AND(L314&gt;=COMBINACIONES_PH!$B$9,K314+L314-1&lt;=$J$2),1,0)</f>
        <v/>
      </c>
      <c r="N314">
        <f>IF(M314=1,_xlfn.STDEV.S(INDEX($J$5:$J$34,K314):INDEX($J$5:$J$34,K314+L314-1))/AVERAGE(INDEX($J$5:$J$34,K314):INDEX($J$5:$J$34,K314+L314-1)),"")</f>
        <v/>
      </c>
      <c r="O314">
        <f>IF(M314=1,IF(N314&lt;=COMBINACIONES_PH!$B$5,1,0),"")</f>
        <v/>
      </c>
      <c r="P314">
        <f>IF(M314=1,IF(O314=1,-L314,100)+N314+ROW()*0.000000000001,"")</f>
        <v/>
      </c>
    </row>
    <row r="315">
      <c r="K315" t="n">
        <v>15</v>
      </c>
      <c r="L315" t="n">
        <v>12</v>
      </c>
      <c r="M315">
        <f>IF(AND(L315&gt;=COMBINACIONES_PH!$B$9,K315+L315-1&lt;=$J$2),1,0)</f>
        <v/>
      </c>
      <c r="N315">
        <f>IF(M315=1,_xlfn.STDEV.S(INDEX($J$5:$J$34,K315):INDEX($J$5:$J$34,K315+L315-1))/AVERAGE(INDEX($J$5:$J$34,K315):INDEX($J$5:$J$34,K315+L315-1)),"")</f>
        <v/>
      </c>
      <c r="O315">
        <f>IF(M315=1,IF(N315&lt;=COMBINACIONES_PH!$B$5,1,0),"")</f>
        <v/>
      </c>
      <c r="P315">
        <f>IF(M315=1,IF(O315=1,-L315,100)+N315+ROW()*0.000000000001,"")</f>
        <v/>
      </c>
    </row>
    <row r="316">
      <c r="K316" t="n">
        <v>15</v>
      </c>
      <c r="L316" t="n">
        <v>13</v>
      </c>
      <c r="M316">
        <f>IF(AND(L316&gt;=COMBINACIONES_PH!$B$9,K316+L316-1&lt;=$J$2),1,0)</f>
        <v/>
      </c>
      <c r="N316">
        <f>IF(M316=1,_xlfn.STDEV.S(INDEX($J$5:$J$34,K316):INDEX($J$5:$J$34,K316+L316-1))/AVERAGE(INDEX($J$5:$J$34,K316):INDEX($J$5:$J$34,K316+L316-1)),"")</f>
        <v/>
      </c>
      <c r="O316">
        <f>IF(M316=1,IF(N316&lt;=COMBINACIONES_PH!$B$5,1,0),"")</f>
        <v/>
      </c>
      <c r="P316">
        <f>IF(M316=1,IF(O316=1,-L316,100)+N316+ROW()*0.000000000001,"")</f>
        <v/>
      </c>
    </row>
    <row r="317">
      <c r="K317" t="n">
        <v>15</v>
      </c>
      <c r="L317" t="n">
        <v>14</v>
      </c>
      <c r="M317">
        <f>IF(AND(L317&gt;=COMBINACIONES_PH!$B$9,K317+L317-1&lt;=$J$2),1,0)</f>
        <v/>
      </c>
      <c r="N317">
        <f>IF(M317=1,_xlfn.STDEV.S(INDEX($J$5:$J$34,K317):INDEX($J$5:$J$34,K317+L317-1))/AVERAGE(INDEX($J$5:$J$34,K317):INDEX($J$5:$J$34,K317+L317-1)),"")</f>
        <v/>
      </c>
      <c r="O317">
        <f>IF(M317=1,IF(N317&lt;=COMBINACIONES_PH!$B$5,1,0),"")</f>
        <v/>
      </c>
      <c r="P317">
        <f>IF(M317=1,IF(O317=1,-L317,100)+N317+ROW()*0.000000000001,"")</f>
        <v/>
      </c>
    </row>
    <row r="318">
      <c r="K318" t="n">
        <v>15</v>
      </c>
      <c r="L318" t="n">
        <v>15</v>
      </c>
      <c r="M318">
        <f>IF(AND(L318&gt;=COMBINACIONES_PH!$B$9,K318+L318-1&lt;=$J$2),1,0)</f>
        <v/>
      </c>
      <c r="N318">
        <f>IF(M318=1,_xlfn.STDEV.S(INDEX($J$5:$J$34,K318):INDEX($J$5:$J$34,K318+L318-1))/AVERAGE(INDEX($J$5:$J$34,K318):INDEX($J$5:$J$34,K318+L318-1)),"")</f>
        <v/>
      </c>
      <c r="O318">
        <f>IF(M318=1,IF(N318&lt;=COMBINACIONES_PH!$B$5,1,0),"")</f>
        <v/>
      </c>
      <c r="P318">
        <f>IF(M318=1,IF(O318=1,-L318,100)+N318+ROW()*0.000000000001,"")</f>
        <v/>
      </c>
    </row>
    <row r="319">
      <c r="K319" t="n">
        <v>15</v>
      </c>
      <c r="L319" t="n">
        <v>16</v>
      </c>
      <c r="M319">
        <f>IF(AND(L319&gt;=COMBINACIONES_PH!$B$9,K319+L319-1&lt;=$J$2),1,0)</f>
        <v/>
      </c>
      <c r="N319">
        <f>IF(M319=1,_xlfn.STDEV.S(INDEX($J$5:$J$34,K319):INDEX($J$5:$J$34,K319+L319-1))/AVERAGE(INDEX($J$5:$J$34,K319):INDEX($J$5:$J$34,K319+L319-1)),"")</f>
        <v/>
      </c>
      <c r="O319">
        <f>IF(M319=1,IF(N319&lt;=COMBINACIONES_PH!$B$5,1,0),"")</f>
        <v/>
      </c>
      <c r="P319">
        <f>IF(M319=1,IF(O319=1,-L319,100)+N319+ROW()*0.000000000001,"")</f>
        <v/>
      </c>
    </row>
    <row r="320">
      <c r="K320" t="n">
        <v>16</v>
      </c>
      <c r="L320" t="n">
        <v>3</v>
      </c>
      <c r="M320">
        <f>IF(AND(L320&gt;=COMBINACIONES_PH!$B$9,K320+L320-1&lt;=$J$2),1,0)</f>
        <v/>
      </c>
      <c r="N320">
        <f>IF(M320=1,_xlfn.STDEV.S(INDEX($J$5:$J$34,K320):INDEX($J$5:$J$34,K320+L320-1))/AVERAGE(INDEX($J$5:$J$34,K320):INDEX($J$5:$J$34,K320+L320-1)),"")</f>
        <v/>
      </c>
      <c r="O320">
        <f>IF(M320=1,IF(N320&lt;=COMBINACIONES_PH!$B$5,1,0),"")</f>
        <v/>
      </c>
      <c r="P320">
        <f>IF(M320=1,IF(O320=1,-L320,100)+N320+ROW()*0.000000000001,"")</f>
        <v/>
      </c>
    </row>
    <row r="321">
      <c r="K321" t="n">
        <v>16</v>
      </c>
      <c r="L321" t="n">
        <v>4</v>
      </c>
      <c r="M321">
        <f>IF(AND(L321&gt;=COMBINACIONES_PH!$B$9,K321+L321-1&lt;=$J$2),1,0)</f>
        <v/>
      </c>
      <c r="N321">
        <f>IF(M321=1,_xlfn.STDEV.S(INDEX($J$5:$J$34,K321):INDEX($J$5:$J$34,K321+L321-1))/AVERAGE(INDEX($J$5:$J$34,K321):INDEX($J$5:$J$34,K321+L321-1)),"")</f>
        <v/>
      </c>
      <c r="O321">
        <f>IF(M321=1,IF(N321&lt;=COMBINACIONES_PH!$B$5,1,0),"")</f>
        <v/>
      </c>
      <c r="P321">
        <f>IF(M321=1,IF(O321=1,-L321,100)+N321+ROW()*0.000000000001,"")</f>
        <v/>
      </c>
    </row>
    <row r="322">
      <c r="K322" t="n">
        <v>16</v>
      </c>
      <c r="L322" t="n">
        <v>5</v>
      </c>
      <c r="M322">
        <f>IF(AND(L322&gt;=COMBINACIONES_PH!$B$9,K322+L322-1&lt;=$J$2),1,0)</f>
        <v/>
      </c>
      <c r="N322">
        <f>IF(M322=1,_xlfn.STDEV.S(INDEX($J$5:$J$34,K322):INDEX($J$5:$J$34,K322+L322-1))/AVERAGE(INDEX($J$5:$J$34,K322):INDEX($J$5:$J$34,K322+L322-1)),"")</f>
        <v/>
      </c>
      <c r="O322">
        <f>IF(M322=1,IF(N322&lt;=COMBINACIONES_PH!$B$5,1,0),"")</f>
        <v/>
      </c>
      <c r="P322">
        <f>IF(M322=1,IF(O322=1,-L322,100)+N322+ROW()*0.000000000001,"")</f>
        <v/>
      </c>
    </row>
    <row r="323">
      <c r="K323" t="n">
        <v>16</v>
      </c>
      <c r="L323" t="n">
        <v>6</v>
      </c>
      <c r="M323">
        <f>IF(AND(L323&gt;=COMBINACIONES_PH!$B$9,K323+L323-1&lt;=$J$2),1,0)</f>
        <v/>
      </c>
      <c r="N323">
        <f>IF(M323=1,_xlfn.STDEV.S(INDEX($J$5:$J$34,K323):INDEX($J$5:$J$34,K323+L323-1))/AVERAGE(INDEX($J$5:$J$34,K323):INDEX($J$5:$J$34,K323+L323-1)),"")</f>
        <v/>
      </c>
      <c r="O323">
        <f>IF(M323=1,IF(N323&lt;=COMBINACIONES_PH!$B$5,1,0),"")</f>
        <v/>
      </c>
      <c r="P323">
        <f>IF(M323=1,IF(O323=1,-L323,100)+N323+ROW()*0.000000000001,"")</f>
        <v/>
      </c>
    </row>
    <row r="324">
      <c r="K324" t="n">
        <v>16</v>
      </c>
      <c r="L324" t="n">
        <v>7</v>
      </c>
      <c r="M324">
        <f>IF(AND(L324&gt;=COMBINACIONES_PH!$B$9,K324+L324-1&lt;=$J$2),1,0)</f>
        <v/>
      </c>
      <c r="N324">
        <f>IF(M324=1,_xlfn.STDEV.S(INDEX($J$5:$J$34,K324):INDEX($J$5:$J$34,K324+L324-1))/AVERAGE(INDEX($J$5:$J$34,K324):INDEX($J$5:$J$34,K324+L324-1)),"")</f>
        <v/>
      </c>
      <c r="O324">
        <f>IF(M324=1,IF(N324&lt;=COMBINACIONES_PH!$B$5,1,0),"")</f>
        <v/>
      </c>
      <c r="P324">
        <f>IF(M324=1,IF(O324=1,-L324,100)+N324+ROW()*0.000000000001,"")</f>
        <v/>
      </c>
    </row>
    <row r="325">
      <c r="K325" t="n">
        <v>16</v>
      </c>
      <c r="L325" t="n">
        <v>8</v>
      </c>
      <c r="M325">
        <f>IF(AND(L325&gt;=COMBINACIONES_PH!$B$9,K325+L325-1&lt;=$J$2),1,0)</f>
        <v/>
      </c>
      <c r="N325">
        <f>IF(M325=1,_xlfn.STDEV.S(INDEX($J$5:$J$34,K325):INDEX($J$5:$J$34,K325+L325-1))/AVERAGE(INDEX($J$5:$J$34,K325):INDEX($J$5:$J$34,K325+L325-1)),"")</f>
        <v/>
      </c>
      <c r="O325">
        <f>IF(M325=1,IF(N325&lt;=COMBINACIONES_PH!$B$5,1,0),"")</f>
        <v/>
      </c>
      <c r="P325">
        <f>IF(M325=1,IF(O325=1,-L325,100)+N325+ROW()*0.000000000001,"")</f>
        <v/>
      </c>
    </row>
    <row r="326">
      <c r="K326" t="n">
        <v>16</v>
      </c>
      <c r="L326" t="n">
        <v>9</v>
      </c>
      <c r="M326">
        <f>IF(AND(L326&gt;=COMBINACIONES_PH!$B$9,K326+L326-1&lt;=$J$2),1,0)</f>
        <v/>
      </c>
      <c r="N326">
        <f>IF(M326=1,_xlfn.STDEV.S(INDEX($J$5:$J$34,K326):INDEX($J$5:$J$34,K326+L326-1))/AVERAGE(INDEX($J$5:$J$34,K326):INDEX($J$5:$J$34,K326+L326-1)),"")</f>
        <v/>
      </c>
      <c r="O326">
        <f>IF(M326=1,IF(N326&lt;=COMBINACIONES_PH!$B$5,1,0),"")</f>
        <v/>
      </c>
      <c r="P326">
        <f>IF(M326=1,IF(O326=1,-L326,100)+N326+ROW()*0.000000000001,"")</f>
        <v/>
      </c>
    </row>
    <row r="327">
      <c r="K327" t="n">
        <v>16</v>
      </c>
      <c r="L327" t="n">
        <v>10</v>
      </c>
      <c r="M327">
        <f>IF(AND(L327&gt;=COMBINACIONES_PH!$B$9,K327+L327-1&lt;=$J$2),1,0)</f>
        <v/>
      </c>
      <c r="N327">
        <f>IF(M327=1,_xlfn.STDEV.S(INDEX($J$5:$J$34,K327):INDEX($J$5:$J$34,K327+L327-1))/AVERAGE(INDEX($J$5:$J$34,K327):INDEX($J$5:$J$34,K327+L327-1)),"")</f>
        <v/>
      </c>
      <c r="O327">
        <f>IF(M327=1,IF(N327&lt;=COMBINACIONES_PH!$B$5,1,0),"")</f>
        <v/>
      </c>
      <c r="P327">
        <f>IF(M327=1,IF(O327=1,-L327,100)+N327+ROW()*0.000000000001,"")</f>
        <v/>
      </c>
    </row>
    <row r="328">
      <c r="K328" t="n">
        <v>16</v>
      </c>
      <c r="L328" t="n">
        <v>11</v>
      </c>
      <c r="M328">
        <f>IF(AND(L328&gt;=COMBINACIONES_PH!$B$9,K328+L328-1&lt;=$J$2),1,0)</f>
        <v/>
      </c>
      <c r="N328">
        <f>IF(M328=1,_xlfn.STDEV.S(INDEX($J$5:$J$34,K328):INDEX($J$5:$J$34,K328+L328-1))/AVERAGE(INDEX($J$5:$J$34,K328):INDEX($J$5:$J$34,K328+L328-1)),"")</f>
        <v/>
      </c>
      <c r="O328">
        <f>IF(M328=1,IF(N328&lt;=COMBINACIONES_PH!$B$5,1,0),"")</f>
        <v/>
      </c>
      <c r="P328">
        <f>IF(M328=1,IF(O328=1,-L328,100)+N328+ROW()*0.000000000001,"")</f>
        <v/>
      </c>
    </row>
    <row r="329">
      <c r="K329" t="n">
        <v>16</v>
      </c>
      <c r="L329" t="n">
        <v>12</v>
      </c>
      <c r="M329">
        <f>IF(AND(L329&gt;=COMBINACIONES_PH!$B$9,K329+L329-1&lt;=$J$2),1,0)</f>
        <v/>
      </c>
      <c r="N329">
        <f>IF(M329=1,_xlfn.STDEV.S(INDEX($J$5:$J$34,K329):INDEX($J$5:$J$34,K329+L329-1))/AVERAGE(INDEX($J$5:$J$34,K329):INDEX($J$5:$J$34,K329+L329-1)),"")</f>
        <v/>
      </c>
      <c r="O329">
        <f>IF(M329=1,IF(N329&lt;=COMBINACIONES_PH!$B$5,1,0),"")</f>
        <v/>
      </c>
      <c r="P329">
        <f>IF(M329=1,IF(O329=1,-L329,100)+N329+ROW()*0.000000000001,"")</f>
        <v/>
      </c>
    </row>
    <row r="330">
      <c r="K330" t="n">
        <v>16</v>
      </c>
      <c r="L330" t="n">
        <v>13</v>
      </c>
      <c r="M330">
        <f>IF(AND(L330&gt;=COMBINACIONES_PH!$B$9,K330+L330-1&lt;=$J$2),1,0)</f>
        <v/>
      </c>
      <c r="N330">
        <f>IF(M330=1,_xlfn.STDEV.S(INDEX($J$5:$J$34,K330):INDEX($J$5:$J$34,K330+L330-1))/AVERAGE(INDEX($J$5:$J$34,K330):INDEX($J$5:$J$34,K330+L330-1)),"")</f>
        <v/>
      </c>
      <c r="O330">
        <f>IF(M330=1,IF(N330&lt;=COMBINACIONES_PH!$B$5,1,0),"")</f>
        <v/>
      </c>
      <c r="P330">
        <f>IF(M330=1,IF(O330=1,-L330,100)+N330+ROW()*0.000000000001,"")</f>
        <v/>
      </c>
    </row>
    <row r="331">
      <c r="K331" t="n">
        <v>16</v>
      </c>
      <c r="L331" t="n">
        <v>14</v>
      </c>
      <c r="M331">
        <f>IF(AND(L331&gt;=COMBINACIONES_PH!$B$9,K331+L331-1&lt;=$J$2),1,0)</f>
        <v/>
      </c>
      <c r="N331">
        <f>IF(M331=1,_xlfn.STDEV.S(INDEX($J$5:$J$34,K331):INDEX($J$5:$J$34,K331+L331-1))/AVERAGE(INDEX($J$5:$J$34,K331):INDEX($J$5:$J$34,K331+L331-1)),"")</f>
        <v/>
      </c>
      <c r="O331">
        <f>IF(M331=1,IF(N331&lt;=COMBINACIONES_PH!$B$5,1,0),"")</f>
        <v/>
      </c>
      <c r="P331">
        <f>IF(M331=1,IF(O331=1,-L331,100)+N331+ROW()*0.000000000001,"")</f>
        <v/>
      </c>
    </row>
    <row r="332">
      <c r="K332" t="n">
        <v>16</v>
      </c>
      <c r="L332" t="n">
        <v>15</v>
      </c>
      <c r="M332">
        <f>IF(AND(L332&gt;=COMBINACIONES_PH!$B$9,K332+L332-1&lt;=$J$2),1,0)</f>
        <v/>
      </c>
      <c r="N332">
        <f>IF(M332=1,_xlfn.STDEV.S(INDEX($J$5:$J$34,K332):INDEX($J$5:$J$34,K332+L332-1))/AVERAGE(INDEX($J$5:$J$34,K332):INDEX($J$5:$J$34,K332+L332-1)),"")</f>
        <v/>
      </c>
      <c r="O332">
        <f>IF(M332=1,IF(N332&lt;=COMBINACIONES_PH!$B$5,1,0),"")</f>
        <v/>
      </c>
      <c r="P332">
        <f>IF(M332=1,IF(O332=1,-L332,100)+N332+ROW()*0.000000000001,"")</f>
        <v/>
      </c>
    </row>
    <row r="333">
      <c r="K333" t="n">
        <v>17</v>
      </c>
      <c r="L333" t="n">
        <v>3</v>
      </c>
      <c r="M333">
        <f>IF(AND(L333&gt;=COMBINACIONES_PH!$B$9,K333+L333-1&lt;=$J$2),1,0)</f>
        <v/>
      </c>
      <c r="N333">
        <f>IF(M333=1,_xlfn.STDEV.S(INDEX($J$5:$J$34,K333):INDEX($J$5:$J$34,K333+L333-1))/AVERAGE(INDEX($J$5:$J$34,K333):INDEX($J$5:$J$34,K333+L333-1)),"")</f>
        <v/>
      </c>
      <c r="O333">
        <f>IF(M333=1,IF(N333&lt;=COMBINACIONES_PH!$B$5,1,0),"")</f>
        <v/>
      </c>
      <c r="P333">
        <f>IF(M333=1,IF(O333=1,-L333,100)+N333+ROW()*0.000000000001,"")</f>
        <v/>
      </c>
    </row>
    <row r="334">
      <c r="K334" t="n">
        <v>17</v>
      </c>
      <c r="L334" t="n">
        <v>4</v>
      </c>
      <c r="M334">
        <f>IF(AND(L334&gt;=COMBINACIONES_PH!$B$9,K334+L334-1&lt;=$J$2),1,0)</f>
        <v/>
      </c>
      <c r="N334">
        <f>IF(M334=1,_xlfn.STDEV.S(INDEX($J$5:$J$34,K334):INDEX($J$5:$J$34,K334+L334-1))/AVERAGE(INDEX($J$5:$J$34,K334):INDEX($J$5:$J$34,K334+L334-1)),"")</f>
        <v/>
      </c>
      <c r="O334">
        <f>IF(M334=1,IF(N334&lt;=COMBINACIONES_PH!$B$5,1,0),"")</f>
        <v/>
      </c>
      <c r="P334">
        <f>IF(M334=1,IF(O334=1,-L334,100)+N334+ROW()*0.000000000001,"")</f>
        <v/>
      </c>
    </row>
    <row r="335">
      <c r="K335" t="n">
        <v>17</v>
      </c>
      <c r="L335" t="n">
        <v>5</v>
      </c>
      <c r="M335">
        <f>IF(AND(L335&gt;=COMBINACIONES_PH!$B$9,K335+L335-1&lt;=$J$2),1,0)</f>
        <v/>
      </c>
      <c r="N335">
        <f>IF(M335=1,_xlfn.STDEV.S(INDEX($J$5:$J$34,K335):INDEX($J$5:$J$34,K335+L335-1))/AVERAGE(INDEX($J$5:$J$34,K335):INDEX($J$5:$J$34,K335+L335-1)),"")</f>
        <v/>
      </c>
      <c r="O335">
        <f>IF(M335=1,IF(N335&lt;=COMBINACIONES_PH!$B$5,1,0),"")</f>
        <v/>
      </c>
      <c r="P335">
        <f>IF(M335=1,IF(O335=1,-L335,100)+N335+ROW()*0.000000000001,"")</f>
        <v/>
      </c>
    </row>
    <row r="336">
      <c r="K336" t="n">
        <v>17</v>
      </c>
      <c r="L336" t="n">
        <v>6</v>
      </c>
      <c r="M336">
        <f>IF(AND(L336&gt;=COMBINACIONES_PH!$B$9,K336+L336-1&lt;=$J$2),1,0)</f>
        <v/>
      </c>
      <c r="N336">
        <f>IF(M336=1,_xlfn.STDEV.S(INDEX($J$5:$J$34,K336):INDEX($J$5:$J$34,K336+L336-1))/AVERAGE(INDEX($J$5:$J$34,K336):INDEX($J$5:$J$34,K336+L336-1)),"")</f>
        <v/>
      </c>
      <c r="O336">
        <f>IF(M336=1,IF(N336&lt;=COMBINACIONES_PH!$B$5,1,0),"")</f>
        <v/>
      </c>
      <c r="P336">
        <f>IF(M336=1,IF(O336=1,-L336,100)+N336+ROW()*0.000000000001,"")</f>
        <v/>
      </c>
    </row>
    <row r="337">
      <c r="K337" t="n">
        <v>17</v>
      </c>
      <c r="L337" t="n">
        <v>7</v>
      </c>
      <c r="M337">
        <f>IF(AND(L337&gt;=COMBINACIONES_PH!$B$9,K337+L337-1&lt;=$J$2),1,0)</f>
        <v/>
      </c>
      <c r="N337">
        <f>IF(M337=1,_xlfn.STDEV.S(INDEX($J$5:$J$34,K337):INDEX($J$5:$J$34,K337+L337-1))/AVERAGE(INDEX($J$5:$J$34,K337):INDEX($J$5:$J$34,K337+L337-1)),"")</f>
        <v/>
      </c>
      <c r="O337">
        <f>IF(M337=1,IF(N337&lt;=COMBINACIONES_PH!$B$5,1,0),"")</f>
        <v/>
      </c>
      <c r="P337">
        <f>IF(M337=1,IF(O337=1,-L337,100)+N337+ROW()*0.000000000001,"")</f>
        <v/>
      </c>
    </row>
    <row r="338">
      <c r="K338" t="n">
        <v>17</v>
      </c>
      <c r="L338" t="n">
        <v>8</v>
      </c>
      <c r="M338">
        <f>IF(AND(L338&gt;=COMBINACIONES_PH!$B$9,K338+L338-1&lt;=$J$2),1,0)</f>
        <v/>
      </c>
      <c r="N338">
        <f>IF(M338=1,_xlfn.STDEV.S(INDEX($J$5:$J$34,K338):INDEX($J$5:$J$34,K338+L338-1))/AVERAGE(INDEX($J$5:$J$34,K338):INDEX($J$5:$J$34,K338+L338-1)),"")</f>
        <v/>
      </c>
      <c r="O338">
        <f>IF(M338=1,IF(N338&lt;=COMBINACIONES_PH!$B$5,1,0),"")</f>
        <v/>
      </c>
      <c r="P338">
        <f>IF(M338=1,IF(O338=1,-L338,100)+N338+ROW()*0.000000000001,"")</f>
        <v/>
      </c>
    </row>
    <row r="339">
      <c r="K339" t="n">
        <v>17</v>
      </c>
      <c r="L339" t="n">
        <v>9</v>
      </c>
      <c r="M339">
        <f>IF(AND(L339&gt;=COMBINACIONES_PH!$B$9,K339+L339-1&lt;=$J$2),1,0)</f>
        <v/>
      </c>
      <c r="N339">
        <f>IF(M339=1,_xlfn.STDEV.S(INDEX($J$5:$J$34,K339):INDEX($J$5:$J$34,K339+L339-1))/AVERAGE(INDEX($J$5:$J$34,K339):INDEX($J$5:$J$34,K339+L339-1)),"")</f>
        <v/>
      </c>
      <c r="O339">
        <f>IF(M339=1,IF(N339&lt;=COMBINACIONES_PH!$B$5,1,0),"")</f>
        <v/>
      </c>
      <c r="P339">
        <f>IF(M339=1,IF(O339=1,-L339,100)+N339+ROW()*0.000000000001,"")</f>
        <v/>
      </c>
    </row>
    <row r="340">
      <c r="K340" t="n">
        <v>17</v>
      </c>
      <c r="L340" t="n">
        <v>10</v>
      </c>
      <c r="M340">
        <f>IF(AND(L340&gt;=COMBINACIONES_PH!$B$9,K340+L340-1&lt;=$J$2),1,0)</f>
        <v/>
      </c>
      <c r="N340">
        <f>IF(M340=1,_xlfn.STDEV.S(INDEX($J$5:$J$34,K340):INDEX($J$5:$J$34,K340+L340-1))/AVERAGE(INDEX($J$5:$J$34,K340):INDEX($J$5:$J$34,K340+L340-1)),"")</f>
        <v/>
      </c>
      <c r="O340">
        <f>IF(M340=1,IF(N340&lt;=COMBINACIONES_PH!$B$5,1,0),"")</f>
        <v/>
      </c>
      <c r="P340">
        <f>IF(M340=1,IF(O340=1,-L340,100)+N340+ROW()*0.000000000001,"")</f>
        <v/>
      </c>
    </row>
    <row r="341">
      <c r="K341" t="n">
        <v>17</v>
      </c>
      <c r="L341" t="n">
        <v>11</v>
      </c>
      <c r="M341">
        <f>IF(AND(L341&gt;=COMBINACIONES_PH!$B$9,K341+L341-1&lt;=$J$2),1,0)</f>
        <v/>
      </c>
      <c r="N341">
        <f>IF(M341=1,_xlfn.STDEV.S(INDEX($J$5:$J$34,K341):INDEX($J$5:$J$34,K341+L341-1))/AVERAGE(INDEX($J$5:$J$34,K341):INDEX($J$5:$J$34,K341+L341-1)),"")</f>
        <v/>
      </c>
      <c r="O341">
        <f>IF(M341=1,IF(N341&lt;=COMBINACIONES_PH!$B$5,1,0),"")</f>
        <v/>
      </c>
      <c r="P341">
        <f>IF(M341=1,IF(O341=1,-L341,100)+N341+ROW()*0.000000000001,"")</f>
        <v/>
      </c>
    </row>
    <row r="342">
      <c r="K342" t="n">
        <v>17</v>
      </c>
      <c r="L342" t="n">
        <v>12</v>
      </c>
      <c r="M342">
        <f>IF(AND(L342&gt;=COMBINACIONES_PH!$B$9,K342+L342-1&lt;=$J$2),1,0)</f>
        <v/>
      </c>
      <c r="N342">
        <f>IF(M342=1,_xlfn.STDEV.S(INDEX($J$5:$J$34,K342):INDEX($J$5:$J$34,K342+L342-1))/AVERAGE(INDEX($J$5:$J$34,K342):INDEX($J$5:$J$34,K342+L342-1)),"")</f>
        <v/>
      </c>
      <c r="O342">
        <f>IF(M342=1,IF(N342&lt;=COMBINACIONES_PH!$B$5,1,0),"")</f>
        <v/>
      </c>
      <c r="P342">
        <f>IF(M342=1,IF(O342=1,-L342,100)+N342+ROW()*0.000000000001,"")</f>
        <v/>
      </c>
    </row>
    <row r="343">
      <c r="K343" t="n">
        <v>17</v>
      </c>
      <c r="L343" t="n">
        <v>13</v>
      </c>
      <c r="M343">
        <f>IF(AND(L343&gt;=COMBINACIONES_PH!$B$9,K343+L343-1&lt;=$J$2),1,0)</f>
        <v/>
      </c>
      <c r="N343">
        <f>IF(M343=1,_xlfn.STDEV.S(INDEX($J$5:$J$34,K343):INDEX($J$5:$J$34,K343+L343-1))/AVERAGE(INDEX($J$5:$J$34,K343):INDEX($J$5:$J$34,K343+L343-1)),"")</f>
        <v/>
      </c>
      <c r="O343">
        <f>IF(M343=1,IF(N343&lt;=COMBINACIONES_PH!$B$5,1,0),"")</f>
        <v/>
      </c>
      <c r="P343">
        <f>IF(M343=1,IF(O343=1,-L343,100)+N343+ROW()*0.000000000001,"")</f>
        <v/>
      </c>
    </row>
    <row r="344">
      <c r="K344" t="n">
        <v>17</v>
      </c>
      <c r="L344" t="n">
        <v>14</v>
      </c>
      <c r="M344">
        <f>IF(AND(L344&gt;=COMBINACIONES_PH!$B$9,K344+L344-1&lt;=$J$2),1,0)</f>
        <v/>
      </c>
      <c r="N344">
        <f>IF(M344=1,_xlfn.STDEV.S(INDEX($J$5:$J$34,K344):INDEX($J$5:$J$34,K344+L344-1))/AVERAGE(INDEX($J$5:$J$34,K344):INDEX($J$5:$J$34,K344+L344-1)),"")</f>
        <v/>
      </c>
      <c r="O344">
        <f>IF(M344=1,IF(N344&lt;=COMBINACIONES_PH!$B$5,1,0),"")</f>
        <v/>
      </c>
      <c r="P344">
        <f>IF(M344=1,IF(O344=1,-L344,100)+N344+ROW()*0.000000000001,"")</f>
        <v/>
      </c>
    </row>
    <row r="345">
      <c r="K345" t="n">
        <v>18</v>
      </c>
      <c r="L345" t="n">
        <v>3</v>
      </c>
      <c r="M345">
        <f>IF(AND(L345&gt;=COMBINACIONES_PH!$B$9,K345+L345-1&lt;=$J$2),1,0)</f>
        <v/>
      </c>
      <c r="N345">
        <f>IF(M345=1,_xlfn.STDEV.S(INDEX($J$5:$J$34,K345):INDEX($J$5:$J$34,K345+L345-1))/AVERAGE(INDEX($J$5:$J$34,K345):INDEX($J$5:$J$34,K345+L345-1)),"")</f>
        <v/>
      </c>
      <c r="O345">
        <f>IF(M345=1,IF(N345&lt;=COMBINACIONES_PH!$B$5,1,0),"")</f>
        <v/>
      </c>
      <c r="P345">
        <f>IF(M345=1,IF(O345=1,-L345,100)+N345+ROW()*0.000000000001,"")</f>
        <v/>
      </c>
    </row>
    <row r="346">
      <c r="K346" t="n">
        <v>18</v>
      </c>
      <c r="L346" t="n">
        <v>4</v>
      </c>
      <c r="M346">
        <f>IF(AND(L346&gt;=COMBINACIONES_PH!$B$9,K346+L346-1&lt;=$J$2),1,0)</f>
        <v/>
      </c>
      <c r="N346">
        <f>IF(M346=1,_xlfn.STDEV.S(INDEX($J$5:$J$34,K346):INDEX($J$5:$J$34,K346+L346-1))/AVERAGE(INDEX($J$5:$J$34,K346):INDEX($J$5:$J$34,K346+L346-1)),"")</f>
        <v/>
      </c>
      <c r="O346">
        <f>IF(M346=1,IF(N346&lt;=COMBINACIONES_PH!$B$5,1,0),"")</f>
        <v/>
      </c>
      <c r="P346">
        <f>IF(M346=1,IF(O346=1,-L346,100)+N346+ROW()*0.000000000001,"")</f>
        <v/>
      </c>
    </row>
    <row r="347">
      <c r="K347" t="n">
        <v>18</v>
      </c>
      <c r="L347" t="n">
        <v>5</v>
      </c>
      <c r="M347">
        <f>IF(AND(L347&gt;=COMBINACIONES_PH!$B$9,K347+L347-1&lt;=$J$2),1,0)</f>
        <v/>
      </c>
      <c r="N347">
        <f>IF(M347=1,_xlfn.STDEV.S(INDEX($J$5:$J$34,K347):INDEX($J$5:$J$34,K347+L347-1))/AVERAGE(INDEX($J$5:$J$34,K347):INDEX($J$5:$J$34,K347+L347-1)),"")</f>
        <v/>
      </c>
      <c r="O347">
        <f>IF(M347=1,IF(N347&lt;=COMBINACIONES_PH!$B$5,1,0),"")</f>
        <v/>
      </c>
      <c r="P347">
        <f>IF(M347=1,IF(O347=1,-L347,100)+N347+ROW()*0.000000000001,"")</f>
        <v/>
      </c>
    </row>
    <row r="348">
      <c r="K348" t="n">
        <v>18</v>
      </c>
      <c r="L348" t="n">
        <v>6</v>
      </c>
      <c r="M348">
        <f>IF(AND(L348&gt;=COMBINACIONES_PH!$B$9,K348+L348-1&lt;=$J$2),1,0)</f>
        <v/>
      </c>
      <c r="N348">
        <f>IF(M348=1,_xlfn.STDEV.S(INDEX($J$5:$J$34,K348):INDEX($J$5:$J$34,K348+L348-1))/AVERAGE(INDEX($J$5:$J$34,K348):INDEX($J$5:$J$34,K348+L348-1)),"")</f>
        <v/>
      </c>
      <c r="O348">
        <f>IF(M348=1,IF(N348&lt;=COMBINACIONES_PH!$B$5,1,0),"")</f>
        <v/>
      </c>
      <c r="P348">
        <f>IF(M348=1,IF(O348=1,-L348,100)+N348+ROW()*0.000000000001,"")</f>
        <v/>
      </c>
    </row>
    <row r="349">
      <c r="K349" t="n">
        <v>18</v>
      </c>
      <c r="L349" t="n">
        <v>7</v>
      </c>
      <c r="M349">
        <f>IF(AND(L349&gt;=COMBINACIONES_PH!$B$9,K349+L349-1&lt;=$J$2),1,0)</f>
        <v/>
      </c>
      <c r="N349">
        <f>IF(M349=1,_xlfn.STDEV.S(INDEX($J$5:$J$34,K349):INDEX($J$5:$J$34,K349+L349-1))/AVERAGE(INDEX($J$5:$J$34,K349):INDEX($J$5:$J$34,K349+L349-1)),"")</f>
        <v/>
      </c>
      <c r="O349">
        <f>IF(M349=1,IF(N349&lt;=COMBINACIONES_PH!$B$5,1,0),"")</f>
        <v/>
      </c>
      <c r="P349">
        <f>IF(M349=1,IF(O349=1,-L349,100)+N349+ROW()*0.000000000001,"")</f>
        <v/>
      </c>
    </row>
    <row r="350">
      <c r="K350" t="n">
        <v>18</v>
      </c>
      <c r="L350" t="n">
        <v>8</v>
      </c>
      <c r="M350">
        <f>IF(AND(L350&gt;=COMBINACIONES_PH!$B$9,K350+L350-1&lt;=$J$2),1,0)</f>
        <v/>
      </c>
      <c r="N350">
        <f>IF(M350=1,_xlfn.STDEV.S(INDEX($J$5:$J$34,K350):INDEX($J$5:$J$34,K350+L350-1))/AVERAGE(INDEX($J$5:$J$34,K350):INDEX($J$5:$J$34,K350+L350-1)),"")</f>
        <v/>
      </c>
      <c r="O350">
        <f>IF(M350=1,IF(N350&lt;=COMBINACIONES_PH!$B$5,1,0),"")</f>
        <v/>
      </c>
      <c r="P350">
        <f>IF(M350=1,IF(O350=1,-L350,100)+N350+ROW()*0.000000000001,"")</f>
        <v/>
      </c>
    </row>
    <row r="351">
      <c r="K351" t="n">
        <v>18</v>
      </c>
      <c r="L351" t="n">
        <v>9</v>
      </c>
      <c r="M351">
        <f>IF(AND(L351&gt;=COMBINACIONES_PH!$B$9,K351+L351-1&lt;=$J$2),1,0)</f>
        <v/>
      </c>
      <c r="N351">
        <f>IF(M351=1,_xlfn.STDEV.S(INDEX($J$5:$J$34,K351):INDEX($J$5:$J$34,K351+L351-1))/AVERAGE(INDEX($J$5:$J$34,K351):INDEX($J$5:$J$34,K351+L351-1)),"")</f>
        <v/>
      </c>
      <c r="O351">
        <f>IF(M351=1,IF(N351&lt;=COMBINACIONES_PH!$B$5,1,0),"")</f>
        <v/>
      </c>
      <c r="P351">
        <f>IF(M351=1,IF(O351=1,-L351,100)+N351+ROW()*0.000000000001,"")</f>
        <v/>
      </c>
    </row>
    <row r="352">
      <c r="K352" t="n">
        <v>18</v>
      </c>
      <c r="L352" t="n">
        <v>10</v>
      </c>
      <c r="M352">
        <f>IF(AND(L352&gt;=COMBINACIONES_PH!$B$9,K352+L352-1&lt;=$J$2),1,0)</f>
        <v/>
      </c>
      <c r="N352">
        <f>IF(M352=1,_xlfn.STDEV.S(INDEX($J$5:$J$34,K352):INDEX($J$5:$J$34,K352+L352-1))/AVERAGE(INDEX($J$5:$J$34,K352):INDEX($J$5:$J$34,K352+L352-1)),"")</f>
        <v/>
      </c>
      <c r="O352">
        <f>IF(M352=1,IF(N352&lt;=COMBINACIONES_PH!$B$5,1,0),"")</f>
        <v/>
      </c>
      <c r="P352">
        <f>IF(M352=1,IF(O352=1,-L352,100)+N352+ROW()*0.000000000001,"")</f>
        <v/>
      </c>
    </row>
    <row r="353">
      <c r="K353" t="n">
        <v>18</v>
      </c>
      <c r="L353" t="n">
        <v>11</v>
      </c>
      <c r="M353">
        <f>IF(AND(L353&gt;=COMBINACIONES_PH!$B$9,K353+L353-1&lt;=$J$2),1,0)</f>
        <v/>
      </c>
      <c r="N353">
        <f>IF(M353=1,_xlfn.STDEV.S(INDEX($J$5:$J$34,K353):INDEX($J$5:$J$34,K353+L353-1))/AVERAGE(INDEX($J$5:$J$34,K353):INDEX($J$5:$J$34,K353+L353-1)),"")</f>
        <v/>
      </c>
      <c r="O353">
        <f>IF(M353=1,IF(N353&lt;=COMBINACIONES_PH!$B$5,1,0),"")</f>
        <v/>
      </c>
      <c r="P353">
        <f>IF(M353=1,IF(O353=1,-L353,100)+N353+ROW()*0.000000000001,"")</f>
        <v/>
      </c>
    </row>
    <row r="354">
      <c r="K354" t="n">
        <v>18</v>
      </c>
      <c r="L354" t="n">
        <v>12</v>
      </c>
      <c r="M354">
        <f>IF(AND(L354&gt;=COMBINACIONES_PH!$B$9,K354+L354-1&lt;=$J$2),1,0)</f>
        <v/>
      </c>
      <c r="N354">
        <f>IF(M354=1,_xlfn.STDEV.S(INDEX($J$5:$J$34,K354):INDEX($J$5:$J$34,K354+L354-1))/AVERAGE(INDEX($J$5:$J$34,K354):INDEX($J$5:$J$34,K354+L354-1)),"")</f>
        <v/>
      </c>
      <c r="O354">
        <f>IF(M354=1,IF(N354&lt;=COMBINACIONES_PH!$B$5,1,0),"")</f>
        <v/>
      </c>
      <c r="P354">
        <f>IF(M354=1,IF(O354=1,-L354,100)+N354+ROW()*0.000000000001,"")</f>
        <v/>
      </c>
    </row>
    <row r="355">
      <c r="K355" t="n">
        <v>18</v>
      </c>
      <c r="L355" t="n">
        <v>13</v>
      </c>
      <c r="M355">
        <f>IF(AND(L355&gt;=COMBINACIONES_PH!$B$9,K355+L355-1&lt;=$J$2),1,0)</f>
        <v/>
      </c>
      <c r="N355">
        <f>IF(M355=1,_xlfn.STDEV.S(INDEX($J$5:$J$34,K355):INDEX($J$5:$J$34,K355+L355-1))/AVERAGE(INDEX($J$5:$J$34,K355):INDEX($J$5:$J$34,K355+L355-1)),"")</f>
        <v/>
      </c>
      <c r="O355">
        <f>IF(M355=1,IF(N355&lt;=COMBINACIONES_PH!$B$5,1,0),"")</f>
        <v/>
      </c>
      <c r="P355">
        <f>IF(M355=1,IF(O355=1,-L355,100)+N355+ROW()*0.000000000001,"")</f>
        <v/>
      </c>
    </row>
    <row r="356">
      <c r="K356" t="n">
        <v>19</v>
      </c>
      <c r="L356" t="n">
        <v>3</v>
      </c>
      <c r="M356">
        <f>IF(AND(L356&gt;=COMBINACIONES_PH!$B$9,K356+L356-1&lt;=$J$2),1,0)</f>
        <v/>
      </c>
      <c r="N356">
        <f>IF(M356=1,_xlfn.STDEV.S(INDEX($J$5:$J$34,K356):INDEX($J$5:$J$34,K356+L356-1))/AVERAGE(INDEX($J$5:$J$34,K356):INDEX($J$5:$J$34,K356+L356-1)),"")</f>
        <v/>
      </c>
      <c r="O356">
        <f>IF(M356=1,IF(N356&lt;=COMBINACIONES_PH!$B$5,1,0),"")</f>
        <v/>
      </c>
      <c r="P356">
        <f>IF(M356=1,IF(O356=1,-L356,100)+N356+ROW()*0.000000000001,"")</f>
        <v/>
      </c>
    </row>
    <row r="357">
      <c r="K357" t="n">
        <v>19</v>
      </c>
      <c r="L357" t="n">
        <v>4</v>
      </c>
      <c r="M357">
        <f>IF(AND(L357&gt;=COMBINACIONES_PH!$B$9,K357+L357-1&lt;=$J$2),1,0)</f>
        <v/>
      </c>
      <c r="N357">
        <f>IF(M357=1,_xlfn.STDEV.S(INDEX($J$5:$J$34,K357):INDEX($J$5:$J$34,K357+L357-1))/AVERAGE(INDEX($J$5:$J$34,K357):INDEX($J$5:$J$34,K357+L357-1)),"")</f>
        <v/>
      </c>
      <c r="O357">
        <f>IF(M357=1,IF(N357&lt;=COMBINACIONES_PH!$B$5,1,0),"")</f>
        <v/>
      </c>
      <c r="P357">
        <f>IF(M357=1,IF(O357=1,-L357,100)+N357+ROW()*0.000000000001,"")</f>
        <v/>
      </c>
    </row>
    <row r="358">
      <c r="K358" t="n">
        <v>19</v>
      </c>
      <c r="L358" t="n">
        <v>5</v>
      </c>
      <c r="M358">
        <f>IF(AND(L358&gt;=COMBINACIONES_PH!$B$9,K358+L358-1&lt;=$J$2),1,0)</f>
        <v/>
      </c>
      <c r="N358">
        <f>IF(M358=1,_xlfn.STDEV.S(INDEX($J$5:$J$34,K358):INDEX($J$5:$J$34,K358+L358-1))/AVERAGE(INDEX($J$5:$J$34,K358):INDEX($J$5:$J$34,K358+L358-1)),"")</f>
        <v/>
      </c>
      <c r="O358">
        <f>IF(M358=1,IF(N358&lt;=COMBINACIONES_PH!$B$5,1,0),"")</f>
        <v/>
      </c>
      <c r="P358">
        <f>IF(M358=1,IF(O358=1,-L358,100)+N358+ROW()*0.000000000001,"")</f>
        <v/>
      </c>
    </row>
    <row r="359">
      <c r="K359" t="n">
        <v>19</v>
      </c>
      <c r="L359" t="n">
        <v>6</v>
      </c>
      <c r="M359">
        <f>IF(AND(L359&gt;=COMBINACIONES_PH!$B$9,K359+L359-1&lt;=$J$2),1,0)</f>
        <v/>
      </c>
      <c r="N359">
        <f>IF(M359=1,_xlfn.STDEV.S(INDEX($J$5:$J$34,K359):INDEX($J$5:$J$34,K359+L359-1))/AVERAGE(INDEX($J$5:$J$34,K359):INDEX($J$5:$J$34,K359+L359-1)),"")</f>
        <v/>
      </c>
      <c r="O359">
        <f>IF(M359=1,IF(N359&lt;=COMBINACIONES_PH!$B$5,1,0),"")</f>
        <v/>
      </c>
      <c r="P359">
        <f>IF(M359=1,IF(O359=1,-L359,100)+N359+ROW()*0.000000000001,"")</f>
        <v/>
      </c>
    </row>
    <row r="360">
      <c r="K360" t="n">
        <v>19</v>
      </c>
      <c r="L360" t="n">
        <v>7</v>
      </c>
      <c r="M360">
        <f>IF(AND(L360&gt;=COMBINACIONES_PH!$B$9,K360+L360-1&lt;=$J$2),1,0)</f>
        <v/>
      </c>
      <c r="N360">
        <f>IF(M360=1,_xlfn.STDEV.S(INDEX($J$5:$J$34,K360):INDEX($J$5:$J$34,K360+L360-1))/AVERAGE(INDEX($J$5:$J$34,K360):INDEX($J$5:$J$34,K360+L360-1)),"")</f>
        <v/>
      </c>
      <c r="O360">
        <f>IF(M360=1,IF(N360&lt;=COMBINACIONES_PH!$B$5,1,0),"")</f>
        <v/>
      </c>
      <c r="P360">
        <f>IF(M360=1,IF(O360=1,-L360,100)+N360+ROW()*0.000000000001,"")</f>
        <v/>
      </c>
    </row>
    <row r="361">
      <c r="K361" t="n">
        <v>19</v>
      </c>
      <c r="L361" t="n">
        <v>8</v>
      </c>
      <c r="M361">
        <f>IF(AND(L361&gt;=COMBINACIONES_PH!$B$9,K361+L361-1&lt;=$J$2),1,0)</f>
        <v/>
      </c>
      <c r="N361">
        <f>IF(M361=1,_xlfn.STDEV.S(INDEX($J$5:$J$34,K361):INDEX($J$5:$J$34,K361+L361-1))/AVERAGE(INDEX($J$5:$J$34,K361):INDEX($J$5:$J$34,K361+L361-1)),"")</f>
        <v/>
      </c>
      <c r="O361">
        <f>IF(M361=1,IF(N361&lt;=COMBINACIONES_PH!$B$5,1,0),"")</f>
        <v/>
      </c>
      <c r="P361">
        <f>IF(M361=1,IF(O361=1,-L361,100)+N361+ROW()*0.000000000001,"")</f>
        <v/>
      </c>
    </row>
    <row r="362">
      <c r="K362" t="n">
        <v>19</v>
      </c>
      <c r="L362" t="n">
        <v>9</v>
      </c>
      <c r="M362">
        <f>IF(AND(L362&gt;=COMBINACIONES_PH!$B$9,K362+L362-1&lt;=$J$2),1,0)</f>
        <v/>
      </c>
      <c r="N362">
        <f>IF(M362=1,_xlfn.STDEV.S(INDEX($J$5:$J$34,K362):INDEX($J$5:$J$34,K362+L362-1))/AVERAGE(INDEX($J$5:$J$34,K362):INDEX($J$5:$J$34,K362+L362-1)),"")</f>
        <v/>
      </c>
      <c r="O362">
        <f>IF(M362=1,IF(N362&lt;=COMBINACIONES_PH!$B$5,1,0),"")</f>
        <v/>
      </c>
      <c r="P362">
        <f>IF(M362=1,IF(O362=1,-L362,100)+N362+ROW()*0.000000000001,"")</f>
        <v/>
      </c>
    </row>
    <row r="363">
      <c r="K363" t="n">
        <v>19</v>
      </c>
      <c r="L363" t="n">
        <v>10</v>
      </c>
      <c r="M363">
        <f>IF(AND(L363&gt;=COMBINACIONES_PH!$B$9,K363+L363-1&lt;=$J$2),1,0)</f>
        <v/>
      </c>
      <c r="N363">
        <f>IF(M363=1,_xlfn.STDEV.S(INDEX($J$5:$J$34,K363):INDEX($J$5:$J$34,K363+L363-1))/AVERAGE(INDEX($J$5:$J$34,K363):INDEX($J$5:$J$34,K363+L363-1)),"")</f>
        <v/>
      </c>
      <c r="O363">
        <f>IF(M363=1,IF(N363&lt;=COMBINACIONES_PH!$B$5,1,0),"")</f>
        <v/>
      </c>
      <c r="P363">
        <f>IF(M363=1,IF(O363=1,-L363,100)+N363+ROW()*0.000000000001,"")</f>
        <v/>
      </c>
    </row>
    <row r="364">
      <c r="K364" t="n">
        <v>19</v>
      </c>
      <c r="L364" t="n">
        <v>11</v>
      </c>
      <c r="M364">
        <f>IF(AND(L364&gt;=COMBINACIONES_PH!$B$9,K364+L364-1&lt;=$J$2),1,0)</f>
        <v/>
      </c>
      <c r="N364">
        <f>IF(M364=1,_xlfn.STDEV.S(INDEX($J$5:$J$34,K364):INDEX($J$5:$J$34,K364+L364-1))/AVERAGE(INDEX($J$5:$J$34,K364):INDEX($J$5:$J$34,K364+L364-1)),"")</f>
        <v/>
      </c>
      <c r="O364">
        <f>IF(M364=1,IF(N364&lt;=COMBINACIONES_PH!$B$5,1,0),"")</f>
        <v/>
      </c>
      <c r="P364">
        <f>IF(M364=1,IF(O364=1,-L364,100)+N364+ROW()*0.000000000001,"")</f>
        <v/>
      </c>
    </row>
    <row r="365">
      <c r="K365" t="n">
        <v>19</v>
      </c>
      <c r="L365" t="n">
        <v>12</v>
      </c>
      <c r="M365">
        <f>IF(AND(L365&gt;=COMBINACIONES_PH!$B$9,K365+L365-1&lt;=$J$2),1,0)</f>
        <v/>
      </c>
      <c r="N365">
        <f>IF(M365=1,_xlfn.STDEV.S(INDEX($J$5:$J$34,K365):INDEX($J$5:$J$34,K365+L365-1))/AVERAGE(INDEX($J$5:$J$34,K365):INDEX($J$5:$J$34,K365+L365-1)),"")</f>
        <v/>
      </c>
      <c r="O365">
        <f>IF(M365=1,IF(N365&lt;=COMBINACIONES_PH!$B$5,1,0),"")</f>
        <v/>
      </c>
      <c r="P365">
        <f>IF(M365=1,IF(O365=1,-L365,100)+N365+ROW()*0.000000000001,"")</f>
        <v/>
      </c>
    </row>
    <row r="366">
      <c r="K366" t="n">
        <v>20</v>
      </c>
      <c r="L366" t="n">
        <v>3</v>
      </c>
      <c r="M366">
        <f>IF(AND(L366&gt;=COMBINACIONES_PH!$B$9,K366+L366-1&lt;=$J$2),1,0)</f>
        <v/>
      </c>
      <c r="N366">
        <f>IF(M366=1,_xlfn.STDEV.S(INDEX($J$5:$J$34,K366):INDEX($J$5:$J$34,K366+L366-1))/AVERAGE(INDEX($J$5:$J$34,K366):INDEX($J$5:$J$34,K366+L366-1)),"")</f>
        <v/>
      </c>
      <c r="O366">
        <f>IF(M366=1,IF(N366&lt;=COMBINACIONES_PH!$B$5,1,0),"")</f>
        <v/>
      </c>
      <c r="P366">
        <f>IF(M366=1,IF(O366=1,-L366,100)+N366+ROW()*0.000000000001,"")</f>
        <v/>
      </c>
    </row>
    <row r="367">
      <c r="K367" t="n">
        <v>20</v>
      </c>
      <c r="L367" t="n">
        <v>4</v>
      </c>
      <c r="M367">
        <f>IF(AND(L367&gt;=COMBINACIONES_PH!$B$9,K367+L367-1&lt;=$J$2),1,0)</f>
        <v/>
      </c>
      <c r="N367">
        <f>IF(M367=1,_xlfn.STDEV.S(INDEX($J$5:$J$34,K367):INDEX($J$5:$J$34,K367+L367-1))/AVERAGE(INDEX($J$5:$J$34,K367):INDEX($J$5:$J$34,K367+L367-1)),"")</f>
        <v/>
      </c>
      <c r="O367">
        <f>IF(M367=1,IF(N367&lt;=COMBINACIONES_PH!$B$5,1,0),"")</f>
        <v/>
      </c>
      <c r="P367">
        <f>IF(M367=1,IF(O367=1,-L367,100)+N367+ROW()*0.000000000001,"")</f>
        <v/>
      </c>
    </row>
    <row r="368">
      <c r="K368" t="n">
        <v>20</v>
      </c>
      <c r="L368" t="n">
        <v>5</v>
      </c>
      <c r="M368">
        <f>IF(AND(L368&gt;=COMBINACIONES_PH!$B$9,K368+L368-1&lt;=$J$2),1,0)</f>
        <v/>
      </c>
      <c r="N368">
        <f>IF(M368=1,_xlfn.STDEV.S(INDEX($J$5:$J$34,K368):INDEX($J$5:$J$34,K368+L368-1))/AVERAGE(INDEX($J$5:$J$34,K368):INDEX($J$5:$J$34,K368+L368-1)),"")</f>
        <v/>
      </c>
      <c r="O368">
        <f>IF(M368=1,IF(N368&lt;=COMBINACIONES_PH!$B$5,1,0),"")</f>
        <v/>
      </c>
      <c r="P368">
        <f>IF(M368=1,IF(O368=1,-L368,100)+N368+ROW()*0.000000000001,"")</f>
        <v/>
      </c>
    </row>
    <row r="369">
      <c r="K369" t="n">
        <v>20</v>
      </c>
      <c r="L369" t="n">
        <v>6</v>
      </c>
      <c r="M369">
        <f>IF(AND(L369&gt;=COMBINACIONES_PH!$B$9,K369+L369-1&lt;=$J$2),1,0)</f>
        <v/>
      </c>
      <c r="N369">
        <f>IF(M369=1,_xlfn.STDEV.S(INDEX($J$5:$J$34,K369):INDEX($J$5:$J$34,K369+L369-1))/AVERAGE(INDEX($J$5:$J$34,K369):INDEX($J$5:$J$34,K369+L369-1)),"")</f>
        <v/>
      </c>
      <c r="O369">
        <f>IF(M369=1,IF(N369&lt;=COMBINACIONES_PH!$B$5,1,0),"")</f>
        <v/>
      </c>
      <c r="P369">
        <f>IF(M369=1,IF(O369=1,-L369,100)+N369+ROW()*0.000000000001,"")</f>
        <v/>
      </c>
    </row>
    <row r="370">
      <c r="K370" t="n">
        <v>20</v>
      </c>
      <c r="L370" t="n">
        <v>7</v>
      </c>
      <c r="M370">
        <f>IF(AND(L370&gt;=COMBINACIONES_PH!$B$9,K370+L370-1&lt;=$J$2),1,0)</f>
        <v/>
      </c>
      <c r="N370">
        <f>IF(M370=1,_xlfn.STDEV.S(INDEX($J$5:$J$34,K370):INDEX($J$5:$J$34,K370+L370-1))/AVERAGE(INDEX($J$5:$J$34,K370):INDEX($J$5:$J$34,K370+L370-1)),"")</f>
        <v/>
      </c>
      <c r="O370">
        <f>IF(M370=1,IF(N370&lt;=COMBINACIONES_PH!$B$5,1,0),"")</f>
        <v/>
      </c>
      <c r="P370">
        <f>IF(M370=1,IF(O370=1,-L370,100)+N370+ROW()*0.000000000001,"")</f>
        <v/>
      </c>
    </row>
    <row r="371">
      <c r="K371" t="n">
        <v>20</v>
      </c>
      <c r="L371" t="n">
        <v>8</v>
      </c>
      <c r="M371">
        <f>IF(AND(L371&gt;=COMBINACIONES_PH!$B$9,K371+L371-1&lt;=$J$2),1,0)</f>
        <v/>
      </c>
      <c r="N371">
        <f>IF(M371=1,_xlfn.STDEV.S(INDEX($J$5:$J$34,K371):INDEX($J$5:$J$34,K371+L371-1))/AVERAGE(INDEX($J$5:$J$34,K371):INDEX($J$5:$J$34,K371+L371-1)),"")</f>
        <v/>
      </c>
      <c r="O371">
        <f>IF(M371=1,IF(N371&lt;=COMBINACIONES_PH!$B$5,1,0),"")</f>
        <v/>
      </c>
      <c r="P371">
        <f>IF(M371=1,IF(O371=1,-L371,100)+N371+ROW()*0.000000000001,"")</f>
        <v/>
      </c>
    </row>
    <row r="372">
      <c r="K372" t="n">
        <v>20</v>
      </c>
      <c r="L372" t="n">
        <v>9</v>
      </c>
      <c r="M372">
        <f>IF(AND(L372&gt;=COMBINACIONES_PH!$B$9,K372+L372-1&lt;=$J$2),1,0)</f>
        <v/>
      </c>
      <c r="N372">
        <f>IF(M372=1,_xlfn.STDEV.S(INDEX($J$5:$J$34,K372):INDEX($J$5:$J$34,K372+L372-1))/AVERAGE(INDEX($J$5:$J$34,K372):INDEX($J$5:$J$34,K372+L372-1)),"")</f>
        <v/>
      </c>
      <c r="O372">
        <f>IF(M372=1,IF(N372&lt;=COMBINACIONES_PH!$B$5,1,0),"")</f>
        <v/>
      </c>
      <c r="P372">
        <f>IF(M372=1,IF(O372=1,-L372,100)+N372+ROW()*0.000000000001,"")</f>
        <v/>
      </c>
    </row>
    <row r="373">
      <c r="K373" t="n">
        <v>20</v>
      </c>
      <c r="L373" t="n">
        <v>10</v>
      </c>
      <c r="M373">
        <f>IF(AND(L373&gt;=COMBINACIONES_PH!$B$9,K373+L373-1&lt;=$J$2),1,0)</f>
        <v/>
      </c>
      <c r="N373">
        <f>IF(M373=1,_xlfn.STDEV.S(INDEX($J$5:$J$34,K373):INDEX($J$5:$J$34,K373+L373-1))/AVERAGE(INDEX($J$5:$J$34,K373):INDEX($J$5:$J$34,K373+L373-1)),"")</f>
        <v/>
      </c>
      <c r="O373">
        <f>IF(M373=1,IF(N373&lt;=COMBINACIONES_PH!$B$5,1,0),"")</f>
        <v/>
      </c>
      <c r="P373">
        <f>IF(M373=1,IF(O373=1,-L373,100)+N373+ROW()*0.000000000001,"")</f>
        <v/>
      </c>
    </row>
    <row r="374">
      <c r="K374" t="n">
        <v>20</v>
      </c>
      <c r="L374" t="n">
        <v>11</v>
      </c>
      <c r="M374">
        <f>IF(AND(L374&gt;=COMBINACIONES_PH!$B$9,K374+L374-1&lt;=$J$2),1,0)</f>
        <v/>
      </c>
      <c r="N374">
        <f>IF(M374=1,_xlfn.STDEV.S(INDEX($J$5:$J$34,K374):INDEX($J$5:$J$34,K374+L374-1))/AVERAGE(INDEX($J$5:$J$34,K374):INDEX($J$5:$J$34,K374+L374-1)),"")</f>
        <v/>
      </c>
      <c r="O374">
        <f>IF(M374=1,IF(N374&lt;=COMBINACIONES_PH!$B$5,1,0),"")</f>
        <v/>
      </c>
      <c r="P374">
        <f>IF(M374=1,IF(O374=1,-L374,100)+N374+ROW()*0.000000000001,"")</f>
        <v/>
      </c>
    </row>
    <row r="375">
      <c r="K375" t="n">
        <v>21</v>
      </c>
      <c r="L375" t="n">
        <v>3</v>
      </c>
      <c r="M375">
        <f>IF(AND(L375&gt;=COMBINACIONES_PH!$B$9,K375+L375-1&lt;=$J$2),1,0)</f>
        <v/>
      </c>
      <c r="N375">
        <f>IF(M375=1,_xlfn.STDEV.S(INDEX($J$5:$J$34,K375):INDEX($J$5:$J$34,K375+L375-1))/AVERAGE(INDEX($J$5:$J$34,K375):INDEX($J$5:$J$34,K375+L375-1)),"")</f>
        <v/>
      </c>
      <c r="O375">
        <f>IF(M375=1,IF(N375&lt;=COMBINACIONES_PH!$B$5,1,0),"")</f>
        <v/>
      </c>
      <c r="P375">
        <f>IF(M375=1,IF(O375=1,-L375,100)+N375+ROW()*0.000000000001,"")</f>
        <v/>
      </c>
    </row>
    <row r="376">
      <c r="K376" t="n">
        <v>21</v>
      </c>
      <c r="L376" t="n">
        <v>4</v>
      </c>
      <c r="M376">
        <f>IF(AND(L376&gt;=COMBINACIONES_PH!$B$9,K376+L376-1&lt;=$J$2),1,0)</f>
        <v/>
      </c>
      <c r="N376">
        <f>IF(M376=1,_xlfn.STDEV.S(INDEX($J$5:$J$34,K376):INDEX($J$5:$J$34,K376+L376-1))/AVERAGE(INDEX($J$5:$J$34,K376):INDEX($J$5:$J$34,K376+L376-1)),"")</f>
        <v/>
      </c>
      <c r="O376">
        <f>IF(M376=1,IF(N376&lt;=COMBINACIONES_PH!$B$5,1,0),"")</f>
        <v/>
      </c>
      <c r="P376">
        <f>IF(M376=1,IF(O376=1,-L376,100)+N376+ROW()*0.000000000001,"")</f>
        <v/>
      </c>
    </row>
    <row r="377">
      <c r="K377" t="n">
        <v>21</v>
      </c>
      <c r="L377" t="n">
        <v>5</v>
      </c>
      <c r="M377">
        <f>IF(AND(L377&gt;=COMBINACIONES_PH!$B$9,K377+L377-1&lt;=$J$2),1,0)</f>
        <v/>
      </c>
      <c r="N377">
        <f>IF(M377=1,_xlfn.STDEV.S(INDEX($J$5:$J$34,K377):INDEX($J$5:$J$34,K377+L377-1))/AVERAGE(INDEX($J$5:$J$34,K377):INDEX($J$5:$J$34,K377+L377-1)),"")</f>
        <v/>
      </c>
      <c r="O377">
        <f>IF(M377=1,IF(N377&lt;=COMBINACIONES_PH!$B$5,1,0),"")</f>
        <v/>
      </c>
      <c r="P377">
        <f>IF(M377=1,IF(O377=1,-L377,100)+N377+ROW()*0.000000000001,"")</f>
        <v/>
      </c>
    </row>
    <row r="378">
      <c r="K378" t="n">
        <v>21</v>
      </c>
      <c r="L378" t="n">
        <v>6</v>
      </c>
      <c r="M378">
        <f>IF(AND(L378&gt;=COMBINACIONES_PH!$B$9,K378+L378-1&lt;=$J$2),1,0)</f>
        <v/>
      </c>
      <c r="N378">
        <f>IF(M378=1,_xlfn.STDEV.S(INDEX($J$5:$J$34,K378):INDEX($J$5:$J$34,K378+L378-1))/AVERAGE(INDEX($J$5:$J$34,K378):INDEX($J$5:$J$34,K378+L378-1)),"")</f>
        <v/>
      </c>
      <c r="O378">
        <f>IF(M378=1,IF(N378&lt;=COMBINACIONES_PH!$B$5,1,0),"")</f>
        <v/>
      </c>
      <c r="P378">
        <f>IF(M378=1,IF(O378=1,-L378,100)+N378+ROW()*0.000000000001,"")</f>
        <v/>
      </c>
    </row>
    <row r="379">
      <c r="K379" t="n">
        <v>21</v>
      </c>
      <c r="L379" t="n">
        <v>7</v>
      </c>
      <c r="M379">
        <f>IF(AND(L379&gt;=COMBINACIONES_PH!$B$9,K379+L379-1&lt;=$J$2),1,0)</f>
        <v/>
      </c>
      <c r="N379">
        <f>IF(M379=1,_xlfn.STDEV.S(INDEX($J$5:$J$34,K379):INDEX($J$5:$J$34,K379+L379-1))/AVERAGE(INDEX($J$5:$J$34,K379):INDEX($J$5:$J$34,K379+L379-1)),"")</f>
        <v/>
      </c>
      <c r="O379">
        <f>IF(M379=1,IF(N379&lt;=COMBINACIONES_PH!$B$5,1,0),"")</f>
        <v/>
      </c>
      <c r="P379">
        <f>IF(M379=1,IF(O379=1,-L379,100)+N379+ROW()*0.000000000001,"")</f>
        <v/>
      </c>
    </row>
    <row r="380">
      <c r="K380" t="n">
        <v>21</v>
      </c>
      <c r="L380" t="n">
        <v>8</v>
      </c>
      <c r="M380">
        <f>IF(AND(L380&gt;=COMBINACIONES_PH!$B$9,K380+L380-1&lt;=$J$2),1,0)</f>
        <v/>
      </c>
      <c r="N380">
        <f>IF(M380=1,_xlfn.STDEV.S(INDEX($J$5:$J$34,K380):INDEX($J$5:$J$34,K380+L380-1))/AVERAGE(INDEX($J$5:$J$34,K380):INDEX($J$5:$J$34,K380+L380-1)),"")</f>
        <v/>
      </c>
      <c r="O380">
        <f>IF(M380=1,IF(N380&lt;=COMBINACIONES_PH!$B$5,1,0),"")</f>
        <v/>
      </c>
      <c r="P380">
        <f>IF(M380=1,IF(O380=1,-L380,100)+N380+ROW()*0.000000000001,"")</f>
        <v/>
      </c>
    </row>
    <row r="381">
      <c r="K381" t="n">
        <v>21</v>
      </c>
      <c r="L381" t="n">
        <v>9</v>
      </c>
      <c r="M381">
        <f>IF(AND(L381&gt;=COMBINACIONES_PH!$B$9,K381+L381-1&lt;=$J$2),1,0)</f>
        <v/>
      </c>
      <c r="N381">
        <f>IF(M381=1,_xlfn.STDEV.S(INDEX($J$5:$J$34,K381):INDEX($J$5:$J$34,K381+L381-1))/AVERAGE(INDEX($J$5:$J$34,K381):INDEX($J$5:$J$34,K381+L381-1)),"")</f>
        <v/>
      </c>
      <c r="O381">
        <f>IF(M381=1,IF(N381&lt;=COMBINACIONES_PH!$B$5,1,0),"")</f>
        <v/>
      </c>
      <c r="P381">
        <f>IF(M381=1,IF(O381=1,-L381,100)+N381+ROW()*0.000000000001,"")</f>
        <v/>
      </c>
    </row>
    <row r="382">
      <c r="K382" t="n">
        <v>21</v>
      </c>
      <c r="L382" t="n">
        <v>10</v>
      </c>
      <c r="M382">
        <f>IF(AND(L382&gt;=COMBINACIONES_PH!$B$9,K382+L382-1&lt;=$J$2),1,0)</f>
        <v/>
      </c>
      <c r="N382">
        <f>IF(M382=1,_xlfn.STDEV.S(INDEX($J$5:$J$34,K382):INDEX($J$5:$J$34,K382+L382-1))/AVERAGE(INDEX($J$5:$J$34,K382):INDEX($J$5:$J$34,K382+L382-1)),"")</f>
        <v/>
      </c>
      <c r="O382">
        <f>IF(M382=1,IF(N382&lt;=COMBINACIONES_PH!$B$5,1,0),"")</f>
        <v/>
      </c>
      <c r="P382">
        <f>IF(M382=1,IF(O382=1,-L382,100)+N382+ROW()*0.000000000001,"")</f>
        <v/>
      </c>
    </row>
    <row r="383">
      <c r="K383" t="n">
        <v>22</v>
      </c>
      <c r="L383" t="n">
        <v>3</v>
      </c>
      <c r="M383">
        <f>IF(AND(L383&gt;=COMBINACIONES_PH!$B$9,K383+L383-1&lt;=$J$2),1,0)</f>
        <v/>
      </c>
      <c r="N383">
        <f>IF(M383=1,_xlfn.STDEV.S(INDEX($J$5:$J$34,K383):INDEX($J$5:$J$34,K383+L383-1))/AVERAGE(INDEX($J$5:$J$34,K383):INDEX($J$5:$J$34,K383+L383-1)),"")</f>
        <v/>
      </c>
      <c r="O383">
        <f>IF(M383=1,IF(N383&lt;=COMBINACIONES_PH!$B$5,1,0),"")</f>
        <v/>
      </c>
      <c r="P383">
        <f>IF(M383=1,IF(O383=1,-L383,100)+N383+ROW()*0.000000000001,"")</f>
        <v/>
      </c>
    </row>
    <row r="384">
      <c r="K384" t="n">
        <v>22</v>
      </c>
      <c r="L384" t="n">
        <v>4</v>
      </c>
      <c r="M384">
        <f>IF(AND(L384&gt;=COMBINACIONES_PH!$B$9,K384+L384-1&lt;=$J$2),1,0)</f>
        <v/>
      </c>
      <c r="N384">
        <f>IF(M384=1,_xlfn.STDEV.S(INDEX($J$5:$J$34,K384):INDEX($J$5:$J$34,K384+L384-1))/AVERAGE(INDEX($J$5:$J$34,K384):INDEX($J$5:$J$34,K384+L384-1)),"")</f>
        <v/>
      </c>
      <c r="O384">
        <f>IF(M384=1,IF(N384&lt;=COMBINACIONES_PH!$B$5,1,0),"")</f>
        <v/>
      </c>
      <c r="P384">
        <f>IF(M384=1,IF(O384=1,-L384,100)+N384+ROW()*0.000000000001,"")</f>
        <v/>
      </c>
    </row>
    <row r="385">
      <c r="K385" t="n">
        <v>22</v>
      </c>
      <c r="L385" t="n">
        <v>5</v>
      </c>
      <c r="M385">
        <f>IF(AND(L385&gt;=COMBINACIONES_PH!$B$9,K385+L385-1&lt;=$J$2),1,0)</f>
        <v/>
      </c>
      <c r="N385">
        <f>IF(M385=1,_xlfn.STDEV.S(INDEX($J$5:$J$34,K385):INDEX($J$5:$J$34,K385+L385-1))/AVERAGE(INDEX($J$5:$J$34,K385):INDEX($J$5:$J$34,K385+L385-1)),"")</f>
        <v/>
      </c>
      <c r="O385">
        <f>IF(M385=1,IF(N385&lt;=COMBINACIONES_PH!$B$5,1,0),"")</f>
        <v/>
      </c>
      <c r="P385">
        <f>IF(M385=1,IF(O385=1,-L385,100)+N385+ROW()*0.000000000001,"")</f>
        <v/>
      </c>
    </row>
    <row r="386">
      <c r="K386" t="n">
        <v>22</v>
      </c>
      <c r="L386" t="n">
        <v>6</v>
      </c>
      <c r="M386">
        <f>IF(AND(L386&gt;=COMBINACIONES_PH!$B$9,K386+L386-1&lt;=$J$2),1,0)</f>
        <v/>
      </c>
      <c r="N386">
        <f>IF(M386=1,_xlfn.STDEV.S(INDEX($J$5:$J$34,K386):INDEX($J$5:$J$34,K386+L386-1))/AVERAGE(INDEX($J$5:$J$34,K386):INDEX($J$5:$J$34,K386+L386-1)),"")</f>
        <v/>
      </c>
      <c r="O386">
        <f>IF(M386=1,IF(N386&lt;=COMBINACIONES_PH!$B$5,1,0),"")</f>
        <v/>
      </c>
      <c r="P386">
        <f>IF(M386=1,IF(O386=1,-L386,100)+N386+ROW()*0.000000000001,"")</f>
        <v/>
      </c>
    </row>
    <row r="387">
      <c r="K387" t="n">
        <v>22</v>
      </c>
      <c r="L387" t="n">
        <v>7</v>
      </c>
      <c r="M387">
        <f>IF(AND(L387&gt;=COMBINACIONES_PH!$B$9,K387+L387-1&lt;=$J$2),1,0)</f>
        <v/>
      </c>
      <c r="N387">
        <f>IF(M387=1,_xlfn.STDEV.S(INDEX($J$5:$J$34,K387):INDEX($J$5:$J$34,K387+L387-1))/AVERAGE(INDEX($J$5:$J$34,K387):INDEX($J$5:$J$34,K387+L387-1)),"")</f>
        <v/>
      </c>
      <c r="O387">
        <f>IF(M387=1,IF(N387&lt;=COMBINACIONES_PH!$B$5,1,0),"")</f>
        <v/>
      </c>
      <c r="P387">
        <f>IF(M387=1,IF(O387=1,-L387,100)+N387+ROW()*0.000000000001,"")</f>
        <v/>
      </c>
    </row>
    <row r="388">
      <c r="K388" t="n">
        <v>22</v>
      </c>
      <c r="L388" t="n">
        <v>8</v>
      </c>
      <c r="M388">
        <f>IF(AND(L388&gt;=COMBINACIONES_PH!$B$9,K388+L388-1&lt;=$J$2),1,0)</f>
        <v/>
      </c>
      <c r="N388">
        <f>IF(M388=1,_xlfn.STDEV.S(INDEX($J$5:$J$34,K388):INDEX($J$5:$J$34,K388+L388-1))/AVERAGE(INDEX($J$5:$J$34,K388):INDEX($J$5:$J$34,K388+L388-1)),"")</f>
        <v/>
      </c>
      <c r="O388">
        <f>IF(M388=1,IF(N388&lt;=COMBINACIONES_PH!$B$5,1,0),"")</f>
        <v/>
      </c>
      <c r="P388">
        <f>IF(M388=1,IF(O388=1,-L388,100)+N388+ROW()*0.000000000001,"")</f>
        <v/>
      </c>
    </row>
    <row r="389">
      <c r="K389" t="n">
        <v>22</v>
      </c>
      <c r="L389" t="n">
        <v>9</v>
      </c>
      <c r="M389">
        <f>IF(AND(L389&gt;=COMBINACIONES_PH!$B$9,K389+L389-1&lt;=$J$2),1,0)</f>
        <v/>
      </c>
      <c r="N389">
        <f>IF(M389=1,_xlfn.STDEV.S(INDEX($J$5:$J$34,K389):INDEX($J$5:$J$34,K389+L389-1))/AVERAGE(INDEX($J$5:$J$34,K389):INDEX($J$5:$J$34,K389+L389-1)),"")</f>
        <v/>
      </c>
      <c r="O389">
        <f>IF(M389=1,IF(N389&lt;=COMBINACIONES_PH!$B$5,1,0),"")</f>
        <v/>
      </c>
      <c r="P389">
        <f>IF(M389=1,IF(O389=1,-L389,100)+N389+ROW()*0.000000000001,"")</f>
        <v/>
      </c>
    </row>
    <row r="390">
      <c r="K390" t="n">
        <v>23</v>
      </c>
      <c r="L390" t="n">
        <v>3</v>
      </c>
      <c r="M390">
        <f>IF(AND(L390&gt;=COMBINACIONES_PH!$B$9,K390+L390-1&lt;=$J$2),1,0)</f>
        <v/>
      </c>
      <c r="N390">
        <f>IF(M390=1,_xlfn.STDEV.S(INDEX($J$5:$J$34,K390):INDEX($J$5:$J$34,K390+L390-1))/AVERAGE(INDEX($J$5:$J$34,K390):INDEX($J$5:$J$34,K390+L390-1)),"")</f>
        <v/>
      </c>
      <c r="O390">
        <f>IF(M390=1,IF(N390&lt;=COMBINACIONES_PH!$B$5,1,0),"")</f>
        <v/>
      </c>
      <c r="P390">
        <f>IF(M390=1,IF(O390=1,-L390,100)+N390+ROW()*0.000000000001,"")</f>
        <v/>
      </c>
    </row>
    <row r="391">
      <c r="K391" t="n">
        <v>23</v>
      </c>
      <c r="L391" t="n">
        <v>4</v>
      </c>
      <c r="M391">
        <f>IF(AND(L391&gt;=COMBINACIONES_PH!$B$9,K391+L391-1&lt;=$J$2),1,0)</f>
        <v/>
      </c>
      <c r="N391">
        <f>IF(M391=1,_xlfn.STDEV.S(INDEX($J$5:$J$34,K391):INDEX($J$5:$J$34,K391+L391-1))/AVERAGE(INDEX($J$5:$J$34,K391):INDEX($J$5:$J$34,K391+L391-1)),"")</f>
        <v/>
      </c>
      <c r="O391">
        <f>IF(M391=1,IF(N391&lt;=COMBINACIONES_PH!$B$5,1,0),"")</f>
        <v/>
      </c>
      <c r="P391">
        <f>IF(M391=1,IF(O391=1,-L391,100)+N391+ROW()*0.000000000001,"")</f>
        <v/>
      </c>
    </row>
    <row r="392">
      <c r="K392" t="n">
        <v>23</v>
      </c>
      <c r="L392" t="n">
        <v>5</v>
      </c>
      <c r="M392">
        <f>IF(AND(L392&gt;=COMBINACIONES_PH!$B$9,K392+L392-1&lt;=$J$2),1,0)</f>
        <v/>
      </c>
      <c r="N392">
        <f>IF(M392=1,_xlfn.STDEV.S(INDEX($J$5:$J$34,K392):INDEX($J$5:$J$34,K392+L392-1))/AVERAGE(INDEX($J$5:$J$34,K392):INDEX($J$5:$J$34,K392+L392-1)),"")</f>
        <v/>
      </c>
      <c r="O392">
        <f>IF(M392=1,IF(N392&lt;=COMBINACIONES_PH!$B$5,1,0),"")</f>
        <v/>
      </c>
      <c r="P392">
        <f>IF(M392=1,IF(O392=1,-L392,100)+N392+ROW()*0.000000000001,"")</f>
        <v/>
      </c>
    </row>
    <row r="393">
      <c r="K393" t="n">
        <v>23</v>
      </c>
      <c r="L393" t="n">
        <v>6</v>
      </c>
      <c r="M393">
        <f>IF(AND(L393&gt;=COMBINACIONES_PH!$B$9,K393+L393-1&lt;=$J$2),1,0)</f>
        <v/>
      </c>
      <c r="N393">
        <f>IF(M393=1,_xlfn.STDEV.S(INDEX($J$5:$J$34,K393):INDEX($J$5:$J$34,K393+L393-1))/AVERAGE(INDEX($J$5:$J$34,K393):INDEX($J$5:$J$34,K393+L393-1)),"")</f>
        <v/>
      </c>
      <c r="O393">
        <f>IF(M393=1,IF(N393&lt;=COMBINACIONES_PH!$B$5,1,0),"")</f>
        <v/>
      </c>
      <c r="P393">
        <f>IF(M393=1,IF(O393=1,-L393,100)+N393+ROW()*0.000000000001,"")</f>
        <v/>
      </c>
    </row>
    <row r="394">
      <c r="K394" t="n">
        <v>23</v>
      </c>
      <c r="L394" t="n">
        <v>7</v>
      </c>
      <c r="M394">
        <f>IF(AND(L394&gt;=COMBINACIONES_PH!$B$9,K394+L394-1&lt;=$J$2),1,0)</f>
        <v/>
      </c>
      <c r="N394">
        <f>IF(M394=1,_xlfn.STDEV.S(INDEX($J$5:$J$34,K394):INDEX($J$5:$J$34,K394+L394-1))/AVERAGE(INDEX($J$5:$J$34,K394):INDEX($J$5:$J$34,K394+L394-1)),"")</f>
        <v/>
      </c>
      <c r="O394">
        <f>IF(M394=1,IF(N394&lt;=COMBINACIONES_PH!$B$5,1,0),"")</f>
        <v/>
      </c>
      <c r="P394">
        <f>IF(M394=1,IF(O394=1,-L394,100)+N394+ROW()*0.000000000001,"")</f>
        <v/>
      </c>
    </row>
    <row r="395">
      <c r="K395" t="n">
        <v>23</v>
      </c>
      <c r="L395" t="n">
        <v>8</v>
      </c>
      <c r="M395">
        <f>IF(AND(L395&gt;=COMBINACIONES_PH!$B$9,K395+L395-1&lt;=$J$2),1,0)</f>
        <v/>
      </c>
      <c r="N395">
        <f>IF(M395=1,_xlfn.STDEV.S(INDEX($J$5:$J$34,K395):INDEX($J$5:$J$34,K395+L395-1))/AVERAGE(INDEX($J$5:$J$34,K395):INDEX($J$5:$J$34,K395+L395-1)),"")</f>
        <v/>
      </c>
      <c r="O395">
        <f>IF(M395=1,IF(N395&lt;=COMBINACIONES_PH!$B$5,1,0),"")</f>
        <v/>
      </c>
      <c r="P395">
        <f>IF(M395=1,IF(O395=1,-L395,100)+N395+ROW()*0.000000000001,"")</f>
        <v/>
      </c>
    </row>
    <row r="396">
      <c r="K396" t="n">
        <v>24</v>
      </c>
      <c r="L396" t="n">
        <v>3</v>
      </c>
      <c r="M396">
        <f>IF(AND(L396&gt;=COMBINACIONES_PH!$B$9,K396+L396-1&lt;=$J$2),1,0)</f>
        <v/>
      </c>
      <c r="N396">
        <f>IF(M396=1,_xlfn.STDEV.S(INDEX($J$5:$J$34,K396):INDEX($J$5:$J$34,K396+L396-1))/AVERAGE(INDEX($J$5:$J$34,K396):INDEX($J$5:$J$34,K396+L396-1)),"")</f>
        <v/>
      </c>
      <c r="O396">
        <f>IF(M396=1,IF(N396&lt;=COMBINACIONES_PH!$B$5,1,0),"")</f>
        <v/>
      </c>
      <c r="P396">
        <f>IF(M396=1,IF(O396=1,-L396,100)+N396+ROW()*0.000000000001,"")</f>
        <v/>
      </c>
    </row>
    <row r="397">
      <c r="K397" t="n">
        <v>24</v>
      </c>
      <c r="L397" t="n">
        <v>4</v>
      </c>
      <c r="M397">
        <f>IF(AND(L397&gt;=COMBINACIONES_PH!$B$9,K397+L397-1&lt;=$J$2),1,0)</f>
        <v/>
      </c>
      <c r="N397">
        <f>IF(M397=1,_xlfn.STDEV.S(INDEX($J$5:$J$34,K397):INDEX($J$5:$J$34,K397+L397-1))/AVERAGE(INDEX($J$5:$J$34,K397):INDEX($J$5:$J$34,K397+L397-1)),"")</f>
        <v/>
      </c>
      <c r="O397">
        <f>IF(M397=1,IF(N397&lt;=COMBINACIONES_PH!$B$5,1,0),"")</f>
        <v/>
      </c>
      <c r="P397">
        <f>IF(M397=1,IF(O397=1,-L397,100)+N397+ROW()*0.000000000001,"")</f>
        <v/>
      </c>
    </row>
    <row r="398">
      <c r="K398" t="n">
        <v>24</v>
      </c>
      <c r="L398" t="n">
        <v>5</v>
      </c>
      <c r="M398">
        <f>IF(AND(L398&gt;=COMBINACIONES_PH!$B$9,K398+L398-1&lt;=$J$2),1,0)</f>
        <v/>
      </c>
      <c r="N398">
        <f>IF(M398=1,_xlfn.STDEV.S(INDEX($J$5:$J$34,K398):INDEX($J$5:$J$34,K398+L398-1))/AVERAGE(INDEX($J$5:$J$34,K398):INDEX($J$5:$J$34,K398+L398-1)),"")</f>
        <v/>
      </c>
      <c r="O398">
        <f>IF(M398=1,IF(N398&lt;=COMBINACIONES_PH!$B$5,1,0),"")</f>
        <v/>
      </c>
      <c r="P398">
        <f>IF(M398=1,IF(O398=1,-L398,100)+N398+ROW()*0.000000000001,"")</f>
        <v/>
      </c>
    </row>
    <row r="399">
      <c r="K399" t="n">
        <v>24</v>
      </c>
      <c r="L399" t="n">
        <v>6</v>
      </c>
      <c r="M399">
        <f>IF(AND(L399&gt;=COMBINACIONES_PH!$B$9,K399+L399-1&lt;=$J$2),1,0)</f>
        <v/>
      </c>
      <c r="N399">
        <f>IF(M399=1,_xlfn.STDEV.S(INDEX($J$5:$J$34,K399):INDEX($J$5:$J$34,K399+L399-1))/AVERAGE(INDEX($J$5:$J$34,K399):INDEX($J$5:$J$34,K399+L399-1)),"")</f>
        <v/>
      </c>
      <c r="O399">
        <f>IF(M399=1,IF(N399&lt;=COMBINACIONES_PH!$B$5,1,0),"")</f>
        <v/>
      </c>
      <c r="P399">
        <f>IF(M399=1,IF(O399=1,-L399,100)+N399+ROW()*0.000000000001,"")</f>
        <v/>
      </c>
    </row>
    <row r="400">
      <c r="K400" t="n">
        <v>24</v>
      </c>
      <c r="L400" t="n">
        <v>7</v>
      </c>
      <c r="M400">
        <f>IF(AND(L400&gt;=COMBINACIONES_PH!$B$9,K400+L400-1&lt;=$J$2),1,0)</f>
        <v/>
      </c>
      <c r="N400">
        <f>IF(M400=1,_xlfn.STDEV.S(INDEX($J$5:$J$34,K400):INDEX($J$5:$J$34,K400+L400-1))/AVERAGE(INDEX($J$5:$J$34,K400):INDEX($J$5:$J$34,K400+L400-1)),"")</f>
        <v/>
      </c>
      <c r="O400">
        <f>IF(M400=1,IF(N400&lt;=COMBINACIONES_PH!$B$5,1,0),"")</f>
        <v/>
      </c>
      <c r="P400">
        <f>IF(M400=1,IF(O400=1,-L400,100)+N400+ROW()*0.000000000001,"")</f>
        <v/>
      </c>
    </row>
    <row r="401">
      <c r="K401" t="n">
        <v>25</v>
      </c>
      <c r="L401" t="n">
        <v>3</v>
      </c>
      <c r="M401">
        <f>IF(AND(L401&gt;=COMBINACIONES_PH!$B$9,K401+L401-1&lt;=$J$2),1,0)</f>
        <v/>
      </c>
      <c r="N401">
        <f>IF(M401=1,_xlfn.STDEV.S(INDEX($J$5:$J$34,K401):INDEX($J$5:$J$34,K401+L401-1))/AVERAGE(INDEX($J$5:$J$34,K401):INDEX($J$5:$J$34,K401+L401-1)),"")</f>
        <v/>
      </c>
      <c r="O401">
        <f>IF(M401=1,IF(N401&lt;=COMBINACIONES_PH!$B$5,1,0),"")</f>
        <v/>
      </c>
      <c r="P401">
        <f>IF(M401=1,IF(O401=1,-L401,100)+N401+ROW()*0.000000000001,"")</f>
        <v/>
      </c>
    </row>
    <row r="402">
      <c r="K402" t="n">
        <v>25</v>
      </c>
      <c r="L402" t="n">
        <v>4</v>
      </c>
      <c r="M402">
        <f>IF(AND(L402&gt;=COMBINACIONES_PH!$B$9,K402+L402-1&lt;=$J$2),1,0)</f>
        <v/>
      </c>
      <c r="N402">
        <f>IF(M402=1,_xlfn.STDEV.S(INDEX($J$5:$J$34,K402):INDEX($J$5:$J$34,K402+L402-1))/AVERAGE(INDEX($J$5:$J$34,K402):INDEX($J$5:$J$34,K402+L402-1)),"")</f>
        <v/>
      </c>
      <c r="O402">
        <f>IF(M402=1,IF(N402&lt;=COMBINACIONES_PH!$B$5,1,0),"")</f>
        <v/>
      </c>
      <c r="P402">
        <f>IF(M402=1,IF(O402=1,-L402,100)+N402+ROW()*0.000000000001,"")</f>
        <v/>
      </c>
    </row>
    <row r="403">
      <c r="K403" t="n">
        <v>25</v>
      </c>
      <c r="L403" t="n">
        <v>5</v>
      </c>
      <c r="M403">
        <f>IF(AND(L403&gt;=COMBINACIONES_PH!$B$9,K403+L403-1&lt;=$J$2),1,0)</f>
        <v/>
      </c>
      <c r="N403">
        <f>IF(M403=1,_xlfn.STDEV.S(INDEX($J$5:$J$34,K403):INDEX($J$5:$J$34,K403+L403-1))/AVERAGE(INDEX($J$5:$J$34,K403):INDEX($J$5:$J$34,K403+L403-1)),"")</f>
        <v/>
      </c>
      <c r="O403">
        <f>IF(M403=1,IF(N403&lt;=COMBINACIONES_PH!$B$5,1,0),"")</f>
        <v/>
      </c>
      <c r="P403">
        <f>IF(M403=1,IF(O403=1,-L403,100)+N403+ROW()*0.000000000001,"")</f>
        <v/>
      </c>
    </row>
    <row r="404">
      <c r="K404" t="n">
        <v>25</v>
      </c>
      <c r="L404" t="n">
        <v>6</v>
      </c>
      <c r="M404">
        <f>IF(AND(L404&gt;=COMBINACIONES_PH!$B$9,K404+L404-1&lt;=$J$2),1,0)</f>
        <v/>
      </c>
      <c r="N404">
        <f>IF(M404=1,_xlfn.STDEV.S(INDEX($J$5:$J$34,K404):INDEX($J$5:$J$34,K404+L404-1))/AVERAGE(INDEX($J$5:$J$34,K404):INDEX($J$5:$J$34,K404+L404-1)),"")</f>
        <v/>
      </c>
      <c r="O404">
        <f>IF(M404=1,IF(N404&lt;=COMBINACIONES_PH!$B$5,1,0),"")</f>
        <v/>
      </c>
      <c r="P404">
        <f>IF(M404=1,IF(O404=1,-L404,100)+N404+ROW()*0.000000000001,"")</f>
        <v/>
      </c>
    </row>
    <row r="405">
      <c r="K405" t="n">
        <v>26</v>
      </c>
      <c r="L405" t="n">
        <v>3</v>
      </c>
      <c r="M405">
        <f>IF(AND(L405&gt;=COMBINACIONES_PH!$B$9,K405+L405-1&lt;=$J$2),1,0)</f>
        <v/>
      </c>
      <c r="N405">
        <f>IF(M405=1,_xlfn.STDEV.S(INDEX($J$5:$J$34,K405):INDEX($J$5:$J$34,K405+L405-1))/AVERAGE(INDEX($J$5:$J$34,K405):INDEX($J$5:$J$34,K405+L405-1)),"")</f>
        <v/>
      </c>
      <c r="O405">
        <f>IF(M405=1,IF(N405&lt;=COMBINACIONES_PH!$B$5,1,0),"")</f>
        <v/>
      </c>
      <c r="P405">
        <f>IF(M405=1,IF(O405=1,-L405,100)+N405+ROW()*0.000000000001,"")</f>
        <v/>
      </c>
    </row>
    <row r="406">
      <c r="K406" t="n">
        <v>26</v>
      </c>
      <c r="L406" t="n">
        <v>4</v>
      </c>
      <c r="M406">
        <f>IF(AND(L406&gt;=COMBINACIONES_PH!$B$9,K406+L406-1&lt;=$J$2),1,0)</f>
        <v/>
      </c>
      <c r="N406">
        <f>IF(M406=1,_xlfn.STDEV.S(INDEX($J$5:$J$34,K406):INDEX($J$5:$J$34,K406+L406-1))/AVERAGE(INDEX($J$5:$J$34,K406):INDEX($J$5:$J$34,K406+L406-1)),"")</f>
        <v/>
      </c>
      <c r="O406">
        <f>IF(M406=1,IF(N406&lt;=COMBINACIONES_PH!$B$5,1,0),"")</f>
        <v/>
      </c>
      <c r="P406">
        <f>IF(M406=1,IF(O406=1,-L406,100)+N406+ROW()*0.000000000001,"")</f>
        <v/>
      </c>
    </row>
    <row r="407">
      <c r="K407" t="n">
        <v>26</v>
      </c>
      <c r="L407" t="n">
        <v>5</v>
      </c>
      <c r="M407">
        <f>IF(AND(L407&gt;=COMBINACIONES_PH!$B$9,K407+L407-1&lt;=$J$2),1,0)</f>
        <v/>
      </c>
      <c r="N407">
        <f>IF(M407=1,_xlfn.STDEV.S(INDEX($J$5:$J$34,K407):INDEX($J$5:$J$34,K407+L407-1))/AVERAGE(INDEX($J$5:$J$34,K407):INDEX($J$5:$J$34,K407+L407-1)),"")</f>
        <v/>
      </c>
      <c r="O407">
        <f>IF(M407=1,IF(N407&lt;=COMBINACIONES_PH!$B$5,1,0),"")</f>
        <v/>
      </c>
      <c r="P407">
        <f>IF(M407=1,IF(O407=1,-L407,100)+N407+ROW()*0.000000000001,"")</f>
        <v/>
      </c>
    </row>
    <row r="408">
      <c r="K408" t="n">
        <v>27</v>
      </c>
      <c r="L408" t="n">
        <v>3</v>
      </c>
      <c r="M408">
        <f>IF(AND(L408&gt;=COMBINACIONES_PH!$B$9,K408+L408-1&lt;=$J$2),1,0)</f>
        <v/>
      </c>
      <c r="N408">
        <f>IF(M408=1,_xlfn.STDEV.S(INDEX($J$5:$J$34,K408):INDEX($J$5:$J$34,K408+L408-1))/AVERAGE(INDEX($J$5:$J$34,K408):INDEX($J$5:$J$34,K408+L408-1)),"")</f>
        <v/>
      </c>
      <c r="O408">
        <f>IF(M408=1,IF(N408&lt;=COMBINACIONES_PH!$B$5,1,0),"")</f>
        <v/>
      </c>
      <c r="P408">
        <f>IF(M408=1,IF(O408=1,-L408,100)+N408+ROW()*0.000000000001,"")</f>
        <v/>
      </c>
    </row>
    <row r="409">
      <c r="K409" t="n">
        <v>27</v>
      </c>
      <c r="L409" t="n">
        <v>4</v>
      </c>
      <c r="M409">
        <f>IF(AND(L409&gt;=COMBINACIONES_PH!$B$9,K409+L409-1&lt;=$J$2),1,0)</f>
        <v/>
      </c>
      <c r="N409">
        <f>IF(M409=1,_xlfn.STDEV.S(INDEX($J$5:$J$34,K409):INDEX($J$5:$J$34,K409+L409-1))/AVERAGE(INDEX($J$5:$J$34,K409):INDEX($J$5:$J$34,K409+L409-1)),"")</f>
        <v/>
      </c>
      <c r="O409">
        <f>IF(M409=1,IF(N409&lt;=COMBINACIONES_PH!$B$5,1,0),"")</f>
        <v/>
      </c>
      <c r="P409">
        <f>IF(M409=1,IF(O409=1,-L409,100)+N409+ROW()*0.000000000001,"")</f>
        <v/>
      </c>
    </row>
    <row r="410">
      <c r="K410" t="n">
        <v>28</v>
      </c>
      <c r="L410" t="n">
        <v>3</v>
      </c>
      <c r="M410">
        <f>IF(AND(L410&gt;=COMBINACIONES_PH!$B$9,K410+L410-1&lt;=$J$2),1,0)</f>
        <v/>
      </c>
      <c r="N410">
        <f>IF(M410=1,_xlfn.STDEV.S(INDEX($J$5:$J$34,K410):INDEX($J$5:$J$34,K410+L410-1))/AVERAGE(INDEX($J$5:$J$34,K410):INDEX($J$5:$J$34,K410+L410-1)),"")</f>
        <v/>
      </c>
      <c r="O410">
        <f>IF(M410=1,IF(N410&lt;=COMBINACIONES_PH!$B$5,1,0),"")</f>
        <v/>
      </c>
      <c r="P410">
        <f>IF(M410=1,IF(O410=1,-L410,100)+N410+ROW()*0.000000000001,"")</f>
        <v/>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5" customWidth="1" style="54" min="1" max="1"/>
    <col width="12" customWidth="1" style="54" min="2" max="2"/>
    <col width="12" customWidth="1" style="54" min="3" max="3"/>
    <col width="28" customWidth="1" style="54" min="4" max="4"/>
    <col width="10" customWidth="1" style="54" min="5" max="5"/>
    <col width="24" customWidth="1" style="54" min="6" max="6"/>
    <col width="45" customWidth="1" style="54" min="7" max="7"/>
    <col width="16" customWidth="1" style="54" min="8" max="8"/>
    <col width="8" customWidth="1" style="54" min="9" max="9"/>
    <col width="10" customWidth="1" style="54" min="10" max="10"/>
    <col width="12" customWidth="1" style="54" min="11" max="11"/>
    <col width="12" customWidth="1" style="54" min="12" max="12"/>
    <col width="14" customWidth="1" style="54" min="13" max="13"/>
    <col width="8" customWidth="1" style="54" min="14" max="14"/>
    <col width="60" customWidth="1" style="54" min="15" max="15"/>
    <col width="28" customWidth="1" style="54" min="16" max="16"/>
    <col width="45" customWidth="1" style="54" min="17" max="17"/>
    <col width="40" customWidth="1" style="54" min="18" max="18"/>
    <col width="25" customWidth="1" style="54" min="19" max="19"/>
    <col width="45" customWidth="1" style="54" min="20" max="20"/>
  </cols>
  <sheetData>
    <row r="1">
      <c r="A1" s="217" t="inlineStr">
        <is>
          <t>No.</t>
        </is>
      </c>
      <c r="B1" s="217" t="inlineStr">
        <is>
          <t>FECHA DE CAPTURA</t>
        </is>
      </c>
      <c r="C1" s="217" t="inlineStr">
        <is>
          <t>TIPO DE INMUEBLE</t>
        </is>
      </c>
      <c r="D1" s="217" t="inlineStr">
        <is>
          <t>RÉGIMEN (SEGÚN ANUNCIO)</t>
        </is>
      </c>
      <c r="E1" s="217" t="inlineStr">
        <is>
          <t>MUNICIPIO</t>
        </is>
      </c>
      <c r="F1" s="217" t="inlineStr">
        <is>
          <t>BARRIO / SECTOR</t>
        </is>
      </c>
      <c r="G1" s="217" t="inlineStr">
        <is>
          <t>DIRECCIÓN O REFERENCIA</t>
        </is>
      </c>
      <c r="H1" s="217" t="inlineStr">
        <is>
          <t>VALOR PEDIDO</t>
        </is>
      </c>
      <c r="I1" s="217" t="inlineStr">
        <is>
          <t>% NEG.</t>
        </is>
      </c>
      <c r="J1" s="217" t="inlineStr">
        <is>
          <t>VALOR NEGOCIADO</t>
        </is>
      </c>
      <c r="K1" s="217" t="inlineStr">
        <is>
          <t>ÁREA CONSTRUIDA / PRIVADA (m²)</t>
        </is>
      </c>
      <c r="L1" s="217" t="inlineStr">
        <is>
          <t>ÁREA TERRENO (m²)</t>
        </is>
      </c>
      <c r="M1" s="217" t="inlineStr">
        <is>
          <t>VALOR INTEGRAL $/m² CONSTRUIDO</t>
        </is>
      </c>
      <c r="N1" s="217" t="inlineStr">
        <is>
          <t>ESTRATO</t>
        </is>
      </c>
      <c r="O1" s="217" t="inlineStr">
        <is>
          <t>OBSERVACIONES / DESCRIPCIÓN</t>
        </is>
      </c>
      <c r="P1" s="217" t="inlineStr">
        <is>
          <t>FUENTE (nombre)</t>
        </is>
      </c>
      <c r="Q1" s="217" t="inlineStr">
        <is>
          <t>ENLACE (URL)</t>
        </is>
      </c>
      <c r="R1" s="217" t="inlineStr">
        <is>
          <t>COMPARABILIDAD</t>
        </is>
      </c>
      <c r="S1" s="217" t="inlineStr">
        <is>
          <t>USO EN EL ESTUDIO</t>
        </is>
      </c>
      <c r="T1" s="217" t="inlineStr">
        <is>
          <t>MOTIVO DE RETIRO</t>
        </is>
      </c>
    </row>
    <row r="2">
      <c r="A2" t="n">
        <v>1</v>
      </c>
      <c r="B2" s="218" t="n">
        <v>46297</v>
      </c>
      <c r="C2" t="inlineStr">
        <is>
          <t>Casa</t>
        </is>
      </c>
      <c r="D2" t="inlineStr">
        <is>
          <t>NPH probable (independiente)</t>
        </is>
      </c>
      <c r="E2" t="inlineStr">
        <is>
          <t>Bello</t>
        </is>
      </c>
      <c r="F2" t="inlineStr">
        <is>
          <t>Altos de Niquía</t>
        </is>
      </c>
      <c r="G2" t="inlineStr">
        <is>
          <t>Bello, Altos de Niquía (Niquía Camacol)</t>
        </is>
      </c>
      <c r="H2" t="n">
        <v>230000000</v>
      </c>
      <c r="K2" t="n">
        <v>60</v>
      </c>
      <c r="L2" t="n">
        <v>60</v>
      </c>
      <c r="O2" t="inlineStr">
        <is>
          <t>Casa de 2 alcobas y 1 baño; el anuncio declara terreno 60 m², construida 60 m² y zona privada 120 m². No informa edad.</t>
        </is>
      </c>
      <c r="P2" t="inlineStr">
        <is>
          <t>Fincaraíz (anunciante no identificado)</t>
        </is>
      </c>
      <c r="Q2" t="inlineStr">
        <is>
          <t>https://www.fincaraiz.com.co/venta/altos-de-niquia/bello</t>
        </is>
      </c>
      <c r="R2" t="inlineStr">
        <is>
          <t>Casa urbana ≤100 m² en Niquía con lote declarado; falta edad y estado.</t>
        </is>
      </c>
      <c r="S2" t="inlineStr">
        <is>
          <t>MERCADO NPH – Nº 11</t>
        </is>
      </c>
      <c r="T2" t="inlineStr">
        <is>
          <t>Segundo piso (duplex) - derechos sobre un piso, tipo PH</t>
        </is>
      </c>
    </row>
    <row r="3">
      <c r="A3" t="n">
        <v>3</v>
      </c>
      <c r="B3" s="218" t="n">
        <v>46297</v>
      </c>
      <c r="C3" t="inlineStr">
        <is>
          <t>Casa</t>
        </is>
      </c>
      <c r="D3" t="inlineStr">
        <is>
          <t>NPH (tercer piso)</t>
        </is>
      </c>
      <c r="E3" t="inlineStr">
        <is>
          <t>Bello</t>
        </is>
      </c>
      <c r="F3" t="inlineStr">
        <is>
          <t>Niquía (parte baja)</t>
        </is>
      </c>
      <c r="G3" t="inlineStr">
        <is>
          <t>Bello, Niquía parte baja, a 5 min de Puerta del Norte</t>
        </is>
      </c>
      <c r="H3" t="n">
        <v>390000000</v>
      </c>
      <c r="K3" t="n">
        <v>98</v>
      </c>
      <c r="L3" t="n">
        <v>140</v>
      </c>
      <c r="O3" t="inlineStr">
        <is>
          <t>Casa en tercer piso, 4 alcobas, 2 baños y 1 parqueadero; construida 98 m², superficie total 140 m². No informa edad.</t>
        </is>
      </c>
      <c r="P3" t="inlineStr">
        <is>
          <t>Fincaraíz (anunciante no identificado)</t>
        </is>
      </c>
      <c r="Q3" t="inlineStr">
        <is>
          <t>https://www.fincaraiz.com.co/venta/casas/niquia/bello</t>
        </is>
      </c>
      <c r="R3" t="inlineStr">
        <is>
          <t>Derechos sobre un piso; área total 140 m² supera el máximo de 100 m².</t>
        </is>
      </c>
      <c r="S3" t="inlineStr">
        <is>
          <t>MERCADO NPH – Nº 13 (retirada por el avaluador)</t>
        </is>
      </c>
      <c r="T3" t="inlineStr">
        <is>
          <t>Tercer piso - tipo PH</t>
        </is>
      </c>
    </row>
    <row r="4">
      <c r="A4" t="n">
        <v>4</v>
      </c>
      <c r="B4" s="218" t="n">
        <v>46297</v>
      </c>
      <c r="C4" t="inlineStr">
        <is>
          <t>Casa</t>
        </is>
      </c>
      <c r="D4" t="inlineStr">
        <is>
          <t>Probable unidad cerrada / PH</t>
        </is>
      </c>
      <c r="E4" t="inlineStr">
        <is>
          <t>Bello</t>
        </is>
      </c>
      <c r="F4" t="inlineStr">
        <is>
          <t>Hermosa Provincia</t>
        </is>
      </c>
      <c r="G4" t="inlineStr">
        <is>
          <t>Bello, Dg. 55 # 31-37, Hermosa Provincia (Niquía). Coordenadas 6.3412472, -75.5398419</t>
        </is>
      </c>
      <c r="H4" t="n">
        <v>515000000</v>
      </c>
      <c r="K4" t="n">
        <v>79</v>
      </c>
      <c r="O4" t="inlineStr">
        <is>
          <t>Casa de tres niveles, 3 alcobas y 2 baños; administración $416.000. No informa lote ni edad.</t>
        </is>
      </c>
      <c r="P4" t="inlineStr">
        <is>
          <t>Arrendamientos Nutibara – Fincaraíz</t>
        </is>
      </c>
      <c r="Q4" t="inlineStr">
        <is>
          <t>https://www.fincaraiz.com.co/venta/niquia/bello</t>
        </is>
      </c>
      <c r="R4" t="inlineStr">
        <is>
          <t>Cobra administración (probable unidad cerrada); sin lote ni edad.</t>
        </is>
      </c>
      <c r="S4" t="inlineStr">
        <is>
          <t>MERCADO NPH – Nº 14 (retirada por el avaluador)</t>
        </is>
      </c>
      <c r="T4" t="inlineStr">
        <is>
          <t>Probable unidad cerrada / PH (cobra administracion)</t>
        </is>
      </c>
    </row>
    <row r="5">
      <c r="A5" t="n">
        <v>5</v>
      </c>
      <c r="B5" s="218" t="n">
        <v>46297</v>
      </c>
      <c r="C5" t="inlineStr">
        <is>
          <t>Casa</t>
        </is>
      </c>
      <c r="D5" t="inlineStr">
        <is>
          <t>PH (unidad residencial)</t>
        </is>
      </c>
      <c r="E5" t="inlineStr">
        <is>
          <t>Bello</t>
        </is>
      </c>
      <c r="F5" t="inlineStr">
        <is>
          <t>Niquía – Terranova</t>
        </is>
      </c>
      <c r="G5" t="inlineStr">
        <is>
          <t>Bello, Terranova Niquía, a una cuadra de Puerta del Norte</t>
        </is>
      </c>
      <c r="H5" t="n">
        <v>320000000</v>
      </c>
      <c r="K5" t="n">
        <v>61</v>
      </c>
      <c r="O5" t="inlineStr">
        <is>
          <t>Casa de 3 niveles, 2 alcobas y 2 baños, 61,25 m² construidos, en unidad residencial con vigilancia 24 h; administración $145.500.</t>
        </is>
      </c>
      <c r="P5" t="inlineStr">
        <is>
          <t>Grupo Nexo Inmobiliario – Fincaraíz</t>
        </is>
      </c>
      <c r="Q5" t="inlineStr">
        <is>
          <t>https://www.fincaraiz.com.co/venta/casas/niquia/bello</t>
        </is>
      </c>
      <c r="R5" t="inlineStr">
        <is>
          <t>Casa en unidad residencial cerrada (PH).</t>
        </is>
      </c>
      <c r="S5" t="inlineStr">
        <is>
          <t>MERCADO NPH – Nº 15 (retirada por el avaluador)</t>
        </is>
      </c>
      <c r="T5" t="inlineStr">
        <is>
          <t>PH (unidad residencial)</t>
        </is>
      </c>
    </row>
    <row r="6">
      <c r="A6" t="n">
        <v>6</v>
      </c>
      <c r="B6" s="218" t="n">
        <v>46297</v>
      </c>
      <c r="C6" t="inlineStr">
        <is>
          <t>Casa</t>
        </is>
      </c>
      <c r="D6" t="inlineStr">
        <is>
          <t>PH (conjunto residencial)</t>
        </is>
      </c>
      <c r="E6" t="inlineStr">
        <is>
          <t>Bello</t>
        </is>
      </c>
      <c r="F6" t="inlineStr">
        <is>
          <t>Niquía – Terranova San Basilio</t>
        </is>
      </c>
      <c r="G6" t="inlineStr">
        <is>
          <t>Bello, Niquía Terranova, Conjunto Residencial San Basilio</t>
        </is>
      </c>
      <c r="H6" t="n">
        <v>400000000</v>
      </c>
      <c r="K6" t="n">
        <v>84</v>
      </c>
      <c r="O6" t="inlineStr">
        <is>
          <t>Casa de 84 m², 3 alcobas y 3 baños, en conjunto con piscina y seguridad privada. Publicada 20/07/2026.</t>
        </is>
      </c>
      <c r="P6" t="inlineStr">
        <is>
          <t>Vix Inmobiliaria – Mitula</t>
        </is>
      </c>
      <c r="Q6" t="inlineStr">
        <is>
          <t>https://casas.mitula.com.co/casas/bello-niquia</t>
        </is>
      </c>
      <c r="R6" t="inlineStr">
        <is>
          <t>Casa en conjunto cerrado (PH); referencia de $/m² construido.</t>
        </is>
      </c>
      <c r="S6" t="inlineStr">
        <is>
          <t>MERCADO NPH – Nº 16</t>
        </is>
      </c>
      <c r="T6" t="inlineStr">
        <is>
          <t>PH (conjunto residencial)</t>
        </is>
      </c>
    </row>
    <row r="7">
      <c r="A7" t="n">
        <v>7</v>
      </c>
      <c r="B7" s="218" t="n">
        <v>46297</v>
      </c>
      <c r="C7" t="inlineStr">
        <is>
          <t>Apartamento</t>
        </is>
      </c>
      <c r="D7" t="inlineStr">
        <is>
          <t>PH</t>
        </is>
      </c>
      <c r="E7" t="inlineStr">
        <is>
          <t>Bello</t>
        </is>
      </c>
      <c r="F7" t="inlineStr">
        <is>
          <t>Niquía</t>
        </is>
      </c>
      <c r="G7" t="inlineStr">
        <is>
          <t>Bello, Niquía (ubicación exacta no publicada)</t>
        </is>
      </c>
      <c r="H7" t="n">
        <v>340000000</v>
      </c>
      <c r="K7" t="n">
        <v>69</v>
      </c>
      <c r="O7" t="inlineStr">
        <is>
          <t>2 alcobas, 1 baño. Administración $280.000. Precio negociable.</t>
        </is>
      </c>
      <c r="P7" t="inlineStr">
        <is>
          <t>Fincaraíz (anunciante no identificado)</t>
        </is>
      </c>
      <c r="Q7" t="inlineStr">
        <is>
          <t>https://www.fincaraiz.com.co/venta/niquia/bello</t>
        </is>
      </c>
      <c r="R7" t="inlineStr">
        <is>
          <t>Apartamento urbano de 69 m² en Niquía; sin piso, edad ni parqueadero.</t>
        </is>
      </c>
      <c r="S7" t="inlineStr">
        <is>
          <t>MERCADO PH – Nº 1</t>
        </is>
      </c>
      <c r="T7" t="inlineStr">
        <is>
          <t>Apartamento en PH</t>
        </is>
      </c>
    </row>
    <row r="8">
      <c r="A8" t="n">
        <v>8</v>
      </c>
      <c r="B8" s="218" t="n">
        <v>46297</v>
      </c>
      <c r="C8" t="inlineStr">
        <is>
          <t>Apartamento</t>
        </is>
      </c>
      <c r="D8" t="inlineStr">
        <is>
          <t>PH</t>
        </is>
      </c>
      <c r="E8" t="inlineStr">
        <is>
          <t>Bello</t>
        </is>
      </c>
      <c r="F8" t="inlineStr">
        <is>
          <t>Niquía – Urb. Nogales</t>
        </is>
      </c>
      <c r="G8" t="inlineStr">
        <is>
          <t>Bello, Urbanización Nogales (Niquía)</t>
        </is>
      </c>
      <c r="H8" t="n">
        <v>340000000</v>
      </c>
      <c r="K8" t="n">
        <v>65</v>
      </c>
      <c r="O8" t="inlineStr">
        <is>
          <t>3 alcobas, 2 baños.</t>
        </is>
      </c>
      <c r="P8" t="inlineStr">
        <is>
          <t>Fincaraíz (anunciante no identificado)</t>
        </is>
      </c>
      <c r="Q8" t="inlineStr">
        <is>
          <t>https://www.fincaraiz.com.co/venta/urbanizacion-nogales/bello</t>
        </is>
      </c>
      <c r="R8" t="inlineStr">
        <is>
          <t>Apartamento urbano de 65 m² en Niquía; sin piso, edad ni parqueadero.</t>
        </is>
      </c>
      <c r="S8" t="inlineStr">
        <is>
          <t>MERCADO PH – Nº 2</t>
        </is>
      </c>
      <c r="T8" t="inlineStr">
        <is>
          <t>Apartamento en PH</t>
        </is>
      </c>
    </row>
    <row r="9">
      <c r="A9" t="n">
        <v>9</v>
      </c>
      <c r="B9" s="218" t="n">
        <v>46297</v>
      </c>
      <c r="C9" t="inlineStr">
        <is>
          <t>Apartamento</t>
        </is>
      </c>
      <c r="D9" t="inlineStr">
        <is>
          <t>PH</t>
        </is>
      </c>
      <c r="E9" t="inlineStr">
        <is>
          <t>Bello</t>
        </is>
      </c>
      <c r="F9" t="inlineStr">
        <is>
          <t>Niquía</t>
        </is>
      </c>
      <c r="G9" t="inlineStr">
        <is>
          <t>Bello, Niquía – torre con piscina, polideportivo y portería 24/7</t>
        </is>
      </c>
      <c r="H9" t="n">
        <v>365000000</v>
      </c>
      <c r="K9" t="n">
        <v>65</v>
      </c>
      <c r="N9" t="n">
        <v>4</v>
      </c>
      <c r="O9" t="inlineStr">
        <is>
          <t>3 alcobas, 2 baños, balcón y cuarto útil; piso 23. Administración $430.000.</t>
        </is>
      </c>
      <c r="P9" t="inlineStr">
        <is>
          <t>Fincaraíz (anunciante no identificado)</t>
        </is>
      </c>
      <c r="Q9" t="inlineStr">
        <is>
          <t>https://www.fincaraiz.com.co/venta/casas/bello/antioquia</t>
        </is>
      </c>
      <c r="R9" t="inlineStr">
        <is>
          <t>Apartamento urbano de 65 m² con piso y estrato publicados.</t>
        </is>
      </c>
      <c r="S9" t="inlineStr">
        <is>
          <t>MERCADO PH – Nº 3</t>
        </is>
      </c>
      <c r="T9" t="inlineStr">
        <is>
          <t>Apartamento en PH</t>
        </is>
      </c>
    </row>
    <row r="10">
      <c r="A10" t="n">
        <v>10</v>
      </c>
      <c r="B10" s="218" t="n">
        <v>46297</v>
      </c>
      <c r="C10" t="inlineStr">
        <is>
          <t>Apartamento</t>
        </is>
      </c>
      <c r="D10" t="inlineStr">
        <is>
          <t>PH</t>
        </is>
      </c>
      <c r="E10" t="inlineStr">
        <is>
          <t>Bello</t>
        </is>
      </c>
      <c r="F10" t="inlineStr">
        <is>
          <t>Niquía</t>
        </is>
      </c>
      <c r="G10" t="inlineStr">
        <is>
          <t>Bello, Niquía – torre con ascensor, gimnasio y piscina</t>
        </is>
      </c>
      <c r="H10" t="n">
        <v>450000000</v>
      </c>
      <c r="K10" t="n">
        <v>71</v>
      </c>
      <c r="O10" t="inlineStr">
        <is>
          <t>3 alcobas, 2 baños, balcón.</t>
        </is>
      </c>
      <c r="P10" t="inlineStr">
        <is>
          <t>Anunciante no identificado – Mitula</t>
        </is>
      </c>
      <c r="Q10" t="inlineStr">
        <is>
          <t>https://casas.mitula.com.co/casas/bello-niquia</t>
        </is>
      </c>
      <c r="R10" t="inlineStr">
        <is>
          <t>Apartamento urbano de 71 m² en Niquía; sin piso, edad ni parqueadero.</t>
        </is>
      </c>
      <c r="S10" t="inlineStr">
        <is>
          <t>MERCADO PH – Nº 4</t>
        </is>
      </c>
      <c r="T10" t="inlineStr">
        <is>
          <t>Apartamento en PH</t>
        </is>
      </c>
    </row>
    <row r="11">
      <c r="A11" t="n">
        <v>11</v>
      </c>
      <c r="B11" s="218" t="n">
        <v>46297</v>
      </c>
      <c r="C11" t="inlineStr">
        <is>
          <t>Apartamento</t>
        </is>
      </c>
      <c r="D11" t="inlineStr">
        <is>
          <t>PH</t>
        </is>
      </c>
      <c r="E11" t="inlineStr">
        <is>
          <t>Bello</t>
        </is>
      </c>
      <c r="F11" t="inlineStr">
        <is>
          <t>Niquía</t>
        </is>
      </c>
      <c r="G11" t="inlineStr">
        <is>
          <t>Bello, Niquía – torre con ascensor, gimnasio y piscina</t>
        </is>
      </c>
      <c r="H11" t="n">
        <v>380000000</v>
      </c>
      <c r="K11" t="n">
        <v>75</v>
      </c>
      <c r="O11" t="inlineStr">
        <is>
          <t>2 alcobas, 2 baños, balcón.</t>
        </is>
      </c>
      <c r="P11" t="inlineStr">
        <is>
          <t>AG Inmobiliaria Medellín SAS – Mitula</t>
        </is>
      </c>
      <c r="Q11" t="inlineStr">
        <is>
          <t>https://casas.mitula.com.co/casas/bello-niquia</t>
        </is>
      </c>
      <c r="R11" t="inlineStr">
        <is>
          <t>Apartamento urbano de 75 m² en Niquía; sin piso, edad ni parqueadero.</t>
        </is>
      </c>
      <c r="S11" t="inlineStr">
        <is>
          <t>MERCADO PH – Nº 5</t>
        </is>
      </c>
      <c r="T11" t="inlineStr">
        <is>
          <t>Apartamento en PH</t>
        </is>
      </c>
    </row>
    <row r="12">
      <c r="A12" t="n">
        <v>12</v>
      </c>
      <c r="B12" s="218" t="n">
        <v>46297</v>
      </c>
      <c r="C12" t="inlineStr">
        <is>
          <t>Apartamento</t>
        </is>
      </c>
      <c r="D12" t="inlineStr">
        <is>
          <t>PH</t>
        </is>
      </c>
      <c r="E12" t="inlineStr">
        <is>
          <t>Bello</t>
        </is>
      </c>
      <c r="F12" t="inlineStr">
        <is>
          <t>Niquía</t>
        </is>
      </c>
      <c r="G12" t="inlineStr">
        <is>
          <t>Bello, Niquía (ubicación exacta no publicada)</t>
        </is>
      </c>
      <c r="H12" t="n">
        <v>400000000</v>
      </c>
      <c r="K12" t="n">
        <v>84</v>
      </c>
      <c r="O12" t="inlineStr">
        <is>
          <t>3 alcobas, 3 baños, balcón, red de gas. Publicado 27/07/2026.</t>
        </is>
      </c>
      <c r="P12" t="inlineStr">
        <is>
          <t>Viva Inmobiliaria Asociados – SlideProp</t>
        </is>
      </c>
      <c r="Q12" t="inlineStr">
        <is>
          <t>https://colombia.slideprop.com/venta/casa/antioquia/bello/niquia</t>
        </is>
      </c>
      <c r="R12" t="inlineStr">
        <is>
          <t>Apartamento urbano de 84 m² en Niquía; sin piso, edad ni parqueadero.</t>
        </is>
      </c>
      <c r="S12" t="inlineStr">
        <is>
          <t>MERCADO PH – Nº 6</t>
        </is>
      </c>
      <c r="T12" t="inlineStr">
        <is>
          <t>Apartamento en PH</t>
        </is>
      </c>
    </row>
    <row r="13">
      <c r="A13" t="n">
        <v>13</v>
      </c>
      <c r="B13" s="218" t="n">
        <v>46297</v>
      </c>
      <c r="C13" t="inlineStr">
        <is>
          <t>Apartamento</t>
        </is>
      </c>
      <c r="D13" t="inlineStr">
        <is>
          <t>PH</t>
        </is>
      </c>
      <c r="E13" t="inlineStr">
        <is>
          <t>Bello</t>
        </is>
      </c>
      <c r="F13" t="inlineStr">
        <is>
          <t>Niquía</t>
        </is>
      </c>
      <c r="G13" t="inlineStr">
        <is>
          <t>Bello, Niquía (ubicación exacta no publicada)</t>
        </is>
      </c>
      <c r="H13" t="n">
        <v>450000000</v>
      </c>
      <c r="K13" t="n">
        <v>70.65000000000001</v>
      </c>
      <c r="O13" t="inlineStr">
        <is>
          <t>Apartamento de 70,65 m².</t>
        </is>
      </c>
      <c r="P13" t="inlineStr">
        <is>
          <t>MYE Inmobiliaria SAS – Trovit</t>
        </is>
      </c>
      <c r="Q13" t="inlineStr">
        <is>
          <t>https://casas.trovit.com.co/casa-niquia</t>
        </is>
      </c>
      <c r="R13" t="inlineStr">
        <is>
          <t>Apartamento urbano de 70,65 m² en Niquía; sin piso, edad ni parqueadero.</t>
        </is>
      </c>
      <c r="S13" t="inlineStr">
        <is>
          <t>MERCADO PH – Nº 7</t>
        </is>
      </c>
      <c r="T13" t="inlineStr">
        <is>
          <t>Apartamento en PH</t>
        </is>
      </c>
    </row>
    <row r="14">
      <c r="A14" t="n">
        <v>14</v>
      </c>
      <c r="B14" s="218" t="n">
        <v>46297</v>
      </c>
      <c r="C14" t="inlineStr">
        <is>
          <t>Apartamento</t>
        </is>
      </c>
      <c r="D14" t="inlineStr">
        <is>
          <t>PH</t>
        </is>
      </c>
      <c r="E14" t="inlineStr">
        <is>
          <t>Bello</t>
        </is>
      </c>
      <c r="F14" t="inlineStr">
        <is>
          <t>Niquía</t>
        </is>
      </c>
      <c r="G14" t="inlineStr">
        <is>
          <t>Bello, Niquía (ubicación exacta no publicada)</t>
        </is>
      </c>
      <c r="H14" t="n">
        <v>360000000</v>
      </c>
      <c r="K14" t="n">
        <v>62</v>
      </c>
      <c r="O14" t="inlineStr">
        <is>
          <t>3 alcobas, 2 baños, 1 garaje. Código Metrocuadrado 21626-M6568241.</t>
        </is>
      </c>
      <c r="P14" t="inlineStr">
        <is>
          <t>Metrocuadrado (inmobiliaria no identificada)</t>
        </is>
      </c>
      <c r="Q14" t="inlineStr">
        <is>
          <t>https://www.metrocuadrado.com/apartamentos/bello/niquia/</t>
        </is>
      </c>
      <c r="R14" t="inlineStr">
        <is>
          <t>Apartamento urbano de 62 m² en Niquía; confirmar si el garaje es unidad privada.</t>
        </is>
      </c>
      <c r="S14" t="inlineStr">
        <is>
          <t>MERCADO PH – Nº 8</t>
        </is>
      </c>
      <c r="T14" t="inlineStr">
        <is>
          <t>Apartamento en 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2026-10-02T13:39:04Z</dcterms:created>
  <dcterms:modified xsi:type="dcterms:W3CDTF">2026-10-05T22:11:34Z</dcterms:modified>
  <cp:lastModifiedBy>Andrés Cuartas</cp:lastModifiedBy>
  <cp:revision>1</cp:revision>
</cp:coreProperties>
</file>