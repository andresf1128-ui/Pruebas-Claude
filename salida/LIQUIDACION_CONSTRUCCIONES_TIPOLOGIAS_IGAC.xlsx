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7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9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10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11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12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968" firstSheet="1" activeTab="0" autoFilterDateGrouping="1"/>
  </bookViews>
  <sheets>
    <sheet name="RESUMEN" sheetId="1" state="visible" r:id="rId1"/>
    <sheet name="CLASIFICACIÓN" sheetId="2" state="visible" r:id="rId2"/>
    <sheet name="SIN CLASIFICAR" sheetId="3" state="visible" r:id="rId3"/>
    <sheet name="NOTAS" sheetId="4" state="visible" r:id="rId4"/>
    <sheet name="DEP LÍBANO" sheetId="5" state="visible" r:id="rId5"/>
    <sheet name="LIQ LÍBANO" sheetId="6" state="visible" r:id="rId6"/>
    <sheet name="DEP PORCIÓN 1-2-3" sheetId="7" state="visible" r:id="rId7"/>
    <sheet name="LIQ PORCIÓN 1-2-3" sheetId="8" state="visible" r:id="rId8"/>
    <sheet name="DEP SANTA ISABEL" sheetId="9" state="visible" r:id="rId9"/>
    <sheet name="LIQ SANTA ISABEL" sheetId="10" state="visible" r:id="rId10"/>
    <sheet name="DEP CANCÚN (1)" sheetId="11" state="visible" r:id="rId11"/>
    <sheet name="LIQ CANCÚN (1)" sheetId="12" state="visible" r:id="rId12"/>
    <sheet name="DEP CANCÚN (2)" sheetId="13" state="visible" r:id="rId13"/>
    <sheet name="LIQ CANCÚN (2)" sheetId="14" state="visible" r:id="rId14"/>
    <sheet name="DEP CIMARRONA" sheetId="15" state="visible" r:id="rId15"/>
    <sheet name="LIQ CIMARRONA" sheetId="16" state="visible" r:id="rId16"/>
    <sheet name="DEP CARI CARI" sheetId="17" state="visible" r:id="rId17"/>
    <sheet name="LIQ CARI CARI" sheetId="18" state="visible" r:id="rId18"/>
    <sheet name="DEP EL CORUAL (1)" sheetId="19" state="visible" r:id="rId19"/>
    <sheet name="LIQ EL CORUAL (1)" sheetId="20" state="visible" r:id="rId20"/>
    <sheet name="DEP EL CORUAL (2)" sheetId="21" state="visible" r:id="rId21"/>
    <sheet name="LIQ EL CORUAL (2)" sheetId="22" state="visible" r:id="rId22"/>
    <sheet name="DEP LAS MERCEDES (1)" sheetId="23" state="visible" r:id="rId23"/>
    <sheet name="LIQ LAS MERCEDES (1)" sheetId="24" state="visible" r:id="rId24"/>
    <sheet name="DEP LAS MERCEDES (2)" sheetId="25" state="visible" r:id="rId25"/>
    <sheet name="LIQ LAS MERCEDES (2)" sheetId="26" state="visible" r:id="rId26"/>
    <sheet name="DEP VERSALLES 1" sheetId="27" state="visible" r:id="rId27"/>
    <sheet name="LIQ VERSALLES 1" sheetId="28" state="visible" r:id="rId28"/>
    <sheet name="MERCADO RURAL" sheetId="29" state="visible" r:id="rId29"/>
    <sheet name="AUX_COMBINACIONES" sheetId="30" state="hidden" r:id="rId30"/>
  </sheets>
  <definedNames>
    <definedName name="_xlnm._FilterDatabase" localSheetId="1" hidden="1">'CLASIFICACIÓN'!$A$3:$Q$81</definedName>
  </definedNames>
  <calcPr calcId="181029" fullCalcOnLoad="1"/>
</workbook>
</file>

<file path=xl/styles.xml><?xml version="1.0" encoding="utf-8"?>
<styleSheet xmlns="http://schemas.openxmlformats.org/spreadsheetml/2006/main">
  <numFmts count="14">
    <numFmt numFmtId="164" formatCode="&quot;$&quot;\ #,##0"/>
    <numFmt numFmtId="165" formatCode="0.0"/>
    <numFmt numFmtId="166" formatCode="&quot;$&quot;#,##0"/>
    <numFmt numFmtId="167" formatCode="0.0%"/>
    <numFmt numFmtId="168" formatCode="0.0000"/>
    <numFmt numFmtId="169" formatCode="0.000%"/>
    <numFmt numFmtId="170" formatCode="#,##0.0"/>
    <numFmt numFmtId="171" formatCode="&quot;$&quot;#,##0.0,,&quot; M&quot;"/>
    <numFmt numFmtId="172" formatCode="dd/mm/yyyy"/>
    <numFmt numFmtId="173" formatCode="&quot;$&quot;#,##0;\(&quot;$&quot;#,##0\)"/>
    <numFmt numFmtId="174" formatCode="0.000000"/>
    <numFmt numFmtId="175" formatCode="#,##0.00####"/>
    <numFmt numFmtId="176" formatCode="#,##0.000"/>
    <numFmt numFmtId="177" formatCode="$ #,##0"/>
  </numFmts>
  <fonts count="98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sz val="11"/>
    </font>
    <font>
      <name val="Arial"/>
      <family val="2"/>
      <sz val="10"/>
    </font>
    <font>
      <name val="Arial"/>
      <family val="2"/>
      <sz val="9"/>
    </font>
    <font>
      <name val="Calibri"/>
      <family val="2"/>
      <color theme="10"/>
      <sz val="11"/>
      <u val="single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0" tint="-0.1499984740745262"/>
      <sz val="14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7"/>
    </font>
    <font>
      <name val="Arial"/>
      <family val="2"/>
      <color theme="1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4"/>
    </font>
    <font>
      <name val="Calibri"/>
      <b val="1"/>
      <sz val="11"/>
    </font>
    <font>
      <name val="Calibri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theme="1"/>
      <sz val="10"/>
    </font>
    <font>
      <name val="Calibri"/>
      <family val="2"/>
      <color rgb="FF0000FF"/>
      <sz val="11"/>
      <scheme val="minor"/>
    </font>
    <font>
      <name val="Calibri"/>
      <family val="2"/>
      <b val="1"/>
      <color rgb="FFFFFFFF"/>
      <sz val="10"/>
    </font>
    <font>
      <name val="Arial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color theme="1"/>
      <sz val="10"/>
    </font>
    <font>
      <name val="Arial"/>
      <color rgb="FF0000FF"/>
      <sz val="10"/>
    </font>
    <font>
      <name val="Calibri"/>
      <family val="2"/>
      <color theme="1"/>
      <sz val="9"/>
      <scheme val="minor"/>
    </font>
    <font>
      <name val="Tahoma"/>
      <color theme="1"/>
      <sz val="10"/>
    </font>
    <font>
      <name val="Calibri"/>
      <family val="2"/>
      <b val="1"/>
      <color rgb="FFFFFFFF"/>
      <sz val="8"/>
      <scheme val="minor"/>
    </font>
    <font>
      <name val="Tahoma"/>
      <color theme="1"/>
      <sz val="8"/>
    </font>
    <font>
      <name val="Tahoma"/>
      <color rgb="FF0000FF"/>
      <sz val="8"/>
    </font>
    <font>
      <name val="Tahoma"/>
      <family val="2"/>
      <sz val="10"/>
    </font>
    <font>
      <name val="Calibri"/>
      <family val="2"/>
      <i val="1"/>
      <color theme="1"/>
      <sz val="9"/>
      <scheme val="minor"/>
    </font>
    <font>
      <name val="Calibri"/>
      <family val="2"/>
      <color rgb="FF000000"/>
      <sz val="11"/>
      <scheme val="minor"/>
    </font>
    <font>
      <name val="Arial"/>
      <family val="2"/>
      <i val="1"/>
      <color theme="1"/>
      <sz val="9"/>
    </font>
    <font>
      <name val="Arial"/>
      <family val="2"/>
      <color rgb="FF008000"/>
      <sz val="11"/>
    </font>
    <font>
      <name val="Arial"/>
      <family val="2"/>
      <color rgb="FF0000FF"/>
      <sz val="11"/>
    </font>
    <font>
      <name val="Arial"/>
      <family val="2"/>
      <color rgb="FF000000"/>
      <sz val="11"/>
    </font>
    <font>
      <name val="Arial"/>
      <family val="2"/>
      <b val="1"/>
      <color rgb="FF0000FF"/>
      <sz val="11"/>
    </font>
    <font>
      <name val="Arial"/>
      <family val="2"/>
      <color rgb="FF008000"/>
      <sz val="10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Arial"/>
      <family val="2"/>
      <b val="1"/>
      <color rgb="FF7F7F7F"/>
      <sz val="10"/>
    </font>
    <font>
      <name val="Arial"/>
      <family val="2"/>
      <color rgb="FF7F7F7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2"/>
    </font>
    <font>
      <name val="Tahoma"/>
      <family val="2"/>
      <b val="1"/>
      <color rgb="FF000000"/>
      <sz val="10"/>
    </font>
    <font>
      <name val="Tahoma"/>
      <family val="2"/>
      <b val="1"/>
      <color rgb="FF000000"/>
      <sz val="11"/>
    </font>
    <font>
      <name val="Calibri"/>
      <family val="2"/>
      <b val="1"/>
      <color rgb="FF000000"/>
      <sz val="11"/>
      <scheme val="minor"/>
    </font>
    <font>
      <name val="Tahoma"/>
      <family val="2"/>
      <b val="1"/>
      <color rgb="FF000000"/>
      <sz val="8"/>
    </font>
    <font>
      <name val="Tahoma"/>
      <family val="2"/>
      <color theme="1"/>
      <sz val="8"/>
    </font>
    <font>
      <name val="Arial"/>
      <family val="2"/>
      <color rgb="FF008000"/>
      <sz val="9"/>
    </font>
    <font>
      <name val="Arial"/>
      <family val="2"/>
      <b val="1"/>
      <color rgb="FFFFFFFF"/>
      <sz val="9"/>
    </font>
    <font>
      <name val="Arial"/>
      <family val="2"/>
      <color rgb="FF0563C1"/>
      <sz val="10"/>
      <u val="single"/>
    </font>
    <font>
      <name val="Arial"/>
      <family val="2"/>
      <color rgb="FF0563C1"/>
      <sz val="10"/>
    </font>
    <font>
      <name val="Arial"/>
      <family val="2"/>
      <b val="1"/>
      <color rgb="FF000000"/>
      <sz val="11"/>
    </font>
    <font>
      <name val="Arial"/>
      <family val="2"/>
      <b val="1"/>
      <i val="1"/>
      <color theme="1"/>
      <sz val="10"/>
    </font>
    <font>
      <name val="Calibri"/>
      <family val="2"/>
      <color rgb="FF0000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0"/>
      <sz val="11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6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C0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i val="1"/>
      <color rgb="FFFFFFFF"/>
      <sz val="8"/>
      <scheme val="minor"/>
    </font>
    <font>
      <name val="Arial"/>
      <family val="2"/>
      <i val="1"/>
      <color rgb="FFFFFFFF"/>
      <sz val="8"/>
    </font>
    <font>
      <name val="Calibri"/>
      <family val="2"/>
      <color rgb="FFC00000"/>
      <sz val="11"/>
      <scheme val="minor"/>
    </font>
    <font>
      <name val="Arial"/>
      <family val="2"/>
      <b val="1"/>
      <color rgb="FFC00000"/>
      <sz val="18"/>
    </font>
    <font>
      <name val="Calibri"/>
      <b val="1"/>
      <color rgb="FFFFFFFF"/>
      <sz val="16"/>
    </font>
    <font>
      <name val="Arial"/>
      <color theme="1"/>
      <sz val="9"/>
    </font>
    <font>
      <name val="Calibri"/>
      <b val="1"/>
      <color rgb="FFFFFFFF"/>
      <sz val="11"/>
    </font>
    <font>
      <name val="Arial"/>
      <color rgb="FF008000"/>
      <sz val="10"/>
    </font>
    <font>
      <name val="Arial"/>
      <b val="1"/>
      <color rgb="FF7F7F7F"/>
      <sz val="10"/>
    </font>
    <font>
      <name val="Arial"/>
      <color rgb="FF7F7F7F"/>
      <sz val="10"/>
    </font>
    <font>
      <name val="Arial"/>
      <b val="1"/>
      <color theme="1"/>
      <sz val="12"/>
    </font>
    <font>
      <name val="Arial"/>
      <color rgb="FF595959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b val="1"/>
      <color rgb="FFFFFFFF"/>
      <sz val="11"/>
      <scheme val="minor"/>
    </font>
    <font>
      <name val="Arial"/>
      <b val="1"/>
      <color rgb="FF008000"/>
      <sz val="10"/>
    </font>
    <font>
      <name val="Arial"/>
      <color rgb="FF0000FF"/>
      <sz val="9"/>
    </font>
    <font>
      <name val="Arial"/>
      <i val="1"/>
      <color theme="1"/>
      <sz val="9"/>
    </font>
    <font>
      <name val="Arial"/>
      <color rgb="00000000"/>
      <sz val="10"/>
    </font>
    <font>
      <b val="1"/>
      <sz val="12"/>
    </font>
    <font>
      <b val="1"/>
      <sz val="13"/>
    </font>
    <font>
      <b val="1"/>
      <color rgb="00FFFFFF"/>
    </font>
    <font>
      <color rgb="000563C1"/>
      <u val="single"/>
    </font>
    <font>
      <i val="1"/>
    </font>
    <font>
      <b val="1"/>
    </font>
  </fonts>
  <fills count="1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FFF59D"/>
      </patternFill>
    </fill>
    <fill>
      <patternFill patternType="solid">
        <fgColor rgb="001F38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0" fillId="0" borderId="0"/>
    <xf numFmtId="0" fontId="5" fillId="0" borderId="0" applyAlignment="1" applyProtection="1">
      <alignment vertical="top"/>
      <protection locked="0" hidden="0"/>
    </xf>
    <xf numFmtId="9" fontId="1" fillId="0" borderId="0"/>
  </cellStyleXfs>
  <cellXfs count="46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3" fillId="4" borderId="7" pivotButton="0" quotePrefix="0" xfId="0"/>
    <xf numFmtId="0" fontId="3" fillId="4" borderId="7" applyAlignment="1" pivotButton="0" quotePrefix="0" xfId="0">
      <alignment horizontal="right" wrapText="1"/>
    </xf>
    <xf numFmtId="0" fontId="9" fillId="4" borderId="10" applyAlignment="1" pivotButton="0" quotePrefix="0" xfId="0">
      <alignment vertical="center" wrapText="1"/>
    </xf>
    <xf numFmtId="0" fontId="9" fillId="4" borderId="10" pivotButton="0" quotePrefix="0" xfId="0"/>
    <xf numFmtId="0" fontId="10" fillId="4" borderId="10" applyAlignment="1" pivotButton="0" quotePrefix="0" xfId="0">
      <alignment vertical="center" wrapText="1"/>
    </xf>
    <xf numFmtId="0" fontId="3" fillId="4" borderId="16" applyAlignment="1" pivotButton="0" quotePrefix="0" xfId="0">
      <alignment wrapText="1"/>
    </xf>
    <xf numFmtId="0" fontId="9" fillId="4" borderId="11" applyAlignment="1" pivotButton="0" quotePrefix="0" xfId="0">
      <alignment wrapText="1"/>
    </xf>
    <xf numFmtId="0" fontId="11" fillId="4" borderId="8" pivotButton="0" quotePrefix="0" xfId="0"/>
    <xf numFmtId="0" fontId="11" fillId="4" borderId="0" pivotButton="0" quotePrefix="0" xfId="0"/>
    <xf numFmtId="0" fontId="11" fillId="4" borderId="0" applyAlignment="1" pivotButton="0" quotePrefix="0" xfId="0">
      <alignment wrapText="1"/>
    </xf>
    <xf numFmtId="0" fontId="11" fillId="4" borderId="5" applyAlignment="1" pivotButton="0" quotePrefix="0" xfId="0">
      <alignment wrapText="1"/>
    </xf>
    <xf numFmtId="0" fontId="11" fillId="4" borderId="0" applyAlignment="1" pivotButton="0" quotePrefix="0" xfId="0">
      <alignment horizontal="center"/>
    </xf>
    <xf numFmtId="0" fontId="0" fillId="0" borderId="10" pivotButton="0" quotePrefix="0" xfId="0"/>
    <xf numFmtId="0" fontId="0" fillId="0" borderId="0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5" pivotButton="0" quotePrefix="0" xfId="0"/>
    <xf numFmtId="165" fontId="18" fillId="5" borderId="14" applyAlignment="1" pivotButton="0" quotePrefix="0" xfId="0">
      <alignment horizontal="center" vertical="center" wrapText="1"/>
    </xf>
    <xf numFmtId="165" fontId="18" fillId="5" borderId="1" applyAlignment="1" pivotButton="0" quotePrefix="0" xfId="0">
      <alignment horizontal="center" vertical="center" wrapText="1"/>
    </xf>
    <xf numFmtId="165" fontId="18" fillId="5" borderId="15" applyAlignment="1" pivotButton="0" quotePrefix="0" xfId="0">
      <alignment horizontal="center" vertical="center" wrapText="1"/>
    </xf>
    <xf numFmtId="0" fontId="7" fillId="4" borderId="14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6" fontId="19" fillId="4" borderId="1" applyAlignment="1" pivotButton="0" quotePrefix="0" xfId="0">
      <alignment horizontal="center" vertical="center" wrapText="1"/>
    </xf>
    <xf numFmtId="167" fontId="6" fillId="4" borderId="1" applyAlignment="1" pivotButton="0" quotePrefix="0" xfId="2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166" fontId="6" fillId="0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17" fillId="0" borderId="0" pivotButton="0" quotePrefix="0" xfId="0"/>
    <xf numFmtId="10" fontId="0" fillId="0" borderId="0" pivotButton="0" quotePrefix="0" xfId="0"/>
    <xf numFmtId="166" fontId="16" fillId="2" borderId="1" applyAlignment="1" pivotButton="0" quotePrefix="0" xfId="0">
      <alignment horizontal="center" vertical="center" wrapText="1"/>
    </xf>
    <xf numFmtId="164" fontId="16" fillId="0" borderId="1" applyAlignment="1" pivotButton="0" quotePrefix="0" xfId="0">
      <alignment horizontal="center" vertical="center" wrapText="1"/>
    </xf>
    <xf numFmtId="10" fontId="16" fillId="0" borderId="1" applyAlignment="1" pivotButton="0" quotePrefix="0" xfId="2">
      <alignment horizontal="center" vertical="center" wrapText="1"/>
    </xf>
    <xf numFmtId="164" fontId="16" fillId="0" borderId="1" applyAlignment="1" pivotButton="0" quotePrefix="0" xfId="2">
      <alignment horizontal="center" vertical="center" wrapText="1"/>
    </xf>
    <xf numFmtId="2" fontId="16" fillId="0" borderId="1" applyAlignment="1" pivotButton="0" quotePrefix="0" xfId="2">
      <alignment horizontal="center" vertical="center" wrapText="1"/>
    </xf>
    <xf numFmtId="164" fontId="22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18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5" fontId="18" fillId="5" borderId="27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165" fontId="18" fillId="5" borderId="25" applyAlignment="1" pivotButton="0" quotePrefix="0" xfId="0">
      <alignment horizontal="center" vertical="center" wrapText="1"/>
    </xf>
    <xf numFmtId="0" fontId="5" fillId="0" borderId="25" applyAlignment="1" applyProtection="1" pivotButton="0" quotePrefix="0" xfId="1">
      <alignment horizontal="center" vertical="center" wrapText="1"/>
      <protection locked="0" hidden="0"/>
    </xf>
    <xf numFmtId="0" fontId="23" fillId="0" borderId="0" applyAlignment="1" pivotButton="0" quotePrefix="0" xfId="0">
      <alignment vertical="center"/>
    </xf>
    <xf numFmtId="0" fontId="27" fillId="8" borderId="28" applyAlignment="1" pivotButton="0" quotePrefix="0" xfId="0">
      <alignment horizontal="center" vertical="center" wrapText="1"/>
    </xf>
    <xf numFmtId="0" fontId="28" fillId="9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left" vertical="center"/>
    </xf>
    <xf numFmtId="1" fontId="28" fillId="0" borderId="28" applyAlignment="1" pivotButton="0" quotePrefix="0" xfId="0">
      <alignment horizontal="center" vertical="center"/>
    </xf>
    <xf numFmtId="165" fontId="28" fillId="0" borderId="28" applyAlignment="1" pivotButton="0" quotePrefix="0" xfId="0">
      <alignment horizontal="center" vertical="center"/>
    </xf>
    <xf numFmtId="164" fontId="28" fillId="0" borderId="28" applyAlignment="1" pivotButton="0" quotePrefix="0" xfId="0">
      <alignment horizontal="center" vertical="center"/>
    </xf>
    <xf numFmtId="164" fontId="23" fillId="0" borderId="28" applyAlignment="1" pivotButton="0" quotePrefix="0" xfId="0">
      <alignment horizontal="center" vertical="center"/>
    </xf>
    <xf numFmtId="10" fontId="23" fillId="0" borderId="28" applyAlignment="1" pivotButton="0" quotePrefix="0" xfId="0">
      <alignment horizontal="center" vertical="center"/>
    </xf>
    <xf numFmtId="168" fontId="23" fillId="0" borderId="28" applyAlignment="1" pivotButton="0" quotePrefix="0" xfId="0">
      <alignment horizontal="center" vertical="center"/>
    </xf>
    <xf numFmtId="169" fontId="28" fillId="0" borderId="28" applyAlignment="1" pivotButton="0" quotePrefix="0" xfId="0">
      <alignment horizontal="center" vertical="center"/>
    </xf>
    <xf numFmtId="0" fontId="27" fillId="10" borderId="28" applyAlignment="1" pivotButton="0" quotePrefix="0" xfId="0">
      <alignment horizontal="center" vertical="center"/>
    </xf>
    <xf numFmtId="164" fontId="27" fillId="10" borderId="28" applyAlignment="1" pivotButton="0" quotePrefix="0" xfId="0">
      <alignment horizontal="center" vertical="center"/>
    </xf>
    <xf numFmtId="164" fontId="27" fillId="11" borderId="28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33" fillId="0" borderId="28" applyAlignment="1" pivotButton="0" quotePrefix="0" xfId="0">
      <alignment vertical="center"/>
    </xf>
    <xf numFmtId="0" fontId="34" fillId="0" borderId="28" applyAlignment="1" pivotButton="0" quotePrefix="0" xfId="0">
      <alignment horizontal="center" vertical="center" wrapText="1"/>
    </xf>
    <xf numFmtId="4" fontId="34" fillId="9" borderId="28" applyAlignment="1" pivotButton="0" quotePrefix="0" xfId="0">
      <alignment horizontal="center" vertical="center" wrapText="1"/>
    </xf>
    <xf numFmtId="164" fontId="34" fillId="0" borderId="28" applyAlignment="1" pivotButton="0" quotePrefix="0" xfId="0">
      <alignment horizontal="center" vertical="center" wrapText="1"/>
    </xf>
    <xf numFmtId="0" fontId="32" fillId="0" borderId="28" applyAlignment="1" pivotButton="0" quotePrefix="0" xfId="0">
      <alignment horizontal="center" vertical="center" wrapText="1"/>
    </xf>
    <xf numFmtId="3" fontId="32" fillId="0" borderId="28" applyAlignment="1" pivotButton="0" quotePrefix="0" xfId="0">
      <alignment horizontal="center" vertical="center" wrapText="1"/>
    </xf>
    <xf numFmtId="0" fontId="17" fillId="10" borderId="0" applyAlignment="1" pivotButton="0" quotePrefix="0" xfId="0">
      <alignment wrapText="1"/>
    </xf>
    <xf numFmtId="1" fontId="36" fillId="0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1" fontId="44" fillId="0" borderId="28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 wrapText="1"/>
    </xf>
    <xf numFmtId="164" fontId="12" fillId="0" borderId="28" applyAlignment="1" pivotButton="0" quotePrefix="0" xfId="0">
      <alignment horizontal="center" vertical="center"/>
    </xf>
    <xf numFmtId="10" fontId="12" fillId="0" borderId="28" applyAlignment="1" pivotButton="0" quotePrefix="0" xfId="0">
      <alignment horizontal="center" vertical="center"/>
    </xf>
    <xf numFmtId="2" fontId="12" fillId="0" borderId="28" applyAlignment="1" pivotButton="0" quotePrefix="0" xfId="0">
      <alignment horizontal="center" vertical="center"/>
    </xf>
    <xf numFmtId="0" fontId="46" fillId="0" borderId="28" applyAlignment="1" pivotButton="0" quotePrefix="0" xfId="0">
      <alignment horizontal="center" vertical="center"/>
    </xf>
    <xf numFmtId="0" fontId="48" fillId="9" borderId="28" applyAlignment="1" pivotButton="0" quotePrefix="0" xfId="0">
      <alignment horizontal="center"/>
    </xf>
    <xf numFmtId="0" fontId="12" fillId="0" borderId="28" applyAlignment="1" pivotButton="0" quotePrefix="0" xfId="0">
      <alignment horizontal="center" wrapText="1"/>
    </xf>
    <xf numFmtId="10" fontId="12" fillId="0" borderId="28" applyAlignment="1" pivotButton="0" quotePrefix="0" xfId="0">
      <alignment horizontal="center"/>
    </xf>
    <xf numFmtId="0" fontId="12" fillId="0" borderId="28" applyAlignment="1" pivotButton="0" quotePrefix="0" xfId="0">
      <alignment horizontal="center"/>
    </xf>
    <xf numFmtId="164" fontId="20" fillId="11" borderId="28" applyAlignment="1" pivotButton="0" quotePrefix="0" xfId="0">
      <alignment horizontal="center"/>
    </xf>
    <xf numFmtId="0" fontId="20" fillId="10" borderId="36" applyAlignment="1" pivotButton="0" quotePrefix="0" xfId="0">
      <alignment horizontal="left" vertical="center" wrapText="1"/>
    </xf>
    <xf numFmtId="0" fontId="20" fillId="10" borderId="28" applyAlignment="1" pivotButton="0" quotePrefix="0" xfId="0">
      <alignment horizontal="left" vertical="center" wrapText="1"/>
    </xf>
    <xf numFmtId="0" fontId="20" fillId="8" borderId="28" applyAlignment="1" pivotButton="0" quotePrefix="0" xfId="0">
      <alignment horizontal="center" vertical="center" wrapText="1"/>
    </xf>
    <xf numFmtId="0" fontId="45" fillId="8" borderId="28" applyAlignment="1" pivotButton="0" quotePrefix="0" xfId="0">
      <alignment horizontal="center" vertical="center" wrapText="1"/>
    </xf>
    <xf numFmtId="164" fontId="20" fillId="11" borderId="28" applyAlignment="1" pivotButton="0" quotePrefix="0" xfId="0">
      <alignment horizontal="center" vertical="center"/>
    </xf>
    <xf numFmtId="0" fontId="20" fillId="10" borderId="28" applyAlignment="1" pivotButton="0" quotePrefix="0" xfId="0">
      <alignment horizontal="center" vertical="center"/>
    </xf>
    <xf numFmtId="0" fontId="20" fillId="10" borderId="28" pivotButton="0" quotePrefix="0" xfId="0"/>
    <xf numFmtId="164" fontId="42" fillId="0" borderId="36" applyAlignment="1" pivotButton="0" quotePrefix="0" xfId="0">
      <alignment horizontal="center" vertical="center" wrapText="1"/>
    </xf>
    <xf numFmtId="164" fontId="42" fillId="0" borderId="28" applyAlignment="1" pivotButton="0" quotePrefix="0" xfId="0">
      <alignment horizontal="center" vertical="center" wrapText="1"/>
    </xf>
    <xf numFmtId="167" fontId="43" fillId="9" borderId="28" applyAlignment="1" pivotButton="0" quotePrefix="0" xfId="0">
      <alignment horizontal="center" vertical="center" wrapText="1"/>
    </xf>
    <xf numFmtId="0" fontId="43" fillId="9" borderId="28" applyAlignment="1" pivotButton="0" quotePrefix="0" xfId="0">
      <alignment horizontal="center" vertical="center" wrapText="1"/>
    </xf>
    <xf numFmtId="1" fontId="12" fillId="0" borderId="28" applyAlignment="1" pivotButton="0" quotePrefix="0" xfId="0">
      <alignment horizontal="center" vertical="center" wrapText="1"/>
    </xf>
    <xf numFmtId="1" fontId="44" fillId="0" borderId="28" applyAlignment="1" pivotButton="0" quotePrefix="0" xfId="0">
      <alignment horizontal="center" vertical="center" wrapText="1"/>
    </xf>
    <xf numFmtId="0" fontId="20" fillId="10" borderId="28" applyAlignment="1" pivotButton="0" quotePrefix="0" xfId="0">
      <alignment horizontal="left" vertical="center"/>
    </xf>
    <xf numFmtId="0" fontId="51" fillId="8" borderId="28" applyAlignment="1" pivotButton="0" quotePrefix="0" xfId="0">
      <alignment horizontal="center" vertical="center" wrapText="1"/>
    </xf>
    <xf numFmtId="0" fontId="54" fillId="8" borderId="28" applyAlignment="1" pivotButton="0" quotePrefix="0" xfId="0">
      <alignment horizontal="center" vertical="center" wrapText="1"/>
    </xf>
    <xf numFmtId="0" fontId="51" fillId="8" borderId="44" applyAlignment="1" pivotButton="0" quotePrefix="0" xfId="0">
      <alignment horizontal="center" vertical="center" wrapText="1"/>
    </xf>
    <xf numFmtId="0" fontId="34" fillId="0" borderId="44" applyAlignment="1" pivotButton="0" quotePrefix="0" xfId="0">
      <alignment horizontal="left" vertical="center" wrapText="1"/>
    </xf>
    <xf numFmtId="0" fontId="51" fillId="8" borderId="47" applyAlignment="1" pivotButton="0" quotePrefix="0" xfId="0">
      <alignment horizontal="center" vertical="center" wrapText="1"/>
    </xf>
    <xf numFmtId="164" fontId="51" fillId="11" borderId="47" applyAlignment="1" pivotButton="0" quotePrefix="0" xfId="0">
      <alignment horizontal="center" vertical="center" wrapText="1"/>
    </xf>
    <xf numFmtId="164" fontId="52" fillId="11" borderId="47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8" borderId="0" pivotButton="0" quotePrefix="0" xfId="0"/>
    <xf numFmtId="0" fontId="10" fillId="0" borderId="0" pivotButton="0" quotePrefix="0" xfId="0"/>
    <xf numFmtId="0" fontId="56" fillId="0" borderId="0" pivotButton="0" quotePrefix="0" xfId="0"/>
    <xf numFmtId="0" fontId="17" fillId="8" borderId="28" applyAlignment="1" pivotButton="0" quotePrefix="0" xfId="0">
      <alignment horizontal="center" vertical="center" wrapText="1"/>
    </xf>
    <xf numFmtId="4" fontId="39" fillId="9" borderId="28" applyAlignment="1" pivotButton="0" quotePrefix="0" xfId="0">
      <alignment horizontal="center" vertical="center" wrapText="1"/>
    </xf>
    <xf numFmtId="164" fontId="60" fillId="11" borderId="28" applyAlignment="1" pivotButton="0" quotePrefix="0" xfId="0">
      <alignment horizontal="center" vertical="center" wrapText="1"/>
    </xf>
    <xf numFmtId="1" fontId="40" fillId="0" borderId="28" applyAlignment="1" pivotButton="0" quotePrefix="0" xfId="0">
      <alignment horizontal="center" vertical="center" wrapText="1"/>
    </xf>
    <xf numFmtId="4" fontId="21" fillId="9" borderId="28" applyAlignment="1" pivotButton="0" quotePrefix="0" xfId="0">
      <alignment horizontal="center" vertical="center" wrapText="1"/>
    </xf>
    <xf numFmtId="164" fontId="53" fillId="11" borderId="28" applyAlignment="1" pivotButton="0" quotePrefix="0" xfId="0">
      <alignment horizontal="center" vertical="center" wrapText="1"/>
    </xf>
    <xf numFmtId="4" fontId="41" fillId="9" borderId="28" applyAlignment="1" pivotButton="0" quotePrefix="0" xfId="0">
      <alignment horizontal="center" vertical="center" wrapText="1"/>
    </xf>
    <xf numFmtId="0" fontId="42" fillId="0" borderId="28" applyAlignment="1" pivotButton="0" quotePrefix="0" xfId="0">
      <alignment horizontal="center" vertical="center" wrapText="1"/>
    </xf>
    <xf numFmtId="1" fontId="20" fillId="10" borderId="28" applyAlignment="1" pivotButton="0" quotePrefix="0" xfId="0">
      <alignment horizontal="center" vertical="center" wrapText="1"/>
    </xf>
    <xf numFmtId="4" fontId="62" fillId="9" borderId="28" applyAlignment="1" applyProtection="1" pivotButton="0" quotePrefix="0" xfId="1">
      <alignment horizontal="center" vertical="center" wrapText="1"/>
      <protection locked="0" hidden="0"/>
    </xf>
    <xf numFmtId="164" fontId="63" fillId="11" borderId="28" applyAlignment="1" applyProtection="1" pivotButton="0" quotePrefix="0" xfId="1">
      <alignment horizontal="center" vertical="center" wrapText="1"/>
      <protection locked="0" hidden="0"/>
    </xf>
    <xf numFmtId="1" fontId="64" fillId="0" borderId="28" applyAlignment="1" applyProtection="1" pivotButton="0" quotePrefix="0" xfId="1">
      <alignment horizontal="center" vertical="center" wrapText="1"/>
      <protection locked="0" hidden="0"/>
    </xf>
    <xf numFmtId="0" fontId="65" fillId="0" borderId="28" applyAlignment="1" applyProtection="1" pivotButton="0" quotePrefix="0" xfId="1">
      <alignment horizontal="center" vertical="center" wrapText="1"/>
      <protection locked="0" hidden="0"/>
    </xf>
    <xf numFmtId="164" fontId="65" fillId="0" borderId="28" applyAlignment="1" applyProtection="1" pivotButton="0" quotePrefix="0" xfId="1">
      <alignment horizontal="center" vertical="center" wrapText="1"/>
      <protection locked="0" hidden="0"/>
    </xf>
    <xf numFmtId="4" fontId="34" fillId="6" borderId="28" applyAlignment="1" pivotButton="0" quotePrefix="0" xfId="0">
      <alignment horizontal="center" vertical="center" wrapText="1"/>
    </xf>
    <xf numFmtId="4" fontId="38" fillId="6" borderId="1" applyAlignment="1" pivotButton="0" quotePrefix="0" xfId="0">
      <alignment horizontal="center" vertical="center" wrapText="1"/>
    </xf>
    <xf numFmtId="164" fontId="38" fillId="4" borderId="1" applyAlignment="1" pivotButton="0" quotePrefix="0" xfId="2">
      <alignment horizontal="center" vertical="center" wrapText="1"/>
    </xf>
    <xf numFmtId="0" fontId="34" fillId="0" borderId="28" applyAlignment="1" pivotButton="0" quotePrefix="0" xfId="0">
      <alignment horizontal="center" vertical="center" wrapText="1"/>
    </xf>
    <xf numFmtId="0" fontId="59" fillId="6" borderId="25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 wrapText="1"/>
    </xf>
    <xf numFmtId="0" fontId="7" fillId="8" borderId="28" applyAlignment="1" pivotButton="0" quotePrefix="0" xfId="0">
      <alignment horizontal="center"/>
    </xf>
    <xf numFmtId="0" fontId="20" fillId="10" borderId="28" applyAlignment="1" pivotButton="0" quotePrefix="0" xfId="0">
      <alignment vertical="center" wrapText="1"/>
    </xf>
    <xf numFmtId="0" fontId="12" fillId="0" borderId="28" applyAlignment="1" pivotButton="0" quotePrefix="0" xfId="0">
      <alignment vertical="center" wrapText="1"/>
    </xf>
    <xf numFmtId="0" fontId="12" fillId="0" borderId="28" applyAlignment="1" pivotButton="0" quotePrefix="1" xfId="0">
      <alignment vertical="center" wrapText="1"/>
    </xf>
    <xf numFmtId="0" fontId="12" fillId="0" borderId="0" applyAlignment="1" pivotButton="0" quotePrefix="0" xfId="0">
      <alignment vertical="center"/>
    </xf>
    <xf numFmtId="0" fontId="20" fillId="10" borderId="28" applyAlignment="1" pivotButton="0" quotePrefix="0" xfId="0">
      <alignment vertical="center"/>
    </xf>
    <xf numFmtId="1" fontId="12" fillId="0" borderId="28" applyAlignment="1" pivotButton="0" quotePrefix="0" xfId="0">
      <alignment horizontal="center" vertical="center"/>
    </xf>
    <xf numFmtId="0" fontId="42" fillId="0" borderId="28" applyAlignment="1" pivotButton="0" quotePrefix="0" xfId="0">
      <alignment horizontal="center" vertical="center"/>
    </xf>
    <xf numFmtId="1" fontId="42" fillId="0" borderId="28" applyAlignment="1" pivotButton="0" quotePrefix="0" xfId="0">
      <alignment horizontal="center" vertical="center"/>
    </xf>
    <xf numFmtId="10" fontId="42" fillId="0" borderId="28" applyAlignment="1" pivotButton="0" quotePrefix="0" xfId="0">
      <alignment horizontal="center" vertical="center"/>
    </xf>
    <xf numFmtId="167" fontId="42" fillId="0" borderId="28" applyAlignment="1" pivotButton="0" quotePrefix="0" xfId="0">
      <alignment horizontal="center" vertical="center"/>
    </xf>
    <xf numFmtId="164" fontId="42" fillId="0" borderId="28" applyAlignment="1" pivotButton="0" quotePrefix="0" xfId="0">
      <alignment horizontal="center" vertical="center"/>
    </xf>
    <xf numFmtId="1" fontId="44" fillId="0" borderId="28" applyAlignment="1" pivotButton="0" quotePrefix="0" xfId="0">
      <alignment horizontal="center" vertical="center"/>
    </xf>
    <xf numFmtId="164" fontId="44" fillId="0" borderId="28" applyAlignment="1" pivotButton="0" quotePrefix="0" xfId="0">
      <alignment horizontal="center" vertical="center"/>
    </xf>
    <xf numFmtId="10" fontId="44" fillId="0" borderId="28" applyAlignment="1" pivotButton="0" quotePrefix="0" xfId="0">
      <alignment horizontal="center" vertical="center"/>
    </xf>
    <xf numFmtId="0" fontId="68" fillId="10" borderId="28" applyAlignment="1" pivotButton="0" quotePrefix="0" xfId="0">
      <alignment horizontal="center" vertical="center"/>
    </xf>
    <xf numFmtId="164" fontId="44" fillId="11" borderId="28" applyAlignment="1" pivotButton="0" quotePrefix="0" xfId="0">
      <alignment horizontal="center" vertical="center"/>
    </xf>
    <xf numFmtId="0" fontId="20" fillId="10" borderId="29" applyAlignment="1" pivotButton="0" quotePrefix="0" xfId="0">
      <alignment horizontal="center" vertical="center"/>
    </xf>
    <xf numFmtId="0" fontId="12" fillId="10" borderId="29" applyAlignment="1" pivotButton="0" quotePrefix="0" xfId="0">
      <alignment horizontal="center" vertical="center"/>
    </xf>
    <xf numFmtId="164" fontId="12" fillId="10" borderId="29" applyAlignment="1" pivotButton="0" quotePrefix="0" xfId="0">
      <alignment horizontal="center" vertical="center"/>
    </xf>
    <xf numFmtId="167" fontId="12" fillId="10" borderId="29" applyAlignment="1" pivotButton="0" quotePrefix="0" xfId="0">
      <alignment horizontal="center" vertical="center"/>
    </xf>
    <xf numFmtId="0" fontId="20" fillId="0" borderId="28" applyAlignment="1" pivotButton="0" quotePrefix="0" xfId="0">
      <alignment vertical="center" wrapText="1"/>
    </xf>
    <xf numFmtId="0" fontId="68" fillId="10" borderId="28" applyAlignment="1" pivotButton="0" quotePrefix="0" xfId="0">
      <alignment horizontal="left" vertical="center" wrapText="1"/>
    </xf>
    <xf numFmtId="0" fontId="44" fillId="0" borderId="28" applyAlignment="1" pivotButton="0" quotePrefix="0" xfId="0">
      <alignment horizontal="left" vertical="center" wrapText="1"/>
    </xf>
    <xf numFmtId="0" fontId="20" fillId="8" borderId="36" applyAlignment="1" pivotButton="0" quotePrefix="0" xfId="0">
      <alignment horizontal="center" vertical="center" wrapText="1"/>
    </xf>
    <xf numFmtId="0" fontId="34" fillId="0" borderId="44" applyAlignment="1" pivotButton="0" quotePrefix="0" xfId="0">
      <alignment horizontal="left" vertical="center" wrapText="1"/>
    </xf>
    <xf numFmtId="0" fontId="71" fillId="7" borderId="26" applyAlignment="1" pivotButton="0" quotePrefix="0" xfId="0">
      <alignment horizontal="center" wrapText="1"/>
    </xf>
    <xf numFmtId="0" fontId="29" fillId="0" borderId="26" pivotButton="0" quotePrefix="0" xfId="0"/>
    <xf numFmtId="167" fontId="29" fillId="0" borderId="26" pivotButton="0" quotePrefix="0" xfId="0"/>
    <xf numFmtId="170" fontId="29" fillId="0" borderId="26" pivotButton="0" quotePrefix="0" xfId="0"/>
    <xf numFmtId="0" fontId="29" fillId="0" borderId="26" applyAlignment="1" pivotButton="0" quotePrefix="0" xfId="0">
      <alignment horizontal="center"/>
    </xf>
    <xf numFmtId="0" fontId="57" fillId="13" borderId="54" applyAlignment="1" pivotButton="0" quotePrefix="0" xfId="0">
      <alignment horizontal="center" vertical="center"/>
    </xf>
    <xf numFmtId="0" fontId="74" fillId="7" borderId="56" applyAlignment="1" pivotButton="0" quotePrefix="0" xfId="0">
      <alignment horizontal="center" vertical="center"/>
    </xf>
    <xf numFmtId="49" fontId="58" fillId="0" borderId="25" applyAlignment="1" applyProtection="1" pivotButton="0" quotePrefix="0" xfId="1">
      <alignment horizontal="center" vertical="center" wrapText="1"/>
      <protection locked="0" hidden="0"/>
    </xf>
    <xf numFmtId="0" fontId="11" fillId="4" borderId="0" pivotButton="0" quotePrefix="0" xfId="0"/>
    <xf numFmtId="0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wrapText="1"/>
    </xf>
    <xf numFmtId="14" fontId="6" fillId="4" borderId="3" applyAlignment="1" pivotButton="0" quotePrefix="0" xfId="0">
      <alignment horizontal="center" vertical="center" wrapText="1"/>
    </xf>
    <xf numFmtId="0" fontId="66" fillId="7" borderId="0" applyAlignment="1" pivotButton="0" quotePrefix="0" xfId="0">
      <alignment horizontal="center"/>
    </xf>
    <xf numFmtId="0" fontId="26" fillId="7" borderId="0" applyAlignment="1" pivotButton="0" quotePrefix="0" xfId="0">
      <alignment horizontal="center"/>
    </xf>
    <xf numFmtId="0" fontId="11" fillId="4" borderId="6" applyAlignment="1" pivotButton="0" quotePrefix="0" xfId="0">
      <alignment horizontal="center"/>
    </xf>
    <xf numFmtId="0" fontId="0" fillId="0" borderId="8" pivotButton="0" quotePrefix="0" xfId="0"/>
    <xf numFmtId="0" fontId="11" fillId="4" borderId="5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6" fillId="0" borderId="0" pivotButton="0" quotePrefix="0" xfId="0"/>
    <xf numFmtId="0" fontId="0" fillId="0" borderId="5" pivotButton="0" quotePrefix="0" xfId="0"/>
    <xf numFmtId="0" fontId="1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4" borderId="2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10" pivotButton="0" quotePrefix="0" xfId="0"/>
    <xf numFmtId="0" fontId="0" fillId="0" borderId="18" pivotButton="0" quotePrefix="0" xfId="0"/>
    <xf numFmtId="0" fontId="10" fillId="4" borderId="9" applyAlignment="1" pivotButton="0" quotePrefix="0" xfId="0">
      <alignment horizontal="left" vertical="center" wrapText="1"/>
    </xf>
    <xf numFmtId="0" fontId="3" fillId="4" borderId="20" applyAlignment="1" pivotButton="0" quotePrefix="0" xfId="0">
      <alignment horizontal="center" wrapText="1"/>
    </xf>
    <xf numFmtId="0" fontId="0" fillId="0" borderId="20" pivotButton="0" quotePrefix="0" xfId="0"/>
    <xf numFmtId="0" fontId="0" fillId="0" borderId="6" pivotButton="0" quotePrefix="0" xfId="0"/>
    <xf numFmtId="0" fontId="0" fillId="0" borderId="9" pivotButton="0" quotePrefix="0" xfId="0"/>
    <xf numFmtId="0" fontId="2" fillId="0" borderId="57" applyAlignment="1" pivotButton="0" quotePrefix="0" xfId="0">
      <alignment horizontal="left" vertical="center" wrapText="1"/>
    </xf>
    <xf numFmtId="0" fontId="2" fillId="0" borderId="58" applyAlignment="1" pivotButton="0" quotePrefix="0" xfId="0">
      <alignment horizontal="left" vertical="center"/>
    </xf>
    <xf numFmtId="0" fontId="2" fillId="0" borderId="24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0" fontId="2" fillId="0" borderId="25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center"/>
    </xf>
    <xf numFmtId="0" fontId="2" fillId="0" borderId="59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14" fillId="0" borderId="24" applyAlignment="1" pivotButton="0" quotePrefix="0" xfId="0">
      <alignment horizontal="center" vertical="center"/>
    </xf>
    <xf numFmtId="0" fontId="0" fillId="0" borderId="16" pivotButton="0" quotePrefix="0" xfId="0"/>
    <xf numFmtId="0" fontId="9" fillId="4" borderId="10" applyAlignment="1" pivotButton="0" quotePrefix="0" xfId="0">
      <alignment horizontal="left" vertical="center" wrapText="1"/>
    </xf>
    <xf numFmtId="0" fontId="10" fillId="4" borderId="1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/>
    </xf>
    <xf numFmtId="0" fontId="3" fillId="4" borderId="21" applyAlignment="1" pivotButton="0" quotePrefix="0" xfId="0">
      <alignment horizontal="center"/>
    </xf>
    <xf numFmtId="0" fontId="0" fillId="0" borderId="4" pivotButton="0" quotePrefix="0" xfId="0"/>
    <xf numFmtId="0" fontId="0" fillId="0" borderId="21" pivotButton="0" quotePrefix="0" xfId="0"/>
    <xf numFmtId="0" fontId="9" fillId="0" borderId="0" applyAlignment="1" pivotButton="0" quotePrefix="0" xfId="0">
      <alignment vertical="top" wrapText="1"/>
    </xf>
    <xf numFmtId="0" fontId="47" fillId="7" borderId="30" applyAlignment="1" pivotButton="0" quotePrefix="0" xfId="0">
      <alignment horizontal="center" vertical="center" wrapText="1"/>
    </xf>
    <xf numFmtId="0" fontId="49" fillId="7" borderId="38" applyAlignment="1" pivotButton="0" quotePrefix="0" xfId="0">
      <alignment horizontal="center" vertical="center"/>
    </xf>
    <xf numFmtId="0" fontId="50" fillId="7" borderId="35" pivotButton="0" quotePrefix="0" xfId="0"/>
    <xf numFmtId="0" fontId="50" fillId="7" borderId="40" pivotButton="0" quotePrefix="0" xfId="0"/>
    <xf numFmtId="0" fontId="37" fillId="0" borderId="39" applyAlignment="1" pivotButton="0" quotePrefix="0" xfId="0">
      <alignment horizontal="center" wrapText="1"/>
    </xf>
    <xf numFmtId="0" fontId="37" fillId="0" borderId="37" pivotButton="0" quotePrefix="0" xfId="0"/>
    <xf numFmtId="0" fontId="37" fillId="0" borderId="41" pivotButton="0" quotePrefix="0" xfId="0"/>
    <xf numFmtId="0" fontId="61" fillId="10" borderId="28" applyAlignment="1" pivotButton="0" quotePrefix="0" xfId="0">
      <alignment horizontal="left" vertical="center" wrapText="1"/>
    </xf>
    <xf numFmtId="0" fontId="20" fillId="10" borderId="28" applyAlignment="1" pivotButton="0" quotePrefix="0" xfId="0">
      <alignment horizontal="center" vertical="center" wrapText="1"/>
    </xf>
    <xf numFmtId="164" fontId="20" fillId="10" borderId="28" applyAlignment="1" pivotButton="0" quotePrefix="0" xfId="0">
      <alignment horizontal="center" vertical="center" wrapText="1"/>
    </xf>
    <xf numFmtId="0" fontId="0" fillId="0" borderId="0" pivotButton="0" quotePrefix="0" xfId="0"/>
    <xf numFmtId="0" fontId="56" fillId="0" borderId="28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center" vertical="center" wrapText="1"/>
    </xf>
    <xf numFmtId="164" fontId="12" fillId="0" borderId="28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164" fontId="20" fillId="11" borderId="28" applyAlignment="1" pivotButton="0" quotePrefix="0" xfId="0">
      <alignment horizontal="center" vertical="center" wrapText="1"/>
    </xf>
    <xf numFmtId="0" fontId="20" fillId="11" borderId="28" applyAlignment="1" pivotButton="0" quotePrefix="0" xfId="0">
      <alignment horizontal="center" vertical="center" wrapText="1"/>
    </xf>
    <xf numFmtId="0" fontId="24" fillId="0" borderId="33" applyAlignment="1" pivotButton="0" quotePrefix="0" xfId="0">
      <alignment horizontal="center" vertical="center" wrapText="1"/>
    </xf>
    <xf numFmtId="0" fontId="24" fillId="0" borderId="32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 wrapText="1"/>
    </xf>
    <xf numFmtId="0" fontId="25" fillId="0" borderId="36" applyAlignment="1" pivotButton="0" quotePrefix="0" xfId="0">
      <alignment horizontal="center" vertical="center"/>
    </xf>
    <xf numFmtId="0" fontId="26" fillId="7" borderId="29" applyAlignment="1" pivotButton="0" quotePrefix="0" xfId="0">
      <alignment horizontal="center" vertical="center"/>
    </xf>
    <xf numFmtId="0" fontId="26" fillId="7" borderId="29" applyAlignment="1" pivotButton="0" quotePrefix="0" xfId="0">
      <alignment horizontal="center"/>
    </xf>
    <xf numFmtId="0" fontId="26" fillId="7" borderId="28" applyAlignment="1" pivotButton="0" quotePrefix="0" xfId="0">
      <alignment horizontal="center"/>
    </xf>
    <xf numFmtId="0" fontId="4" fillId="0" borderId="28" applyAlignment="1" pivotButton="0" quotePrefix="0" xfId="0">
      <alignment horizontal="left" vertical="center" wrapText="1"/>
    </xf>
    <xf numFmtId="0" fontId="3" fillId="0" borderId="28" applyAlignment="1" pivotButton="0" quotePrefix="0" xfId="0">
      <alignment horizontal="center" vertical="center" wrapText="1"/>
    </xf>
    <xf numFmtId="164" fontId="12" fillId="0" borderId="28" applyAlignment="1" pivotButton="0" quotePrefix="0" xfId="0">
      <alignment horizontal="center" vertical="center" wrapText="1"/>
    </xf>
    <xf numFmtId="0" fontId="26" fillId="7" borderId="28" applyAlignment="1" pivotButton="0" quotePrefix="0" xfId="0">
      <alignment horizontal="center" vertical="center"/>
    </xf>
    <xf numFmtId="0" fontId="17" fillId="8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26" fillId="7" borderId="44" applyAlignment="1" pivotButton="0" quotePrefix="0" xfId="0">
      <alignment horizontal="left" vertical="center" wrapText="1"/>
    </xf>
    <xf numFmtId="0" fontId="26" fillId="7" borderId="28" applyAlignment="1" pivotButton="0" quotePrefix="0" xfId="0">
      <alignment horizontal="center" vertical="center" wrapText="1"/>
    </xf>
    <xf numFmtId="0" fontId="70" fillId="12" borderId="44" applyAlignment="1" pivotButton="0" quotePrefix="0" xfId="0">
      <alignment horizontal="center" vertical="center" wrapText="1"/>
    </xf>
    <xf numFmtId="0" fontId="70" fillId="12" borderId="45" applyAlignment="1" pivotButton="0" quotePrefix="0" xfId="0">
      <alignment horizontal="center" vertical="center" wrapText="1"/>
    </xf>
    <xf numFmtId="0" fontId="53" fillId="11" borderId="28" applyAlignment="1" pivotButton="0" quotePrefix="0" xfId="0">
      <alignment horizontal="center" vertical="center" wrapText="1"/>
    </xf>
    <xf numFmtId="0" fontId="53" fillId="11" borderId="47" applyAlignment="1" pivotButton="0" quotePrefix="0" xfId="0">
      <alignment horizontal="center" vertical="center" wrapText="1"/>
    </xf>
    <xf numFmtId="0" fontId="53" fillId="11" borderId="42" applyAlignment="1" pivotButton="0" quotePrefix="0" xfId="0">
      <alignment horizontal="center" vertical="center" wrapText="1"/>
    </xf>
    <xf numFmtId="0" fontId="53" fillId="11" borderId="48" applyAlignment="1" pivotButton="0" quotePrefix="0" xfId="0">
      <alignment horizontal="center" vertical="center" wrapText="1"/>
    </xf>
    <xf numFmtId="0" fontId="31" fillId="7" borderId="28" applyAlignment="1" pivotButton="0" quotePrefix="0" xfId="0">
      <alignment horizontal="center" vertical="center" wrapText="1"/>
    </xf>
    <xf numFmtId="0" fontId="55" fillId="0" borderId="2" applyAlignment="1" pivotButton="0" quotePrefix="0" xfId="0">
      <alignment vertical="top" wrapText="1"/>
    </xf>
    <xf numFmtId="0" fontId="0" fillId="0" borderId="2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26" fillId="7" borderId="43" applyAlignment="1" pivotButton="0" quotePrefix="0" xfId="0">
      <alignment horizontal="center" vertical="center" wrapText="1"/>
    </xf>
    <xf numFmtId="0" fontId="26" fillId="7" borderId="31" applyAlignment="1" pivotButton="0" quotePrefix="0" xfId="0">
      <alignment horizontal="center" vertical="center" wrapText="1"/>
    </xf>
    <xf numFmtId="0" fontId="26" fillId="7" borderId="46" applyAlignment="1" pivotButton="0" quotePrefix="0" xfId="0">
      <alignment horizontal="center" vertical="center" wrapText="1"/>
    </xf>
    <xf numFmtId="0" fontId="26" fillId="12" borderId="44" applyAlignment="1" pivotButton="0" quotePrefix="0" xfId="0">
      <alignment horizontal="center" vertical="center" wrapText="1"/>
    </xf>
    <xf numFmtId="0" fontId="26" fillId="12" borderId="28" applyAlignment="1" pivotButton="0" quotePrefix="0" xfId="0">
      <alignment horizontal="center" vertical="center" wrapText="1"/>
    </xf>
    <xf numFmtId="0" fontId="26" fillId="12" borderId="47" applyAlignment="1" pivotButton="0" quotePrefix="0" xfId="0">
      <alignment horizontal="center" vertical="center" wrapText="1"/>
    </xf>
    <xf numFmtId="0" fontId="26" fillId="12" borderId="44" applyAlignment="1" pivotButton="0" quotePrefix="0" xfId="0">
      <alignment horizontal="left" vertical="center" wrapText="1"/>
    </xf>
    <xf numFmtId="0" fontId="71" fillId="13" borderId="51" applyAlignment="1" pivotButton="0" quotePrefix="0" xfId="0">
      <alignment horizontal="center" vertical="center"/>
    </xf>
    <xf numFmtId="0" fontId="71" fillId="13" borderId="49" applyAlignment="1" pivotButton="0" quotePrefix="0" xfId="0">
      <alignment horizontal="center" vertical="center"/>
    </xf>
    <xf numFmtId="167" fontId="72" fillId="7" borderId="52" applyAlignment="1" pivotButton="0" quotePrefix="0" xfId="0">
      <alignment horizontal="center" vertical="center"/>
    </xf>
    <xf numFmtId="0" fontId="72" fillId="7" borderId="0" applyAlignment="1" pivotButton="0" quotePrefix="0" xfId="0">
      <alignment horizontal="center" vertical="center"/>
    </xf>
    <xf numFmtId="0" fontId="72" fillId="7" borderId="52" applyAlignment="1" pivotButton="0" quotePrefix="0" xfId="0">
      <alignment horizontal="center" vertical="center"/>
    </xf>
    <xf numFmtId="0" fontId="73" fillId="7" borderId="53" applyAlignment="1" pivotButton="0" quotePrefix="0" xfId="0">
      <alignment horizontal="center" vertical="center"/>
    </xf>
    <xf numFmtId="0" fontId="73" fillId="7" borderId="50" applyAlignment="1" pivotButton="0" quotePrefix="0" xfId="0">
      <alignment horizontal="center" vertical="center"/>
    </xf>
    <xf numFmtId="0" fontId="66" fillId="7" borderId="55" applyAlignment="1" pivotButton="0" quotePrefix="0" xfId="0">
      <alignment horizontal="center" vertical="center"/>
    </xf>
    <xf numFmtId="0" fontId="72" fillId="7" borderId="55" applyAlignment="1" pivotButton="0" quotePrefix="0" xfId="0">
      <alignment horizontal="center" vertical="center"/>
    </xf>
    <xf numFmtId="171" fontId="72" fillId="7" borderId="52" applyAlignment="1" pivotButton="0" quotePrefix="0" xfId="0">
      <alignment horizontal="center" vertical="center"/>
    </xf>
    <xf numFmtId="0" fontId="67" fillId="7" borderId="38" applyAlignment="1" pivotButton="0" quotePrefix="0" xfId="0">
      <alignment horizontal="center" vertical="center"/>
    </xf>
    <xf numFmtId="0" fontId="26" fillId="7" borderId="35" applyAlignment="1" pivotButton="0" quotePrefix="0" xfId="0">
      <alignment horizontal="center" vertical="center"/>
    </xf>
    <xf numFmtId="0" fontId="26" fillId="7" borderId="40" applyAlignment="1" pivotButton="0" quotePrefix="0" xfId="0">
      <alignment horizontal="center" vertical="center"/>
    </xf>
    <xf numFmtId="0" fontId="35" fillId="0" borderId="39" applyAlignment="1" pivotButton="0" quotePrefix="0" xfId="0">
      <alignment horizontal="center"/>
    </xf>
    <xf numFmtId="0" fontId="0" fillId="0" borderId="37" pivotButton="0" quotePrefix="0" xfId="0"/>
    <xf numFmtId="0" fontId="0" fillId="0" borderId="41" pivotButton="0" quotePrefix="0" xfId="0"/>
    <xf numFmtId="0" fontId="26" fillId="7" borderId="0" applyAlignment="1" pivotButton="0" quotePrefix="0" xfId="0">
      <alignment horizontal="center" vertical="center"/>
    </xf>
    <xf numFmtId="0" fontId="69" fillId="9" borderId="28" applyAlignment="1" pivotButton="0" quotePrefix="0" xfId="0">
      <alignment horizontal="left" vertical="center" wrapText="1"/>
    </xf>
    <xf numFmtId="0" fontId="0" fillId="9" borderId="28" pivotButton="0" quotePrefix="0" xfId="0"/>
    <xf numFmtId="0" fontId="26" fillId="7" borderId="25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wrapText="1"/>
    </xf>
    <xf numFmtId="0" fontId="75" fillId="0" borderId="17" pivotButton="0" quotePrefix="0" xfId="0"/>
    <xf numFmtId="0" fontId="76" fillId="4" borderId="23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26" fillId="7" borderId="0" applyAlignment="1" pivotButton="0" quotePrefix="0" xfId="0">
      <alignment horizontal="center" wrapText="1"/>
    </xf>
    <xf numFmtId="0" fontId="71" fillId="7" borderId="26" applyAlignment="1" pivotButton="0" quotePrefix="0" xfId="0">
      <alignment horizontal="center" wrapText="1"/>
    </xf>
    <xf numFmtId="0" fontId="29" fillId="0" borderId="26" pivotButton="0" quotePrefix="0" xfId="0"/>
    <xf numFmtId="0" fontId="0" fillId="0" borderId="0" pivotButton="0" quotePrefix="0" xfId="0"/>
    <xf numFmtId="0" fontId="23" fillId="0" borderId="0" pivotButton="0" quotePrefix="0" xfId="0"/>
    <xf numFmtId="0" fontId="23" fillId="7" borderId="0" pivotButton="0" quotePrefix="0" xfId="0"/>
    <xf numFmtId="0" fontId="77" fillId="7" borderId="0" pivotButton="0" quotePrefix="0" xfId="0"/>
    <xf numFmtId="0" fontId="78" fillId="0" borderId="0" pivotButton="0" quotePrefix="0" xfId="0"/>
    <xf numFmtId="0" fontId="79" fillId="7" borderId="0" pivotButton="0" quotePrefix="0" xfId="0"/>
    <xf numFmtId="0" fontId="27" fillId="8" borderId="0" applyAlignment="1" pivotButton="0" quotePrefix="0" xfId="0">
      <alignment horizontal="center" vertical="center" wrapText="1"/>
    </xf>
    <xf numFmtId="0" fontId="79" fillId="7" borderId="0" applyAlignment="1" pivotButton="0" quotePrefix="0" xfId="0">
      <alignment horizontal="center"/>
    </xf>
    <xf numFmtId="0" fontId="27" fillId="0" borderId="0" pivotButton="0" quotePrefix="0" xfId="0"/>
    <xf numFmtId="0" fontId="27" fillId="11" borderId="0" pivotButton="0" quotePrefix="0" xfId="0"/>
    <xf numFmtId="0" fontId="23" fillId="11" borderId="0" pivotButton="0" quotePrefix="0" xfId="0"/>
    <xf numFmtId="0" fontId="23" fillId="0" borderId="61" pivotButton="0" quotePrefix="0" xfId="0"/>
    <xf numFmtId="0" fontId="79" fillId="7" borderId="62" pivotButton="0" quotePrefix="0" xfId="0"/>
    <xf numFmtId="0" fontId="79" fillId="7" borderId="62" applyAlignment="1" pivotButton="0" quotePrefix="0" xfId="0">
      <alignment horizontal="center"/>
    </xf>
    <xf numFmtId="0" fontId="23" fillId="0" borderId="62" pivotButton="0" quotePrefix="0" xfId="0"/>
    <xf numFmtId="172" fontId="80" fillId="0" borderId="62" pivotButton="0" quotePrefix="0" xfId="0"/>
    <xf numFmtId="1" fontId="28" fillId="9" borderId="62" pivotButton="0" quotePrefix="0" xfId="0"/>
    <xf numFmtId="165" fontId="28" fillId="9" borderId="62" pivotButton="0" quotePrefix="0" xfId="0"/>
    <xf numFmtId="9" fontId="28" fillId="9" borderId="62" pivotButton="0" quotePrefix="0" xfId="0"/>
    <xf numFmtId="167" fontId="80" fillId="0" borderId="62" pivotButton="0" quotePrefix="0" xfId="0"/>
    <xf numFmtId="1" fontId="23" fillId="0" borderId="62" pivotButton="0" quotePrefix="0" xfId="0"/>
    <xf numFmtId="0" fontId="27" fillId="0" borderId="60" applyAlignment="1" pivotButton="0" quotePrefix="0" xfId="0">
      <alignment horizontal="center"/>
    </xf>
    <xf numFmtId="0" fontId="79" fillId="7" borderId="62" applyAlignment="1" pivotButton="0" quotePrefix="0" xfId="0">
      <alignment horizontal="center" wrapText="1"/>
    </xf>
    <xf numFmtId="1" fontId="23" fillId="0" borderId="62" applyAlignment="1" pivotButton="0" quotePrefix="0" xfId="0">
      <alignment horizontal="right"/>
    </xf>
    <xf numFmtId="173" fontId="23" fillId="0" borderId="62" applyAlignment="1" pivotButton="0" quotePrefix="0" xfId="0">
      <alignment horizontal="right"/>
    </xf>
    <xf numFmtId="167" fontId="23" fillId="0" borderId="62" applyAlignment="1" pivotButton="0" quotePrefix="0" xfId="0">
      <alignment horizontal="right"/>
    </xf>
    <xf numFmtId="2" fontId="23" fillId="0" borderId="62" applyAlignment="1" pivotButton="0" quotePrefix="0" xfId="0">
      <alignment horizontal="right"/>
    </xf>
    <xf numFmtId="0" fontId="27" fillId="0" borderId="62" applyAlignment="1" pivotButton="0" quotePrefix="0" xfId="0">
      <alignment horizontal="center"/>
    </xf>
    <xf numFmtId="0" fontId="23" fillId="0" borderId="60" pivotButton="0" quotePrefix="0" xfId="0"/>
    <xf numFmtId="0" fontId="27" fillId="8" borderId="62" applyAlignment="1" pivotButton="0" quotePrefix="0" xfId="0">
      <alignment horizontal="center" vertical="center" wrapText="1"/>
    </xf>
    <xf numFmtId="0" fontId="81" fillId="8" borderId="62" applyAlignment="1" pivotButton="0" quotePrefix="0" xfId="0">
      <alignment horizontal="center" vertical="center" wrapText="1"/>
    </xf>
    <xf numFmtId="166" fontId="23" fillId="0" borderId="62" pivotButton="0" quotePrefix="0" xfId="0"/>
    <xf numFmtId="4" fontId="23" fillId="0" borderId="62" pivotButton="0" quotePrefix="0" xfId="0"/>
    <xf numFmtId="172" fontId="23" fillId="0" borderId="62" pivotButton="0" quotePrefix="0" xfId="0"/>
    <xf numFmtId="165" fontId="23" fillId="0" borderId="62" pivotButton="0" quotePrefix="0" xfId="0"/>
    <xf numFmtId="0" fontId="23" fillId="0" borderId="62" applyAlignment="1" pivotButton="0" quotePrefix="0" xfId="0">
      <alignment horizontal="center"/>
    </xf>
    <xf numFmtId="2" fontId="23" fillId="0" borderId="62" pivotButton="0" quotePrefix="0" xfId="0"/>
    <xf numFmtId="0" fontId="28" fillId="9" borderId="62" applyAlignment="1" pivotButton="0" quotePrefix="0" xfId="0">
      <alignment horizontal="center"/>
    </xf>
    <xf numFmtId="1" fontId="82" fillId="0" borderId="62" pivotButton="0" quotePrefix="0" xfId="0"/>
    <xf numFmtId="0" fontId="82" fillId="0" borderId="62" pivotButton="0" quotePrefix="0" xfId="0"/>
    <xf numFmtId="0" fontId="23" fillId="0" borderId="63" pivotButton="0" quotePrefix="0" xfId="0"/>
    <xf numFmtId="0" fontId="27" fillId="0" borderId="62" pivotButton="0" quotePrefix="0" xfId="0"/>
    <xf numFmtId="0" fontId="83" fillId="0" borderId="62" pivotButton="0" quotePrefix="0" xfId="0"/>
    <xf numFmtId="4" fontId="28" fillId="9" borderId="62" pivotButton="0" quotePrefix="0" xfId="0"/>
    <xf numFmtId="174" fontId="28" fillId="9" borderId="62" pivotButton="0" quotePrefix="0" xfId="0"/>
    <xf numFmtId="3" fontId="28" fillId="9" borderId="62" pivotButton="0" quotePrefix="0" xfId="0"/>
    <xf numFmtId="167" fontId="23" fillId="0" borderId="62" pivotButton="0" quotePrefix="0" xfId="0"/>
    <xf numFmtId="0" fontId="79" fillId="7" borderId="0" pivotButton="0" quotePrefix="0" xfId="0"/>
    <xf numFmtId="175" fontId="23" fillId="0" borderId="62" pivotButton="0" quotePrefix="0" xfId="0"/>
    <xf numFmtId="174" fontId="23" fillId="0" borderId="62" pivotButton="0" quotePrefix="0" xfId="0"/>
    <xf numFmtId="1" fontId="84" fillId="0" borderId="62" pivotButton="0" quotePrefix="0" xfId="0"/>
    <xf numFmtId="166" fontId="84" fillId="0" borderId="62" pivotButton="0" quotePrefix="0" xfId="0"/>
    <xf numFmtId="4" fontId="84" fillId="0" borderId="62" pivotButton="0" quotePrefix="0" xfId="0"/>
    <xf numFmtId="3" fontId="84" fillId="0" borderId="62" pivotButton="0" quotePrefix="0" xfId="0"/>
    <xf numFmtId="168" fontId="84" fillId="0" borderId="62" pivotButton="0" quotePrefix="0" xfId="0"/>
    <xf numFmtId="0" fontId="85" fillId="8" borderId="62" applyAlignment="1" pivotButton="0" quotePrefix="0" xfId="0">
      <alignment horizontal="center" vertical="center" wrapText="1"/>
    </xf>
    <xf numFmtId="0" fontId="86" fillId="0" borderId="62" applyAlignment="1" pivotButton="0" quotePrefix="0" xfId="0">
      <alignment horizontal="center"/>
    </xf>
    <xf numFmtId="1" fontId="86" fillId="0" borderId="62" pivotButton="0" quotePrefix="0" xfId="0"/>
    <xf numFmtId="175" fontId="86" fillId="0" borderId="62" pivotButton="0" quotePrefix="0" xfId="0"/>
    <xf numFmtId="174" fontId="86" fillId="0" borderId="62" pivotButton="0" quotePrefix="0" xfId="0"/>
    <xf numFmtId="0" fontId="85" fillId="0" borderId="62" applyAlignment="1" pivotButton="0" quotePrefix="0" xfId="0">
      <alignment horizontal="center"/>
    </xf>
    <xf numFmtId="0" fontId="23" fillId="0" borderId="64" pivotButton="0" quotePrefix="0" xfId="0"/>
    <xf numFmtId="0" fontId="23" fillId="0" borderId="64" applyAlignment="1" pivotButton="0" quotePrefix="0" xfId="0">
      <alignment horizontal="center"/>
    </xf>
    <xf numFmtId="166" fontId="23" fillId="0" borderId="64" pivotButton="0" quotePrefix="0" xfId="0"/>
    <xf numFmtId="175" fontId="23" fillId="0" borderId="64" pivotButton="0" quotePrefix="0" xfId="0"/>
    <xf numFmtId="4" fontId="23" fillId="0" borderId="64" pivotButton="0" quotePrefix="0" xfId="0"/>
    <xf numFmtId="0" fontId="27" fillId="0" borderId="64" applyAlignment="1" pivotButton="0" quotePrefix="0" xfId="0">
      <alignment horizontal="center"/>
    </xf>
    <xf numFmtId="0" fontId="79" fillId="0" borderId="0" pivotButton="0" quotePrefix="0" xfId="0"/>
    <xf numFmtId="0" fontId="87" fillId="7" borderId="0" pivotButton="0" quotePrefix="0" xfId="0"/>
    <xf numFmtId="0" fontId="86" fillId="0" borderId="62" applyAlignment="1" pivotButton="0" quotePrefix="0" xfId="0">
      <alignment horizontal="left"/>
    </xf>
    <xf numFmtId="0" fontId="80" fillId="0" borderId="60" pivotButton="0" quotePrefix="0" xfId="0"/>
    <xf numFmtId="172" fontId="80" fillId="0" borderId="60" applyAlignment="1" pivotButton="0" quotePrefix="0" xfId="0">
      <alignment horizontal="left"/>
    </xf>
    <xf numFmtId="1" fontId="80" fillId="0" borderId="60" applyAlignment="1" pivotButton="0" quotePrefix="0" xfId="0">
      <alignment horizontal="right"/>
    </xf>
    <xf numFmtId="167" fontId="80" fillId="0" borderId="60" applyAlignment="1" pivotButton="0" quotePrefix="0" xfId="0">
      <alignment horizontal="right"/>
    </xf>
    <xf numFmtId="0" fontId="27" fillId="11" borderId="61" pivotButton="0" quotePrefix="0" xfId="0"/>
    <xf numFmtId="166" fontId="88" fillId="11" borderId="60" applyAlignment="1" pivotButton="0" quotePrefix="0" xfId="0">
      <alignment horizontal="right"/>
    </xf>
    <xf numFmtId="0" fontId="27" fillId="11" borderId="60" applyAlignment="1" pivotButton="0" quotePrefix="0" xfId="0">
      <alignment horizontal="center"/>
    </xf>
    <xf numFmtId="166" fontId="80" fillId="0" borderId="60" applyAlignment="1" pivotButton="0" quotePrefix="0" xfId="0">
      <alignment horizontal="right"/>
    </xf>
    <xf numFmtId="0" fontId="80" fillId="0" borderId="60" applyAlignment="1" pivotButton="0" quotePrefix="0" xfId="0">
      <alignment horizontal="left"/>
    </xf>
    <xf numFmtId="0" fontId="23" fillId="0" borderId="61" applyAlignment="1" pivotButton="0" quotePrefix="0" xfId="0">
      <alignment vertical="top" wrapText="1"/>
    </xf>
    <xf numFmtId="0" fontId="23" fillId="0" borderId="60" applyAlignment="1" pivotButton="0" quotePrefix="0" xfId="0">
      <alignment vertical="top" wrapText="1"/>
    </xf>
    <xf numFmtId="0" fontId="23" fillId="0" borderId="63" applyAlignment="1" pivotButton="0" quotePrefix="0" xfId="0">
      <alignment vertical="top" wrapText="1"/>
    </xf>
    <xf numFmtId="0" fontId="27" fillId="0" borderId="61" applyAlignment="1" pivotButton="0" quotePrefix="0" xfId="0">
      <alignment vertical="top" wrapText="1"/>
    </xf>
    <xf numFmtId="0" fontId="27" fillId="0" borderId="60" applyAlignment="1" pivotButton="0" quotePrefix="0" xfId="0">
      <alignment vertical="top" wrapText="1"/>
    </xf>
    <xf numFmtId="0" fontId="27" fillId="0" borderId="63" applyAlignment="1" pivotButton="0" quotePrefix="0" xfId="0">
      <alignment vertical="top" wrapText="1"/>
    </xf>
    <xf numFmtId="0" fontId="80" fillId="0" borderId="61" applyAlignment="1" pivotButton="0" quotePrefix="0" xfId="0">
      <alignment horizontal="left"/>
    </xf>
    <xf numFmtId="166" fontId="80" fillId="0" borderId="60" pivotButton="0" quotePrefix="0" xfId="0"/>
    <xf numFmtId="4" fontId="80" fillId="0" borderId="60" pivotButton="0" quotePrefix="0" xfId="0"/>
    <xf numFmtId="165" fontId="80" fillId="0" borderId="60" pivotButton="0" quotePrefix="0" xfId="0"/>
    <xf numFmtId="0" fontId="80" fillId="0" borderId="60" applyAlignment="1" pivotButton="0" quotePrefix="0" xfId="0">
      <alignment horizontal="center"/>
    </xf>
    <xf numFmtId="2" fontId="80" fillId="0" borderId="60" pivotButton="0" quotePrefix="0" xfId="0"/>
    <xf numFmtId="0" fontId="80" fillId="0" borderId="63" pivotButton="0" quotePrefix="0" xfId="0"/>
    <xf numFmtId="0" fontId="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20" fillId="10" borderId="29" applyAlignment="1" pivotButton="0" quotePrefix="0" xfId="0">
      <alignment vertical="center" wrapText="1"/>
    </xf>
    <xf numFmtId="0" fontId="20" fillId="0" borderId="29" applyAlignment="1" pivotButton="0" quotePrefix="0" xfId="0">
      <alignment vertical="center" wrapText="1"/>
    </xf>
    <xf numFmtId="0" fontId="27" fillId="10" borderId="28" applyAlignment="1" pivotButton="0" quotePrefix="0" xfId="0">
      <alignment horizontal="left" vertical="center" wrapText="1"/>
    </xf>
    <xf numFmtId="0" fontId="85" fillId="0" borderId="28" applyAlignment="1" pivotButton="0" quotePrefix="0" xfId="0">
      <alignment horizontal="left" vertical="center" wrapText="1"/>
    </xf>
    <xf numFmtId="0" fontId="90" fillId="0" borderId="0" pivotButton="0" quotePrefix="0" xfId="0"/>
    <xf numFmtId="4" fontId="80" fillId="0" borderId="62" pivotButton="0" quotePrefix="0" xfId="0"/>
    <xf numFmtId="166" fontId="80" fillId="0" borderId="62" pivotButton="0" quotePrefix="0" xfId="0"/>
    <xf numFmtId="166" fontId="80" fillId="0" borderId="64" pivotButton="0" quotePrefix="0" xfId="0"/>
    <xf numFmtId="0" fontId="90" fillId="0" borderId="62" pivotButton="0" quotePrefix="0" xfId="0"/>
    <xf numFmtId="1" fontId="89" fillId="0" borderId="62" applyAlignment="1" pivotButton="0" quotePrefix="0" xfId="0">
      <alignment horizontal="right"/>
    </xf>
    <xf numFmtId="1" fontId="90" fillId="0" borderId="62" applyAlignment="1" pivotButton="0" quotePrefix="0" xfId="0">
      <alignment horizontal="right"/>
    </xf>
    <xf numFmtId="0" fontId="27" fillId="8" borderId="62" pivotButton="0" quotePrefix="0" xfId="0"/>
    <xf numFmtId="4" fontId="27" fillId="8" borderId="62" applyAlignment="1" pivotButton="0" quotePrefix="0" xfId="0">
      <alignment horizontal="right"/>
    </xf>
    <xf numFmtId="0" fontId="23" fillId="0" borderId="62" applyAlignment="1" pivotButton="0" quotePrefix="0" xfId="0">
      <alignment horizontal="right"/>
    </xf>
    <xf numFmtId="166" fontId="27" fillId="10" borderId="62" pivotButton="0" quotePrefix="0" xfId="0"/>
    <xf numFmtId="166" fontId="23" fillId="0" borderId="62" applyAlignment="1" pivotButton="0" quotePrefix="0" xfId="0">
      <alignment horizontal="right"/>
    </xf>
    <xf numFmtId="1" fontId="28" fillId="0" borderId="62" applyAlignment="1" pivotButton="0" quotePrefix="0" xfId="0">
      <alignment horizontal="right"/>
    </xf>
    <xf numFmtId="166" fontId="27" fillId="14" borderId="62" applyAlignment="1" pivotButton="0" quotePrefix="0" xfId="0">
      <alignment horizontal="right"/>
    </xf>
    <xf numFmtId="0" fontId="27" fillId="8" borderId="62" applyAlignment="1" pivotButton="0" quotePrefix="0" xfId="0">
      <alignment horizontal="center" wrapText="1"/>
    </xf>
    <xf numFmtId="176" fontId="23" fillId="0" borderId="62" pivotButton="0" quotePrefix="0" xfId="0"/>
    <xf numFmtId="0" fontId="27" fillId="8" borderId="62" applyAlignment="1" pivotButton="0" quotePrefix="0" xfId="0">
      <alignment horizontal="center"/>
    </xf>
    <xf numFmtId="0" fontId="23" fillId="0" borderId="0" pivotButton="0" quotePrefix="0" xfId="0"/>
    <xf numFmtId="0" fontId="93" fillId="0" borderId="0" pivotButton="0" quotePrefix="0" xfId="0"/>
    <xf numFmtId="0" fontId="94" fillId="18" borderId="101" applyAlignment="1" pivotButton="0" quotePrefix="0" xfId="0">
      <alignment horizontal="center" vertical="center" wrapText="1"/>
    </xf>
    <xf numFmtId="0" fontId="0" fillId="0" borderId="101" pivotButton="0" quotePrefix="0" xfId="0"/>
    <xf numFmtId="0" fontId="95" fillId="0" borderId="101" pivotButton="0" quotePrefix="0" xfId="0"/>
    <xf numFmtId="177" fontId="0" fillId="0" borderId="101" pivotButton="0" quotePrefix="0" xfId="0"/>
    <xf numFmtId="0" fontId="97" fillId="0" borderId="0" pivotButton="0" quotePrefix="0" xfId="0"/>
    <xf numFmtId="0" fontId="97" fillId="0" borderId="101" pivotButton="0" quotePrefix="0" xfId="0"/>
    <xf numFmtId="177" fontId="97" fillId="0" borderId="101" pivotButton="0" quotePrefix="0" xfId="0"/>
    <xf numFmtId="0" fontId="0" fillId="0" borderId="0" applyAlignment="1" pivotButton="0" quotePrefix="0" xfId="0">
      <alignment wrapText="1"/>
    </xf>
    <xf numFmtId="0" fontId="0" fillId="0" borderId="101" applyAlignment="1" pivotButton="0" quotePrefix="0" xfId="0">
      <alignment vertical="top" wrapText="1"/>
    </xf>
    <xf numFmtId="4" fontId="0" fillId="0" borderId="101" applyAlignment="1" pivotButton="0" quotePrefix="0" xfId="0">
      <alignment vertical="top" wrapText="1"/>
    </xf>
    <xf numFmtId="3" fontId="0" fillId="0" borderId="101" applyAlignment="1" pivotButton="0" quotePrefix="0" xfId="0">
      <alignment vertical="top" wrapText="1"/>
    </xf>
    <xf numFmtId="0" fontId="95" fillId="0" borderId="101" applyAlignment="1" pivotButton="0" quotePrefix="0" xfId="0">
      <alignment vertical="top" wrapText="1"/>
    </xf>
    <xf numFmtId="0" fontId="0" fillId="16" borderId="101" applyAlignment="1" pivotButton="0" quotePrefix="0" xfId="0">
      <alignment vertical="top" wrapText="1"/>
    </xf>
    <xf numFmtId="4" fontId="0" fillId="16" borderId="101" applyAlignment="1" pivotButton="0" quotePrefix="0" xfId="0">
      <alignment vertical="top" wrapText="1"/>
    </xf>
    <xf numFmtId="3" fontId="0" fillId="16" borderId="101" applyAlignment="1" pivotButton="0" quotePrefix="0" xfId="0">
      <alignment vertical="top" wrapText="1"/>
    </xf>
    <xf numFmtId="0" fontId="95" fillId="16" borderId="101" applyAlignment="1" pivotButton="0" quotePrefix="0" xfId="0">
      <alignment vertical="top" wrapText="1"/>
    </xf>
    <xf numFmtId="4" fontId="0" fillId="15" borderId="101" applyAlignment="1" pivotButton="0" quotePrefix="0" xfId="0">
      <alignment vertical="top" wrapText="1"/>
    </xf>
    <xf numFmtId="0" fontId="0" fillId="17" borderId="101" applyAlignment="1" pivotButton="0" quotePrefix="0" xfId="0">
      <alignment vertical="top" wrapText="1"/>
    </xf>
    <xf numFmtId="3" fontId="0" fillId="17" borderId="101" applyAlignment="1" pivotButton="0" quotePrefix="0" xfId="0">
      <alignment vertical="top" wrapText="1"/>
    </xf>
    <xf numFmtId="0" fontId="95" fillId="17" borderId="101" applyAlignment="1" pivotButton="0" quotePrefix="0" xfId="0">
      <alignment vertical="top" wrapText="1"/>
    </xf>
    <xf numFmtId="4" fontId="0" fillId="17" borderId="101" applyAlignment="1" pivotButton="0" quotePrefix="0" xfId="0">
      <alignment vertical="top" wrapText="1"/>
    </xf>
    <xf numFmtId="0" fontId="96" fillId="0" borderId="0" pivotButton="0" quotePrefix="0" xfId="0"/>
    <xf numFmtId="0" fontId="0" fillId="15" borderId="101" applyAlignment="1" pivotButton="0" quotePrefix="0" xfId="0">
      <alignment vertical="top" wrapText="1"/>
    </xf>
    <xf numFmtId="0" fontId="93" fillId="0" borderId="0" applyAlignment="1" pivotButton="0" quotePrefix="0" xfId="0">
      <alignment vertical="top" wrapText="1"/>
    </xf>
    <xf numFmtId="0" fontId="0" fillId="0" borderId="84" pivotButton="0" quotePrefix="0" xfId="0"/>
    <xf numFmtId="0" fontId="0" fillId="0" borderId="85" pivotButton="0" quotePrefix="0" xfId="0"/>
    <xf numFmtId="0" fontId="0" fillId="0" borderId="30" pivotButton="0" quotePrefix="0" xfId="0"/>
    <xf numFmtId="0" fontId="0" fillId="0" borderId="87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  <xf numFmtId="165" fontId="28" fillId="0" borderId="28" applyAlignment="1" pivotButton="0" quotePrefix="0" xfId="0">
      <alignment horizontal="center" vertical="center"/>
    </xf>
    <xf numFmtId="168" fontId="23" fillId="0" borderId="28" applyAlignment="1" pivotButton="0" quotePrefix="0" xfId="0">
      <alignment horizontal="center" vertical="center"/>
    </xf>
    <xf numFmtId="0" fontId="91" fillId="0" borderId="28" applyAlignment="1" pivotButton="0" quotePrefix="0" xfId="0">
      <alignment horizontal="left" vertical="center"/>
    </xf>
    <xf numFmtId="169" fontId="28" fillId="0" borderId="28" applyAlignment="1" pivotButton="0" quotePrefix="0" xfId="0">
      <alignment horizontal="center" vertical="center"/>
    </xf>
    <xf numFmtId="0" fontId="0" fillId="0" borderId="82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93" pivotButton="0" quotePrefix="0" xfId="0"/>
    <xf numFmtId="0" fontId="0" fillId="0" borderId="86" pivotButton="0" quotePrefix="0" xfId="0"/>
    <xf numFmtId="0" fontId="0" fillId="0" borderId="92" pivotButton="0" quotePrefix="0" xfId="0"/>
    <xf numFmtId="0" fontId="0" fillId="0" borderId="94" pivotButton="0" quotePrefix="0" xfId="0"/>
    <xf numFmtId="0" fontId="55" fillId="0" borderId="1" applyAlignment="1" pivotButton="0" quotePrefix="0" xfId="0">
      <alignment vertical="top" wrapText="1"/>
    </xf>
    <xf numFmtId="0" fontId="0" fillId="0" borderId="22" pivotButton="0" quotePrefix="0" xfId="0"/>
    <xf numFmtId="165" fontId="28" fillId="15" borderId="28" applyAlignment="1" pivotButton="0" quotePrefix="0" xfId="0">
      <alignment horizontal="center" vertical="center"/>
    </xf>
    <xf numFmtId="1" fontId="28" fillId="17" borderId="28" applyAlignment="1" pivotButton="0" quotePrefix="0" xfId="0">
      <alignment horizontal="center" vertical="center"/>
    </xf>
    <xf numFmtId="164" fontId="28" fillId="16" borderId="28" applyAlignment="1" pivotButton="0" quotePrefix="0" xfId="0">
      <alignment horizontal="center" vertical="center"/>
    </xf>
    <xf numFmtId="4" fontId="62" fillId="15" borderId="28" applyAlignment="1" applyProtection="1" pivotButton="0" quotePrefix="0" xfId="1">
      <alignment horizontal="center" vertical="center" wrapText="1"/>
      <protection locked="0" hidden="0"/>
    </xf>
    <xf numFmtId="4" fontId="39" fillId="15" borderId="28" applyAlignment="1" pivotButton="0" quotePrefix="0" xfId="0">
      <alignment horizontal="center" vertical="center" wrapText="1"/>
    </xf>
    <xf numFmtId="4" fontId="41" fillId="15" borderId="28" applyAlignment="1" pivotButton="0" quotePrefix="0" xfId="0">
      <alignment horizontal="center" vertical="center" wrapText="1"/>
    </xf>
    <xf numFmtId="4" fontId="21" fillId="15" borderId="28" applyAlignment="1" pivotButton="0" quotePrefix="0" xfId="0">
      <alignment horizontal="center" vertical="center" wrapText="1"/>
    </xf>
    <xf numFmtId="0" fontId="92" fillId="0" borderId="0" pivotButton="0" quotePrefix="0" xfId="0"/>
    <xf numFmtId="0" fontId="0" fillId="17" borderId="0" pivotButton="0" quotePrefix="0" xfId="0"/>
    <xf numFmtId="3" fontId="0" fillId="17" borderId="0" pivotButton="0" quotePrefix="0" xfId="0"/>
  </cellXfs>
  <cellStyles count="3">
    <cellStyle name="Normal" xfId="0" builtinId="0"/>
    <cellStyle name="Hipervínculo" xfId="1" builtinId="8"/>
    <cellStyle name="Porcentaje" xfId="2" builtinId="5"/>
  </cellStyles>
  <dxfs count="37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color rgb="FFBF8F00"/>
      </font>
    </dxf>
    <dxf>
      <font>
        <color rgb="FFC00000"/>
      </font>
    </dxf>
    <dxf>
      <font>
        <color rgb="FF548235"/>
      </font>
    </dxf>
    <dxf>
      <font>
        <color rgb="FFBF8F00"/>
      </font>
    </dxf>
    <dxf>
      <font>
        <color rgb="FFC00000"/>
      </font>
    </dxf>
    <dxf>
      <font>
        <color rgb="FF548235"/>
      </font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55A11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548235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color rgb="FF7F7F7F"/>
      </font>
      <fill>
        <patternFill patternType="solid">
          <fgColor indexed="64"/>
          <bgColor rgb="FFEDEDE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C55A11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548235"/>
        </patternFill>
      </fill>
    </dxf>
    <dxf>
      <font>
        <color rgb="FF548235"/>
      </font>
    </dxf>
    <dxf>
      <font>
        <color rgb="FFBF8F00"/>
      </font>
    </dxf>
    <dxf>
      <font>
        <color rgb="FFBF8F00"/>
      </font>
    </dxf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omments/comment1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</t>
      </text>
    </comment>
    <comment ref="B6" authorId="0" shapeId="0">
      <text>
        <t>Vida útil del archivo (70) distinta a la del catálogo (100); se respetó el archivo.</t>
      </text>
    </comment>
    <comment ref="B7" authorId="0" shapeId="0">
      <text>
        <t>Vida útil del archivo (70) distinta a la del catálogo (100); se respetó el archivo.</t>
      </text>
    </comment>
    <comment ref="B8" authorId="0" shapeId="0">
      <text>
        <t>Vida útil del archivo (70) distinta a la del catálogo (100); se respetó el archivo.</t>
      </text>
    </comment>
    <comment ref="B10" authorId="0" shapeId="0">
      <text>
        <t>Vida útil del archivo (50) distinta a la del catálogo (70); se respetó el archivo.</t>
      </text>
    </comment>
  </commentList>
</comments>
</file>

<file path=xl/comments/comment2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
Estado: el texto dice 'Regular' (3) pero la calificación numérica es 3.5; se usó la numérica del archivo.</t>
      </text>
    </comment>
    <comment ref="B6" authorId="0" shapeId="0">
      <text>
        <t>Vida útil del archivo (70) distinta a la del catálogo (100); se respetó el archivo.
Estado: el texto dice 'Regular' (3) pero la calificación numérica es 3.5; se usó la numérica del archivo.</t>
      </text>
    </comment>
    <comment ref="B7" authorId="0" shapeId="0">
      <text>
        <t>Vida útil vacía y sin tipología: se usó 70 provisional.
Valor de reposición pendiente: digitar presupuesto propio.</t>
      </text>
    </comment>
    <comment ref="B8" authorId="0" shapeId="0">
      <text>
        <t>Vida útil vacía en el archivo: se usó la del catálogo (70).</t>
      </text>
    </comment>
    <comment ref="B9" authorId="0" shapeId="0">
      <text>
        <t>Vida útil del archivo (70) distinta a la del catálogo (100); se respetó el archivo.</t>
      </text>
    </comment>
    <comment ref="B10" authorId="0" shapeId="0">
      <text>
        <t>Vida útil vacía y sin tipología: se usó 70 provisional.
Valor de reposición pendiente: digitar presupuesto propio.</t>
      </text>
    </comment>
    <comment ref="B11" authorId="0" shapeId="0">
      <text>
        <t>Vida útil vacía y sin tipología: se usó 70 provisional.
Valor de reposición pendiente: digitar presupuesto propio.</t>
      </text>
    </comment>
    <comment ref="B12" authorId="0" shapeId="0">
      <text>
        <t>Vida útil vacía y sin tipología: se usó 70 provisional.
Valor de reposición pendiente: digitar presupuesto propio.</t>
      </text>
    </comment>
    <comment ref="B13" authorId="0" shapeId="0">
      <text>
        <t>Vida útil vacía y sin tipología: se usó 70 provisional.
Valor de reposición pendiente: digitar presupuesto propio.</t>
      </text>
    </comment>
  </commentList>
</comments>
</file>

<file path=xl/comments/comment3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</t>
      </text>
    </comment>
    <comment ref="B6" authorId="0" shapeId="0">
      <text>
        <t>Vida útil del archivo (70) distinta a la del catálogo (100); se respetó el archivo.</t>
      </text>
    </comment>
  </commentList>
</comments>
</file>

<file path=xl/comments/comment4.xml><?xml version="1.0" encoding="utf-8"?>
<comments xmlns="http://schemas.openxmlformats.org/spreadsheetml/2006/main">
  <authors>
    <author>Clasificación</author>
  </authors>
  <commentList>
    <comment ref="B7" authorId="0" shapeId="0">
      <text>
        <t>Vida útil vacía en el archivo: se usó la del catálogo (100).</t>
      </text>
    </comment>
    <comment ref="B8" authorId="0" shapeId="0">
      <text>
        <t>Vida útil vacía en el archivo: se usó la del catálogo (70).</t>
      </text>
    </comment>
    <comment ref="B9" authorId="0" shapeId="0">
      <text>
        <t>Vida útil del archivo (70) distinta a la del catálogo (100); se respetó el archivo.</t>
      </text>
    </comment>
    <comment ref="B10" authorId="0" shapeId="0">
      <text>
        <t>Vida útil vacía y sin tipología: se usó 70 provisional.
Estado: el texto dice 'Bueno' (2) pero la calificación numérica es 4; se usó la numérica del archivo.
Valor de reposición pendiente: digitar presupuesto propio.</t>
      </text>
    </comment>
    <comment ref="B11" authorId="0" shapeId="0">
      <text>
        <t>Vida útil vacía en el archivo: se usó la del catálogo (70).
Área vacía en el archivo (ver croquis en "levantamiento en campo").</t>
      </text>
    </comment>
    <comment ref="B12" authorId="0" shapeId="0">
      <text>
        <t>Vida útil vacía en el archivo: se usó la del catálogo (30).</t>
      </text>
    </comment>
    <comment ref="B13" authorId="0" shapeId="0">
      <text>
        <t>Vida útil vacía y sin tipología: se usó 70 provisional.
Área vacía en el archivo (ver croquis en "levantamiento en campo").
Valor de reposición pendiente: digitar presupuesto propio.</t>
      </text>
    </comment>
    <comment ref="B14" authorId="0" shapeId="0">
      <text>
        <t>Vida útil vacía y sin tipología: se usó 70 provisional.
Valor de reposición pendiente: digitar presupuesto propio.</t>
      </text>
    </comment>
  </commentList>
</comments>
</file>

<file path=xl/comments/comment5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
Área vacía en el archivo (ver croquis en "levantamiento en campo").</t>
      </text>
    </comment>
  </commentList>
</comments>
</file>

<file path=xl/comments/comment6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</t>
      </text>
    </comment>
    <comment ref="B6" authorId="0" shapeId="0">
      <text>
        <t>Vida útil del archivo (70) distinta a la del catálogo (100); se respetó el archivo.</t>
      </text>
    </comment>
    <comment ref="B8" authorId="0" shapeId="0">
      <text>
        <t>Vida útil del archivo (70) distinta a la del catálogo (100); se respetó el archivo.
Área vacía en el archivo (ver croquis en "levantamiento en campo").</t>
      </text>
    </comment>
    <comment ref="B9" authorId="0" shapeId="0">
      <text>
        <t>Área vacía en el archivo (ver croquis en "levantamiento en campo").</t>
      </text>
    </comment>
    <comment ref="B11" authorId="0" shapeId="0">
      <text>
        <t>Vida útil del archivo (50) distinta a la del catálogo (70); se respetó el archivo.
Área vacía en el archivo (ver croquis en "levantamiento en campo").</t>
      </text>
    </comment>
    <comment ref="B12" authorId="0" shapeId="0">
      <text>
        <t>Vida útil vacía en el archivo: se usó la del catálogo (70).</t>
      </text>
    </comment>
    <comment ref="B13" authorId="0" shapeId="0">
      <text>
        <t>Vida útil vacía y sin referencia válida (catálogo ≤ edad o sin tipología): se usó 70 provisional.
Área vacía en el archivo (ver croquis en "levantamiento en campo").</t>
      </text>
    </comment>
    <comment ref="B14" authorId="0" shapeId="0">
      <text>
        <t>Área vacía en el archivo (ver croquis en "levantamiento en campo").</t>
      </text>
    </comment>
  </commentList>
</comments>
</file>

<file path=xl/comments/comment7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</t>
      </text>
    </comment>
    <comment ref="B6" authorId="0" shapeId="0">
      <text>
        <t>Vida útil del archivo (70) distinta a la del catálogo (100); se respetó el archivo.</t>
      </text>
    </comment>
    <comment ref="B8" authorId="0" shapeId="0">
      <text>
        <t>Valor de reposición pendiente: digitar presupuesto propio.</t>
      </text>
    </comment>
  </commentList>
</comments>
</file>

<file path=xl/comments/comment8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
Estado: el texto dice 'Bueno' (2) pero la calificación numérica es 4; se usó la numérica del archivo.</t>
      </text>
    </comment>
    <comment ref="B6" authorId="0" shapeId="0">
      <text>
        <t>Área vacía en el archivo (ver croquis en "levantamiento en campo").</t>
      </text>
    </comment>
    <comment ref="B7" authorId="0" shapeId="0">
      <text>
        <t>Vida útil del archivo (70) distinta a la del catálogo (30); se respetó el archivo.
Área vacía en el archivo (ver croquis en "levantamiento en campo").</t>
      </text>
    </comment>
    <comment ref="B8" authorId="0" shapeId="0">
      <text>
        <t>Área vacía en el archivo (ver croquis en "levantamiento en campo").
Valor de reposición pendiente: digitar presupuesto propio.</t>
      </text>
    </comment>
    <comment ref="B9" authorId="0" shapeId="0">
      <text>
        <t>Estado: el texto dice 'Bueno' (2) pero la calificación numérica es 4; se usó la numérica del archivo.
Área vacía en el archivo (ver croquis en "levantamiento en campo").
Valor de reposición pendiente: digitar presupuesto propio.</t>
      </text>
    </comment>
    <comment ref="B10" authorId="0" shapeId="0">
      <text>
        <t>Área vacía en el archivo (ver croquis en "levantamiento en campo").
Valor de reposición pendiente: digitar presupuesto propio.</t>
      </text>
    </comment>
    <comment ref="B11" authorId="0" shapeId="0">
      <text>
        <t>Vida útil del archivo (70) distinta a la del catálogo (100); se respetó el archivo.
Área vacía en el archivo (ver croquis en "levantamiento en campo").</t>
      </text>
    </comment>
    <comment ref="B12" authorId="0" shapeId="0">
      <text>
        <t>Vida útil del archivo (50) distinta a la del catálogo (70); se respetó el archivo.
Estado: el texto dice 'Bueno' (2) pero la calificación numérica es 4; se usó la numérica del archivo.</t>
      </text>
    </comment>
    <comment ref="B13" authorId="0" shapeId="0">
      <text>
        <t>Vida útil vacía en el archivo: se usó la del catálogo (100).
Estado: el texto dice 'Bueno' (2) pero la calificación numérica es 4; se usó la numérica del archivo.</t>
      </text>
    </comment>
    <comment ref="B14" authorId="0" shapeId="0">
      <text>
        <t>Vida útil vacía en el archivo: se usó la del catálogo (50).
Estado: el texto dice 'Bueno' (2) pero la calificación numérica es 4; se usó la numérica del archivo.
Área vacía en el archivo (ver croquis en "levantamiento en campo").</t>
      </text>
    </comment>
  </commentList>
</comments>
</file>

<file path=xl/comments/comment9.xml><?xml version="1.0" encoding="utf-8"?>
<comments xmlns="http://schemas.openxmlformats.org/spreadsheetml/2006/main">
  <authors>
    <author>Clasificación</author>
  </authors>
  <commentList>
    <comment ref="B5" authorId="0" shapeId="0">
      <text>
        <t>Área vacía en el archivo (ver croquis en "levantamiento en campo").
Valor de reposición pendiente: digitar presupuesto propio.</t>
      </text>
    </comment>
    <comment ref="B6" authorId="0" shapeId="0">
      <text>
        <t>Vida útil del archivo (70) distinta a la del catálogo (100); se respetó el archivo.</t>
      </text>
    </comment>
    <comment ref="B7" authorId="0" shapeId="0">
      <text>
        <t>Estado: el texto dice 'Bueno' (2) pero la calificación numérica es 4; se usó la numérica del archivo.</t>
      </text>
    </comment>
    <comment ref="B8" authorId="0" shapeId="0">
      <text>
        <t>Vida útil del archivo (70) distinta a la del catálogo (30); se respetó el archivo.</t>
      </text>
    </comment>
    <comment ref="B9" authorId="0" shapeId="0">
      <text>
        <t>Vida útil del archivo (70) distinta a la del catálogo (30); se respetó el archivo.
Área vacía en el archivo (ver croquis en "levantamiento en campo").</t>
      </text>
    </comment>
    <comment ref="B10" authorId="0" shapeId="0">
      <text>
        <t>Vida útil del archivo (70) distinta a la del catálogo (30); se respetó el archivo.</t>
      </text>
    </comment>
    <comment ref="B11" authorId="0" shapeId="0">
      <text>
        <t>Vida útil del archivo (70) distinta a la del catálogo (15); se respetó el archivo.</t>
      </text>
    </comment>
    <comment ref="B13" authorId="0" shapeId="0">
      <text>
        <t>Vida útil del archivo (70) distinta a la del catálogo (15); se respetó el archivo.</t>
      </text>
    </comment>
  </commentList>
</comments>
</file>

<file path=xl/comments/comment10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</t>
      </text>
    </comment>
    <comment ref="B6" authorId="0" shapeId="0">
      <text>
        <t>Vida útil del archivo (50) distinta a la del catálogo (30); se respetó el archivo.
Estado: el texto dice 'Bueno' (2) pero la calificación numérica es 4; se usó la numérica del archivo.
Área vacía en el archivo (ver croquis en "levantamiento en campo").</t>
      </text>
    </comment>
    <comment ref="B7" authorId="0" shapeId="0">
      <text>
        <t>Vida útil del archivo (70) distinta a la del catálogo (30); se respetó el archivo.
Área vacía en el archivo (ver croquis en "levantamiento en campo").</t>
      </text>
    </comment>
    <comment ref="B8" authorId="0" shapeId="0">
      <text>
        <t>Área vacía en el archivo (ver croquis en "levantamiento en campo").
Valor de reposición pendiente: digitar presupuesto propio.</t>
      </text>
    </comment>
    <comment ref="B9" authorId="0" shapeId="0">
      <text>
        <t>Estado: el texto dice 'Bueno' (2) pero la calificación numérica es 4; se usó la numérica del archivo.</t>
      </text>
    </comment>
    <comment ref="B10" authorId="0" shapeId="0">
      <text>
        <t>Área vacía en el archivo (ver croquis en "levantamiento en campo").</t>
      </text>
    </comment>
    <comment ref="B11" authorId="0" shapeId="0">
      <text>
        <t>Vida útil del archivo (50) distinta a la del catálogo (100); se respetó el archivo.</t>
      </text>
    </comment>
    <comment ref="B12" authorId="0" shapeId="0">
      <text>
        <t>Vida útil vacía en el archivo: se usó la del catálogo (70).
Área vacía en el archivo (ver croquis en "levantamiento en campo").</t>
      </text>
    </comment>
    <comment ref="B13" authorId="0" shapeId="0">
      <text>
        <t>Vida útil vacía en el archivo: se usó la del catálogo (70).</t>
      </text>
    </comment>
  </commentList>
</comments>
</file>

<file path=xl/comments/comment11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
Área vacía en el archivo (ver croquis en "levantamiento en campo").</t>
      </text>
    </comment>
    <comment ref="B6" authorId="0" shapeId="0">
      <text>
        <t>Área vacía en el archivo (ver croquis en "levantamiento en campo").</t>
      </text>
    </comment>
    <comment ref="B7" authorId="0" shapeId="0">
      <text>
        <t>Estado: el texto dice 'Bueno' (2) pero la calificación numérica es 4; se usó la numérica del archivo.
Área vacía en el archivo (ver croquis en "levantamiento en campo").</t>
      </text>
    </comment>
    <comment ref="B8" authorId="0" shapeId="0">
      <text>
        <t>Vida útil del archivo (70) distinta a la del catálogo (30); se respetó el archivo.
Área vacía en el archivo (ver croquis en "levantamiento en campo").</t>
      </text>
    </comment>
    <comment ref="B9" authorId="0" shapeId="0">
      <text>
        <t>Estado: el texto dice 'Bueno' (2) pero la calificación numérica es 4; se usó la numérica del archivo.
Área vacía en el archivo (ver croquis en "levantamiento en campo").
Valor de reposición pendiente: digitar presupuesto propio.</t>
      </text>
    </comment>
  </commentList>
</comments>
</file>

<file path=xl/comments/comment12.xml><?xml version="1.0" encoding="utf-8"?>
<comments xmlns="http://schemas.openxmlformats.org/spreadsheetml/2006/main">
  <authors>
    <author>Clasificación</author>
  </authors>
  <commentList>
    <comment ref="B5" authorId="0" shapeId="0">
      <text>
        <t>Vida útil del archivo (70) distinta a la del catálogo (100); se respetó el archivo.</t>
      </text>
    </comment>
    <comment ref="B6" authorId="0" shapeId="0">
      <text>
        <t>Vida útil del archivo (70) distinta a la del catálogo (100); se respetó el archivo.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LIQ L&#205;BANO'!B2" TargetMode="External" Id="rId1" /><Relationship Type="http://schemas.openxmlformats.org/officeDocument/2006/relationships/hyperlink" Target="#'LIQ PORCI&#211;N 1-2-3'!B2" TargetMode="External" Id="rId2" /><Relationship Type="http://schemas.openxmlformats.org/officeDocument/2006/relationships/hyperlink" Target="#'LIQ SANTA ISABEL'!B2" TargetMode="External" Id="rId3" /><Relationship Type="http://schemas.openxmlformats.org/officeDocument/2006/relationships/hyperlink" Target="#'LIQ CANC&#218;N (1)'!B2" TargetMode="External" Id="rId4" /><Relationship Type="http://schemas.openxmlformats.org/officeDocument/2006/relationships/hyperlink" Target="#'LIQ CANC&#218;N (2)'!B2" TargetMode="External" Id="rId5" /><Relationship Type="http://schemas.openxmlformats.org/officeDocument/2006/relationships/hyperlink" Target="#'LIQ CIMARRONA'!B2" TargetMode="External" Id="rId6" /><Relationship Type="http://schemas.openxmlformats.org/officeDocument/2006/relationships/hyperlink" Target="#'LIQ CARI CARI'!B2" TargetMode="External" Id="rId7" /><Relationship Type="http://schemas.openxmlformats.org/officeDocument/2006/relationships/hyperlink" Target="#'LIQ EL CORUAL (1)'!B2" TargetMode="External" Id="rId8" /><Relationship Type="http://schemas.openxmlformats.org/officeDocument/2006/relationships/hyperlink" Target="#'LIQ EL CORUAL (2)'!B2" TargetMode="External" Id="rId9" /><Relationship Type="http://schemas.openxmlformats.org/officeDocument/2006/relationships/hyperlink" Target="#'LIQ LAS MERCEDES (1)'!B2" TargetMode="External" Id="rId10" /><Relationship Type="http://schemas.openxmlformats.org/officeDocument/2006/relationships/hyperlink" Target="#'LIQ LAS MERCEDES (2)'!B2" TargetMode="External" Id="rId11" /><Relationship Type="http://schemas.openxmlformats.org/officeDocument/2006/relationships/hyperlink" Target="#'LIQ VERSALLES 1'!B2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#'DEP L&#205;BANO'!B5" TargetMode="External" Id="rId1" /><Relationship Type="http://schemas.openxmlformats.org/officeDocument/2006/relationships/hyperlink" Target="#'DEP L&#205;BANO'!B6" TargetMode="External" Id="rId2" /><Relationship Type="http://schemas.openxmlformats.org/officeDocument/2006/relationships/hyperlink" Target="#'DEP L&#205;BANO'!B7" TargetMode="External" Id="rId3" /><Relationship Type="http://schemas.openxmlformats.org/officeDocument/2006/relationships/hyperlink" Target="#'DEP L&#205;BANO'!B8" TargetMode="External" Id="rId4" /><Relationship Type="http://schemas.openxmlformats.org/officeDocument/2006/relationships/hyperlink" Target="#'DEP L&#205;BANO'!B9" TargetMode="External" Id="rId5" /><Relationship Type="http://schemas.openxmlformats.org/officeDocument/2006/relationships/hyperlink" Target="#'DEP L&#205;BANO'!B10" TargetMode="External" Id="rId6" /><Relationship Type="http://schemas.openxmlformats.org/officeDocument/2006/relationships/hyperlink" Target="#'DEP PORCI&#211;N 1-2-3'!B5" TargetMode="External" Id="rId7" /><Relationship Type="http://schemas.openxmlformats.org/officeDocument/2006/relationships/hyperlink" Target="#'DEP PORCI&#211;N 1-2-3'!B6" TargetMode="External" Id="rId8" /><Relationship Type="http://schemas.openxmlformats.org/officeDocument/2006/relationships/hyperlink" Target="#'DEP PORCI&#211;N 1-2-3'!B7" TargetMode="External" Id="rId9" /><Relationship Type="http://schemas.openxmlformats.org/officeDocument/2006/relationships/hyperlink" Target="#'DEP PORCI&#211;N 1-2-3'!B8" TargetMode="External" Id="rId10" /><Relationship Type="http://schemas.openxmlformats.org/officeDocument/2006/relationships/hyperlink" Target="#'DEP PORCI&#211;N 1-2-3'!B9" TargetMode="External" Id="rId11" /><Relationship Type="http://schemas.openxmlformats.org/officeDocument/2006/relationships/hyperlink" Target="#'DEP PORCI&#211;N 1-2-3'!B10" TargetMode="External" Id="rId12" /><Relationship Type="http://schemas.openxmlformats.org/officeDocument/2006/relationships/hyperlink" Target="#'DEP PORCI&#211;N 1-2-3'!B11" TargetMode="External" Id="rId13" /><Relationship Type="http://schemas.openxmlformats.org/officeDocument/2006/relationships/hyperlink" Target="#'DEP PORCI&#211;N 1-2-3'!B12" TargetMode="External" Id="rId14" /><Relationship Type="http://schemas.openxmlformats.org/officeDocument/2006/relationships/hyperlink" Target="#'DEP PORCI&#211;N 1-2-3'!B13" TargetMode="External" Id="rId15" /><Relationship Type="http://schemas.openxmlformats.org/officeDocument/2006/relationships/hyperlink" Target="#'DEP SANTA ISABEL'!B5" TargetMode="External" Id="rId16" /><Relationship Type="http://schemas.openxmlformats.org/officeDocument/2006/relationships/hyperlink" Target="#'DEP SANTA ISABEL'!B6" TargetMode="External" Id="rId17" /><Relationship Type="http://schemas.openxmlformats.org/officeDocument/2006/relationships/hyperlink" Target="#'DEP CANC&#218;N (1)'!B5" TargetMode="External" Id="rId18" /><Relationship Type="http://schemas.openxmlformats.org/officeDocument/2006/relationships/hyperlink" Target="#'DEP CANC&#218;N (1)'!B6" TargetMode="External" Id="rId19" /><Relationship Type="http://schemas.openxmlformats.org/officeDocument/2006/relationships/hyperlink" Target="#'DEP CANC&#218;N (1)'!B7" TargetMode="External" Id="rId20" /><Relationship Type="http://schemas.openxmlformats.org/officeDocument/2006/relationships/hyperlink" Target="#'DEP CANC&#218;N (1)'!B8" TargetMode="External" Id="rId21" /><Relationship Type="http://schemas.openxmlformats.org/officeDocument/2006/relationships/hyperlink" Target="#'DEP CANC&#218;N (1)'!B9" TargetMode="External" Id="rId22" /><Relationship Type="http://schemas.openxmlformats.org/officeDocument/2006/relationships/hyperlink" Target="#'DEP CANC&#218;N (1)'!B10" TargetMode="External" Id="rId23" /><Relationship Type="http://schemas.openxmlformats.org/officeDocument/2006/relationships/hyperlink" Target="#'DEP CANC&#218;N (1)'!B11" TargetMode="External" Id="rId24" /><Relationship Type="http://schemas.openxmlformats.org/officeDocument/2006/relationships/hyperlink" Target="#'DEP CANC&#218;N (1)'!B12" TargetMode="External" Id="rId25" /><Relationship Type="http://schemas.openxmlformats.org/officeDocument/2006/relationships/hyperlink" Target="#'DEP CANC&#218;N (1)'!B13" TargetMode="External" Id="rId26" /><Relationship Type="http://schemas.openxmlformats.org/officeDocument/2006/relationships/hyperlink" Target="#'DEP CANC&#218;N (1)'!B14" TargetMode="External" Id="rId27" /><Relationship Type="http://schemas.openxmlformats.org/officeDocument/2006/relationships/hyperlink" Target="#'DEP CANC&#218;N (2)'!B5" TargetMode="External" Id="rId28" /><Relationship Type="http://schemas.openxmlformats.org/officeDocument/2006/relationships/hyperlink" Target="#'DEP CIMARRONA'!B5" TargetMode="External" Id="rId29" /><Relationship Type="http://schemas.openxmlformats.org/officeDocument/2006/relationships/hyperlink" Target="#'DEP CIMARRONA'!B6" TargetMode="External" Id="rId30" /><Relationship Type="http://schemas.openxmlformats.org/officeDocument/2006/relationships/hyperlink" Target="#'DEP CIMARRONA'!B7" TargetMode="External" Id="rId31" /><Relationship Type="http://schemas.openxmlformats.org/officeDocument/2006/relationships/hyperlink" Target="#'DEP CIMARRONA'!B8" TargetMode="External" Id="rId32" /><Relationship Type="http://schemas.openxmlformats.org/officeDocument/2006/relationships/hyperlink" Target="#'DEP CIMARRONA'!B9" TargetMode="External" Id="rId33" /><Relationship Type="http://schemas.openxmlformats.org/officeDocument/2006/relationships/hyperlink" Target="#'DEP CIMARRONA'!B10" TargetMode="External" Id="rId34" /><Relationship Type="http://schemas.openxmlformats.org/officeDocument/2006/relationships/hyperlink" Target="#'DEP CIMARRONA'!B11" TargetMode="External" Id="rId35" /><Relationship Type="http://schemas.openxmlformats.org/officeDocument/2006/relationships/hyperlink" Target="#'DEP CIMARRONA'!B12" TargetMode="External" Id="rId36" /><Relationship Type="http://schemas.openxmlformats.org/officeDocument/2006/relationships/hyperlink" Target="#'DEP CIMARRONA'!B13" TargetMode="External" Id="rId37" /><Relationship Type="http://schemas.openxmlformats.org/officeDocument/2006/relationships/hyperlink" Target="#'DEP CIMARRONA'!B14" TargetMode="External" Id="rId38" /><Relationship Type="http://schemas.openxmlformats.org/officeDocument/2006/relationships/hyperlink" Target="#'DEP CARI CARI'!B5" TargetMode="External" Id="rId39" /><Relationship Type="http://schemas.openxmlformats.org/officeDocument/2006/relationships/hyperlink" Target="#'DEP CARI CARI'!B6" TargetMode="External" Id="rId40" /><Relationship Type="http://schemas.openxmlformats.org/officeDocument/2006/relationships/hyperlink" Target="#'DEP CARI CARI'!B7" TargetMode="External" Id="rId41" /><Relationship Type="http://schemas.openxmlformats.org/officeDocument/2006/relationships/hyperlink" Target="#'DEP CARI CARI'!B8" TargetMode="External" Id="rId42" /><Relationship Type="http://schemas.openxmlformats.org/officeDocument/2006/relationships/hyperlink" Target="#'DEP EL CORUAL (1)'!B5" TargetMode="External" Id="rId43" /><Relationship Type="http://schemas.openxmlformats.org/officeDocument/2006/relationships/hyperlink" Target="#'DEP EL CORUAL (1)'!B6" TargetMode="External" Id="rId44" /><Relationship Type="http://schemas.openxmlformats.org/officeDocument/2006/relationships/hyperlink" Target="#'DEP EL CORUAL (1)'!B7" TargetMode="External" Id="rId45" /><Relationship Type="http://schemas.openxmlformats.org/officeDocument/2006/relationships/hyperlink" Target="#'DEP EL CORUAL (1)'!B8" TargetMode="External" Id="rId46" /><Relationship Type="http://schemas.openxmlformats.org/officeDocument/2006/relationships/hyperlink" Target="#'DEP EL CORUAL (1)'!B9" TargetMode="External" Id="rId47" /><Relationship Type="http://schemas.openxmlformats.org/officeDocument/2006/relationships/hyperlink" Target="#'DEP EL CORUAL (1)'!B10" TargetMode="External" Id="rId48" /><Relationship Type="http://schemas.openxmlformats.org/officeDocument/2006/relationships/hyperlink" Target="#'DEP EL CORUAL (1)'!B11" TargetMode="External" Id="rId49" /><Relationship Type="http://schemas.openxmlformats.org/officeDocument/2006/relationships/hyperlink" Target="#'DEP EL CORUAL (1)'!B12" TargetMode="External" Id="rId50" /><Relationship Type="http://schemas.openxmlformats.org/officeDocument/2006/relationships/hyperlink" Target="#'DEP EL CORUAL (1)'!B13" TargetMode="External" Id="rId51" /><Relationship Type="http://schemas.openxmlformats.org/officeDocument/2006/relationships/hyperlink" Target="#'DEP EL CORUAL (1)'!B14" TargetMode="External" Id="rId52" /><Relationship Type="http://schemas.openxmlformats.org/officeDocument/2006/relationships/hyperlink" Target="#'DEP EL CORUAL (2)'!B5" TargetMode="External" Id="rId53" /><Relationship Type="http://schemas.openxmlformats.org/officeDocument/2006/relationships/hyperlink" Target="#'DEP EL CORUAL (2)'!B6" TargetMode="External" Id="rId54" /><Relationship Type="http://schemas.openxmlformats.org/officeDocument/2006/relationships/hyperlink" Target="#'DEP EL CORUAL (2)'!B7" TargetMode="External" Id="rId55" /><Relationship Type="http://schemas.openxmlformats.org/officeDocument/2006/relationships/hyperlink" Target="#'DEP EL CORUAL (2)'!B8" TargetMode="External" Id="rId56" /><Relationship Type="http://schemas.openxmlformats.org/officeDocument/2006/relationships/hyperlink" Target="#'DEP EL CORUAL (2)'!B9" TargetMode="External" Id="rId57" /><Relationship Type="http://schemas.openxmlformats.org/officeDocument/2006/relationships/hyperlink" Target="#'DEP EL CORUAL (2)'!B10" TargetMode="External" Id="rId58" /><Relationship Type="http://schemas.openxmlformats.org/officeDocument/2006/relationships/hyperlink" Target="#'DEP EL CORUAL (2)'!B11" TargetMode="External" Id="rId59" /><Relationship Type="http://schemas.openxmlformats.org/officeDocument/2006/relationships/hyperlink" Target="#'DEP EL CORUAL (2)'!B12" TargetMode="External" Id="rId60" /><Relationship Type="http://schemas.openxmlformats.org/officeDocument/2006/relationships/hyperlink" Target="#'DEP EL CORUAL (2)'!B13" TargetMode="External" Id="rId61" /><Relationship Type="http://schemas.openxmlformats.org/officeDocument/2006/relationships/hyperlink" Target="#'DEP LAS MERCEDES (1)'!B5" TargetMode="External" Id="rId62" /><Relationship Type="http://schemas.openxmlformats.org/officeDocument/2006/relationships/hyperlink" Target="#'DEP LAS MERCEDES (1)'!B6" TargetMode="External" Id="rId63" /><Relationship Type="http://schemas.openxmlformats.org/officeDocument/2006/relationships/hyperlink" Target="#'DEP LAS MERCEDES (1)'!B7" TargetMode="External" Id="rId64" /><Relationship Type="http://schemas.openxmlformats.org/officeDocument/2006/relationships/hyperlink" Target="#'DEP LAS MERCEDES (1)'!B8" TargetMode="External" Id="rId65" /><Relationship Type="http://schemas.openxmlformats.org/officeDocument/2006/relationships/hyperlink" Target="#'DEP LAS MERCEDES (1)'!B9" TargetMode="External" Id="rId66" /><Relationship Type="http://schemas.openxmlformats.org/officeDocument/2006/relationships/hyperlink" Target="#'DEP LAS MERCEDES (1)'!B10" TargetMode="External" Id="rId67" /><Relationship Type="http://schemas.openxmlformats.org/officeDocument/2006/relationships/hyperlink" Target="#'DEP LAS MERCEDES (1)'!B11" TargetMode="External" Id="rId68" /><Relationship Type="http://schemas.openxmlformats.org/officeDocument/2006/relationships/hyperlink" Target="#'DEP LAS MERCEDES (1)'!B12" TargetMode="External" Id="rId69" /><Relationship Type="http://schemas.openxmlformats.org/officeDocument/2006/relationships/hyperlink" Target="#'DEP LAS MERCEDES (1)'!B13" TargetMode="External" Id="rId70" /><Relationship Type="http://schemas.openxmlformats.org/officeDocument/2006/relationships/hyperlink" Target="#'DEP LAS MERCEDES (1)'!B14" TargetMode="External" Id="rId71" /><Relationship Type="http://schemas.openxmlformats.org/officeDocument/2006/relationships/hyperlink" Target="#'DEP LAS MERCEDES (2)'!B5" TargetMode="External" Id="rId72" /><Relationship Type="http://schemas.openxmlformats.org/officeDocument/2006/relationships/hyperlink" Target="#'DEP LAS MERCEDES (2)'!B6" TargetMode="External" Id="rId73" /><Relationship Type="http://schemas.openxmlformats.org/officeDocument/2006/relationships/hyperlink" Target="#'DEP LAS MERCEDES (2)'!B7" TargetMode="External" Id="rId74" /><Relationship Type="http://schemas.openxmlformats.org/officeDocument/2006/relationships/hyperlink" Target="#'DEP LAS MERCEDES (2)'!B8" TargetMode="External" Id="rId75" /><Relationship Type="http://schemas.openxmlformats.org/officeDocument/2006/relationships/hyperlink" Target="#'DEP LAS MERCEDES (2)'!B9" TargetMode="External" Id="rId76" /><Relationship Type="http://schemas.openxmlformats.org/officeDocument/2006/relationships/hyperlink" Target="#'DEP VERSALLES 1'!B5" TargetMode="External" Id="rId77" /><Relationship Type="http://schemas.openxmlformats.org/officeDocument/2006/relationships/hyperlink" Target="#'DEP VERSALLES 1'!B6" TargetMode="External" Id="rId78" /></Relationships>
</file>

<file path=xl/worksheets/_rels/sheet3.xml.rels><Relationships xmlns="http://schemas.openxmlformats.org/package/2006/relationships"><Relationship Type="http://schemas.openxmlformats.org/officeDocument/2006/relationships/hyperlink" Target="#'DEP PORCI&#211;N 1-2-3'!F7" TargetMode="External" Id="rId1" /><Relationship Type="http://schemas.openxmlformats.org/officeDocument/2006/relationships/hyperlink" Target="#'DEP PORCI&#211;N 1-2-3'!F10" TargetMode="External" Id="rId2" /><Relationship Type="http://schemas.openxmlformats.org/officeDocument/2006/relationships/hyperlink" Target="#'DEP PORCI&#211;N 1-2-3'!F11" TargetMode="External" Id="rId3" /><Relationship Type="http://schemas.openxmlformats.org/officeDocument/2006/relationships/hyperlink" Target="#'DEP PORCI&#211;N 1-2-3'!F12" TargetMode="External" Id="rId4" /><Relationship Type="http://schemas.openxmlformats.org/officeDocument/2006/relationships/hyperlink" Target="#'DEP PORCI&#211;N 1-2-3'!F13" TargetMode="External" Id="rId5" /><Relationship Type="http://schemas.openxmlformats.org/officeDocument/2006/relationships/hyperlink" Target="#'DEP CANC&#218;N (1)'!F10" TargetMode="External" Id="rId6" /><Relationship Type="http://schemas.openxmlformats.org/officeDocument/2006/relationships/hyperlink" Target="#'DEP CANC&#218;N (1)'!F13" TargetMode="External" Id="rId7" /><Relationship Type="http://schemas.openxmlformats.org/officeDocument/2006/relationships/hyperlink" Target="#'DEP CANC&#218;N (1)'!F14" TargetMode="External" Id="rId8" /><Relationship Type="http://schemas.openxmlformats.org/officeDocument/2006/relationships/hyperlink" Target="#'DEP CARI CARI'!F8" TargetMode="External" Id="rId9" /><Relationship Type="http://schemas.openxmlformats.org/officeDocument/2006/relationships/hyperlink" Target="#'DEP EL CORUAL (1)'!F8" TargetMode="External" Id="rId10" /><Relationship Type="http://schemas.openxmlformats.org/officeDocument/2006/relationships/hyperlink" Target="#'DEP EL CORUAL (1)'!F9" TargetMode="External" Id="rId11" /><Relationship Type="http://schemas.openxmlformats.org/officeDocument/2006/relationships/hyperlink" Target="#'DEP EL CORUAL (1)'!F10" TargetMode="External" Id="rId12" /><Relationship Type="http://schemas.openxmlformats.org/officeDocument/2006/relationships/hyperlink" Target="#'DEP EL CORUAL (2)'!F5" TargetMode="External" Id="rId13" /><Relationship Type="http://schemas.openxmlformats.org/officeDocument/2006/relationships/hyperlink" Target="#'DEP LAS MERCEDES (1)'!F8" TargetMode="External" Id="rId14" /><Relationship Type="http://schemas.openxmlformats.org/officeDocument/2006/relationships/hyperlink" Target="#'DEP LAS MERCEDES (2)'!F9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A1" sqref="A1"/>
    </sheetView>
  </sheetViews>
  <sheetFormatPr baseColWidth="8" defaultRowHeight="15"/>
  <cols>
    <col width="26" customWidth="1" style="288" min="1" max="1"/>
    <col width="22" customWidth="1" style="288" min="2" max="2"/>
    <col width="13" customWidth="1" style="288" min="3" max="3"/>
    <col width="12" customWidth="1" style="288" min="4" max="4"/>
    <col width="12" customWidth="1" style="288" min="5" max="5"/>
    <col width="10" customWidth="1" style="288" min="6" max="6"/>
    <col width="26" customWidth="1" style="288" min="7" max="7"/>
  </cols>
  <sheetData>
    <row r="1">
      <c r="A1" s="404" t="inlineStr">
        <is>
          <t>RESUMEN POR PREDIO – VALOR DE CONSTRUCCIONES (calculado desde las hojas LIQ)</t>
        </is>
      </c>
    </row>
    <row r="3">
      <c r="A3" s="405" t="inlineStr">
        <is>
          <t>Predio</t>
        </is>
      </c>
      <c r="B3" s="405" t="inlineStr">
        <is>
          <t>Hoja LIQ</t>
        </is>
      </c>
      <c r="C3" s="405" t="inlineStr">
        <is>
          <t>Nº construcciones</t>
        </is>
      </c>
      <c r="D3" s="405" t="inlineStr">
        <is>
          <t>Clasificadas</t>
        </is>
      </c>
      <c r="E3" s="405" t="inlineStr">
        <is>
          <t>Sin clasificar</t>
        </is>
      </c>
      <c r="F3" s="405" t="inlineStr">
        <is>
          <t>Sin área</t>
        </is>
      </c>
      <c r="G3" s="405" t="inlineStr">
        <is>
          <t>Valor construcciones (principal + anexas)</t>
        </is>
      </c>
    </row>
    <row r="4">
      <c r="A4" s="406" t="inlineStr">
        <is>
          <t>LÍBANO</t>
        </is>
      </c>
      <c r="B4" s="407" t="inlineStr">
        <is>
          <t>LIQ LÍBANO</t>
        </is>
      </c>
      <c r="C4" s="406" t="n">
        <v>6</v>
      </c>
      <c r="D4" s="406" t="n">
        <v>6</v>
      </c>
      <c r="E4" s="406" t="n">
        <v>0</v>
      </c>
      <c r="F4" s="406" t="n">
        <v>0</v>
      </c>
      <c r="G4" s="408">
        <f>'LIQ LÍBANO'!F9+'LIQ LÍBANO'!F21</f>
        <v/>
      </c>
    </row>
    <row r="5">
      <c r="A5" s="406" t="inlineStr">
        <is>
          <t>PORCIÓN 1-2-3</t>
        </is>
      </c>
      <c r="B5" s="407" t="inlineStr">
        <is>
          <t>LIQ PORCIÓN 1-2-3</t>
        </is>
      </c>
      <c r="C5" s="406" t="n">
        <v>9</v>
      </c>
      <c r="D5" s="406" t="n">
        <v>4</v>
      </c>
      <c r="E5" s="406" t="n">
        <v>5</v>
      </c>
      <c r="F5" s="406" t="n">
        <v>0</v>
      </c>
      <c r="G5" s="408">
        <f>'LIQ PORCIÓN 1-2-3'!F9+'LIQ PORCIÓN 1-2-3'!F21</f>
        <v/>
      </c>
    </row>
    <row r="6">
      <c r="A6" s="406" t="inlineStr">
        <is>
          <t>SANTA ISABEL</t>
        </is>
      </c>
      <c r="B6" s="407" t="inlineStr">
        <is>
          <t>LIQ SANTA ISABEL</t>
        </is>
      </c>
      <c r="C6" s="406" t="n">
        <v>2</v>
      </c>
      <c r="D6" s="406" t="n">
        <v>2</v>
      </c>
      <c r="E6" s="406" t="n">
        <v>0</v>
      </c>
      <c r="F6" s="406" t="n">
        <v>0</v>
      </c>
      <c r="G6" s="408">
        <f>'LIQ SANTA ISABEL'!F9+'LIQ SANTA ISABEL'!F21</f>
        <v/>
      </c>
    </row>
    <row r="7">
      <c r="A7" s="406" t="inlineStr">
        <is>
          <t>CANCÚN (parte 1/2)</t>
        </is>
      </c>
      <c r="B7" s="407" t="inlineStr">
        <is>
          <t>LIQ CANCÚN (1)</t>
        </is>
      </c>
      <c r="C7" s="406" t="n">
        <v>10</v>
      </c>
      <c r="D7" s="406" t="n">
        <v>7</v>
      </c>
      <c r="E7" s="406" t="n">
        <v>3</v>
      </c>
      <c r="F7" s="406" t="n">
        <v>2</v>
      </c>
      <c r="G7" s="408">
        <f>'LIQ CANCÚN (1)'!F9+'LIQ CANCÚN (1)'!F21</f>
        <v/>
      </c>
    </row>
    <row r="8">
      <c r="A8" s="406" t="inlineStr">
        <is>
          <t>CANCÚN (parte 2/2)</t>
        </is>
      </c>
      <c r="B8" s="407" t="inlineStr">
        <is>
          <t>LIQ CANCÚN (2)</t>
        </is>
      </c>
      <c r="C8" s="406" t="n">
        <v>1</v>
      </c>
      <c r="D8" s="406" t="n">
        <v>1</v>
      </c>
      <c r="E8" s="406" t="n">
        <v>0</v>
      </c>
      <c r="F8" s="406" t="n">
        <v>1</v>
      </c>
      <c r="G8" s="408">
        <f>'LIQ CANCÚN (2)'!F9+'LIQ CANCÚN (2)'!F21</f>
        <v/>
      </c>
    </row>
    <row r="9">
      <c r="A9" s="406" t="inlineStr">
        <is>
          <t>CIMARRONA</t>
        </is>
      </c>
      <c r="B9" s="407" t="inlineStr">
        <is>
          <t>LIQ CIMARRONA</t>
        </is>
      </c>
      <c r="C9" s="406" t="n">
        <v>10</v>
      </c>
      <c r="D9" s="406" t="n">
        <v>10</v>
      </c>
      <c r="E9" s="406" t="n">
        <v>0</v>
      </c>
      <c r="F9" s="406" t="n">
        <v>5</v>
      </c>
      <c r="G9" s="408">
        <f>'LIQ CIMARRONA'!F9+'LIQ CIMARRONA'!F21</f>
        <v/>
      </c>
    </row>
    <row r="10">
      <c r="A10" s="406" t="inlineStr">
        <is>
          <t>CARI CARI</t>
        </is>
      </c>
      <c r="B10" s="407" t="inlineStr">
        <is>
          <t>LIQ CARI CARI</t>
        </is>
      </c>
      <c r="C10" s="406" t="n">
        <v>4</v>
      </c>
      <c r="D10" s="406" t="n">
        <v>3</v>
      </c>
      <c r="E10" s="406" t="n">
        <v>1</v>
      </c>
      <c r="F10" s="406" t="n">
        <v>0</v>
      </c>
      <c r="G10" s="408">
        <f>'LIQ CARI CARI'!F9+'LIQ CARI CARI'!F21</f>
        <v/>
      </c>
    </row>
    <row r="11">
      <c r="A11" s="406" t="inlineStr">
        <is>
          <t>EL CORUAL (parte 1/2)</t>
        </is>
      </c>
      <c r="B11" s="407" t="inlineStr">
        <is>
          <t>LIQ EL CORUAL (1)</t>
        </is>
      </c>
      <c r="C11" s="406" t="n">
        <v>10</v>
      </c>
      <c r="D11" s="406" t="n">
        <v>7</v>
      </c>
      <c r="E11" s="406" t="n">
        <v>3</v>
      </c>
      <c r="F11" s="406" t="n">
        <v>7</v>
      </c>
      <c r="G11" s="408">
        <f>'LIQ EL CORUAL (1)'!F9+'LIQ EL CORUAL (1)'!F21</f>
        <v/>
      </c>
    </row>
    <row r="12">
      <c r="A12" s="406" t="inlineStr">
        <is>
          <t>EL CORUAL (parte 2/2)</t>
        </is>
      </c>
      <c r="B12" s="407" t="inlineStr">
        <is>
          <t>LIQ EL CORUAL (2)</t>
        </is>
      </c>
      <c r="C12" s="406" t="n">
        <v>9</v>
      </c>
      <c r="D12" s="406" t="n">
        <v>8</v>
      </c>
      <c r="E12" s="406" t="n">
        <v>1</v>
      </c>
      <c r="F12" s="406" t="n">
        <v>2</v>
      </c>
      <c r="G12" s="408">
        <f>'LIQ EL CORUAL (2)'!F9+'LIQ EL CORUAL (2)'!F21</f>
        <v/>
      </c>
    </row>
    <row r="13">
      <c r="A13" s="406" t="inlineStr">
        <is>
          <t>LAS MERCEDES (parte 1/2)</t>
        </is>
      </c>
      <c r="B13" s="407" t="inlineStr">
        <is>
          <t>LIQ LAS MERCEDES (1)</t>
        </is>
      </c>
      <c r="C13" s="406" t="n">
        <v>10</v>
      </c>
      <c r="D13" s="406" t="n">
        <v>9</v>
      </c>
      <c r="E13" s="406" t="n">
        <v>1</v>
      </c>
      <c r="F13" s="406" t="n">
        <v>5</v>
      </c>
      <c r="G13" s="408">
        <f>'LIQ LAS MERCEDES (1)'!F9+'LIQ LAS MERCEDES (1)'!F21</f>
        <v/>
      </c>
    </row>
    <row r="14">
      <c r="A14" s="406" t="inlineStr">
        <is>
          <t>LAS MERCEDES (parte 2/2)</t>
        </is>
      </c>
      <c r="B14" s="407" t="inlineStr">
        <is>
          <t>LIQ LAS MERCEDES (2)</t>
        </is>
      </c>
      <c r="C14" s="406" t="n">
        <v>5</v>
      </c>
      <c r="D14" s="406" t="n">
        <v>4</v>
      </c>
      <c r="E14" s="406" t="n">
        <v>1</v>
      </c>
      <c r="F14" s="406" t="n">
        <v>5</v>
      </c>
      <c r="G14" s="408">
        <f>'LIQ LAS MERCEDES (2)'!F9+'LIQ LAS MERCEDES (2)'!F21</f>
        <v/>
      </c>
    </row>
    <row r="15">
      <c r="A15" s="406" t="inlineStr">
        <is>
          <t>VERSALLES 1</t>
        </is>
      </c>
      <c r="B15" s="407" t="inlineStr">
        <is>
          <t>LIQ VERSALLES 1</t>
        </is>
      </c>
      <c r="C15" s="406" t="n">
        <v>2</v>
      </c>
      <c r="D15" s="406" t="n">
        <v>2</v>
      </c>
      <c r="E15" s="406" t="n">
        <v>0</v>
      </c>
      <c r="F15" s="406" t="n">
        <v>0</v>
      </c>
      <c r="G15" s="408">
        <f>'LIQ VERSALLES 1'!F9+'LIQ VERSALLES 1'!F21</f>
        <v/>
      </c>
    </row>
    <row r="16">
      <c r="A16" s="409" t="inlineStr">
        <is>
          <t>TOTAL</t>
        </is>
      </c>
      <c r="C16" s="410">
        <f>SUM(C4:C15)</f>
        <v/>
      </c>
      <c r="D16" s="410">
        <f>SUM(D4:D15)</f>
        <v/>
      </c>
      <c r="E16" s="410">
        <f>SUM(E4:E15)</f>
        <v/>
      </c>
      <c r="F16" s="410">
        <f>SUM(F4:F15)</f>
        <v/>
      </c>
      <c r="G16" s="411">
        <f>SUM(G4:G15)</f>
        <v/>
      </c>
    </row>
    <row r="18">
      <c r="A18" s="412" t="inlineStr">
        <is>
          <t>Los valores de predios con más de 10 construcciones se reparten en dos hojas (el formato admite 10 por hoja); sume ambas partes. Las construcciones sin clasificar y las de área vacía aportan $0 hasta que digite el presupuesto propio / el área.</t>
        </is>
      </c>
    </row>
    <row r="19"/>
    <row r="20"/>
  </sheetData>
  <mergeCells count="1">
    <mergeCell ref="A18:G20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3"/>
  <sheetViews>
    <sheetView tabSelected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288" min="1" max="1"/>
    <col width="5" customWidth="1" style="288" min="2" max="2"/>
    <col width="26" customWidth="1" style="288" min="3" max="3"/>
    <col width="10" customWidth="1" style="288" min="4" max="4"/>
    <col width="6" customWidth="1" style="288" min="5" max="5"/>
    <col width="9" customWidth="1" style="288" min="6" max="6"/>
    <col width="12" customWidth="1" style="288" min="7" max="7"/>
    <col width="8" customWidth="1" style="288" min="8" max="8"/>
    <col width="52" customWidth="1" style="288" min="9" max="9"/>
    <col width="9" customWidth="1" style="288" min="10" max="10"/>
    <col width="16" customWidth="1" style="288" min="11" max="11"/>
    <col width="10" customWidth="1" style="288" min="12" max="12"/>
    <col width="16" customWidth="1" style="288" min="13" max="13"/>
    <col width="52" customWidth="1" style="288" min="14" max="14"/>
    <col width="70" customWidth="1" style="288" min="15" max="15"/>
    <col width="20" customWidth="1" style="288" min="16" max="16"/>
    <col width="6" customWidth="1" style="288" min="17" max="17"/>
  </cols>
  <sheetData>
    <row r="1">
      <c r="A1" s="404" t="inlineStr">
        <is>
          <t>CLASIFICACIÓN DE CONSTRUCCIONES POR TIPOLOGÍA – Catálogo IGAC de Valores de Reposición (oct-2025 a oct-2026) · Región Norte</t>
        </is>
      </c>
    </row>
    <row r="3">
      <c r="A3" s="405" t="inlineStr">
        <is>
          <t>Predio</t>
        </is>
      </c>
      <c r="B3" s="405" t="inlineStr">
        <is>
          <t>Nº</t>
        </is>
      </c>
      <c r="C3" s="405" t="inlineStr">
        <is>
          <t>Ítem</t>
        </is>
      </c>
      <c r="D3" s="405" t="inlineStr">
        <is>
          <t>Área (m²)</t>
        </is>
      </c>
      <c r="E3" s="405" t="inlineStr">
        <is>
          <t>Edad</t>
        </is>
      </c>
      <c r="F3" s="405" t="inlineStr">
        <is>
          <t>Vida útil aplicada</t>
        </is>
      </c>
      <c r="G3" s="405" t="inlineStr">
        <is>
          <t>Estado (archivo)</t>
        </is>
      </c>
      <c r="H3" s="405" t="inlineStr">
        <is>
          <t>Calif. aplicada</t>
        </is>
      </c>
      <c r="I3" s="405" t="inlineStr">
        <is>
          <t>Tipología asignada (catálogo)</t>
        </is>
      </c>
      <c r="J3" s="405" t="inlineStr">
        <is>
          <t>Vida útil catálogo</t>
        </is>
      </c>
      <c r="K3" s="405" t="inlineStr">
        <is>
          <t>Valor reposición $/m² (Región Norte)</t>
        </is>
      </c>
      <c r="L3" s="405" t="inlineStr">
        <is>
          <t>Confianza</t>
        </is>
      </c>
      <c r="M3" s="405" t="inlineStr">
        <is>
          <t>Estado de la clasificación</t>
        </is>
      </c>
      <c r="N3" s="405" t="inlineStr">
        <is>
          <t>Criterio</t>
        </is>
      </c>
      <c r="O3" s="405" t="inlineStr">
        <is>
          <t>Alertas</t>
        </is>
      </c>
      <c r="P3" s="405" t="inlineStr">
        <is>
          <t>Hoja DEP</t>
        </is>
      </c>
      <c r="Q3" s="405" t="inlineStr">
        <is>
          <t>Fila</t>
        </is>
      </c>
    </row>
    <row r="4">
      <c r="A4" s="413" t="inlineStr">
        <is>
          <t>LÍBANO</t>
        </is>
      </c>
      <c r="B4" s="413" t="n">
        <v>1</v>
      </c>
      <c r="C4" s="413" t="inlineStr">
        <is>
          <t>Casa Principal</t>
        </is>
      </c>
      <c r="D4" s="414" t="n">
        <v>96.88</v>
      </c>
      <c r="E4" s="413" t="n">
        <v>30</v>
      </c>
      <c r="F4" s="413" t="n">
        <v>70</v>
      </c>
      <c r="G4" s="413" t="inlineStr">
        <is>
          <t>Bueno</t>
        </is>
      </c>
      <c r="H4" s="413" t="n">
        <v>2</v>
      </c>
      <c r="I4" s="413" t="inlineStr">
        <is>
          <t>1014113_Residencial.Tipo_3</t>
        </is>
      </c>
      <c r="J4" s="413" t="n">
        <v>100</v>
      </c>
      <c r="K4" s="415" t="n">
        <v>1131400</v>
      </c>
      <c r="L4" s="413" t="inlineStr">
        <is>
          <t>Alta</t>
        </is>
      </c>
      <c r="M4" s="413" t="inlineStr">
        <is>
          <t>CLASIFICADA</t>
        </is>
      </c>
      <c r="N4" s="413" t="inlineStr">
        <is>
          <t>Mampostería de bloque, revoque y pintura, pisos concreto/cerámica.</t>
        </is>
      </c>
      <c r="O4" s="413" t="inlineStr">
        <is>
          <t>Vida útil del archivo (70) distinta a la del catálogo (100); se respetó el archivo.</t>
        </is>
      </c>
      <c r="P4" s="416" t="inlineStr">
        <is>
          <t>DEP LÍBANO</t>
        </is>
      </c>
      <c r="Q4" s="413" t="n">
        <v>5</v>
      </c>
    </row>
    <row r="5">
      <c r="A5" s="413" t="inlineStr">
        <is>
          <t>LÍBANO</t>
        </is>
      </c>
      <c r="B5" s="413" t="n">
        <v>2</v>
      </c>
      <c r="C5" s="413" t="inlineStr">
        <is>
          <t>Casa Mayordomo</t>
        </is>
      </c>
      <c r="D5" s="414" t="n">
        <v>59.29</v>
      </c>
      <c r="E5" s="413" t="n">
        <v>30</v>
      </c>
      <c r="F5" s="413" t="n">
        <v>70</v>
      </c>
      <c r="G5" s="413" t="inlineStr">
        <is>
          <t>Regular</t>
        </is>
      </c>
      <c r="H5" s="413" t="n">
        <v>3</v>
      </c>
      <c r="I5" s="413" t="inlineStr">
        <is>
          <t>1004113_Residencial.Tipo_3_Menos</t>
        </is>
      </c>
      <c r="J5" s="413" t="n">
        <v>100</v>
      </c>
      <c r="K5" s="415" t="n">
        <v>1014000</v>
      </c>
      <c r="L5" s="413" t="inlineStr">
        <is>
          <t>Media</t>
        </is>
      </c>
      <c r="M5" s="413" t="inlineStr">
        <is>
          <t>CLASIFICADA</t>
        </is>
      </c>
      <c r="N5" s="413" t="inlineStr">
        <is>
          <t>Acabados austeros, pañete a la vista/pintura, cubierta metálica.</t>
        </is>
      </c>
      <c r="O5" s="413" t="inlineStr">
        <is>
          <t>Vida útil del archivo (70) distinta a la del catálogo (100); se respetó el archivo.</t>
        </is>
      </c>
      <c r="P5" s="416" t="inlineStr">
        <is>
          <t>DEP LÍBANO</t>
        </is>
      </c>
      <c r="Q5" s="413" t="n">
        <v>6</v>
      </c>
    </row>
    <row r="6">
      <c r="A6" s="413" t="inlineStr">
        <is>
          <t>LÍBANO</t>
        </is>
      </c>
      <c r="B6" s="413" t="n">
        <v>3</v>
      </c>
      <c r="C6" s="413" t="inlineStr">
        <is>
          <t>Casa pequeña</t>
        </is>
      </c>
      <c r="D6" s="414" t="n">
        <v>69.97</v>
      </c>
      <c r="E6" s="413" t="n">
        <v>25</v>
      </c>
      <c r="F6" s="413" t="n">
        <v>70</v>
      </c>
      <c r="G6" s="413" t="inlineStr">
        <is>
          <t>Regular</t>
        </is>
      </c>
      <c r="H6" s="413" t="n">
        <v>3</v>
      </c>
      <c r="I6" s="413" t="inlineStr">
        <is>
          <t>1004113_Residencial.Tipo_3_Menos</t>
        </is>
      </c>
      <c r="J6" s="413" t="n">
        <v>100</v>
      </c>
      <c r="K6" s="415" t="n">
        <v>1014000</v>
      </c>
      <c r="L6" s="413" t="inlineStr">
        <is>
          <t>Media</t>
        </is>
      </c>
      <c r="M6" s="413" t="inlineStr">
        <is>
          <t>CLASIFICADA</t>
        </is>
      </c>
      <c r="N6" s="413" t="inlineStr">
        <is>
          <t>Vivienda auxiliar sencilla, pisos en concreto afinado.</t>
        </is>
      </c>
      <c r="O6" s="413" t="inlineStr">
        <is>
          <t>Vida útil del archivo (70) distinta a la del catálogo (100); se respetó el archivo.</t>
        </is>
      </c>
      <c r="P6" s="416" t="inlineStr">
        <is>
          <t>DEP LÍBANO</t>
        </is>
      </c>
      <c r="Q6" s="413" t="n">
        <v>7</v>
      </c>
    </row>
    <row r="7">
      <c r="A7" s="413" t="inlineStr">
        <is>
          <t>LÍBANO</t>
        </is>
      </c>
      <c r="B7" s="413" t="n">
        <v>4</v>
      </c>
      <c r="C7" s="413" t="inlineStr">
        <is>
          <t>Bodega principal</t>
        </is>
      </c>
      <c r="D7" s="414" t="n">
        <v>72</v>
      </c>
      <c r="E7" s="413" t="n">
        <v>30</v>
      </c>
      <c r="F7" s="413" t="n">
        <v>70</v>
      </c>
      <c r="G7" s="413" t="inlineStr">
        <is>
          <t>Deficiente</t>
        </is>
      </c>
      <c r="H7" s="413" t="n">
        <v>3.5</v>
      </c>
      <c r="I7" s="413" t="inlineStr">
        <is>
          <t>3001121_Industrial.Liviana_2</t>
        </is>
      </c>
      <c r="J7" s="413" t="n">
        <v>100</v>
      </c>
      <c r="K7" s="415" t="n">
        <v>1226000</v>
      </c>
      <c r="L7" s="413" t="inlineStr">
        <is>
          <t>Media</t>
        </is>
      </c>
      <c r="M7" s="413" t="inlineStr">
        <is>
          <t>CLASIFICADA</t>
        </is>
      </c>
      <c r="N7" s="413" t="inlineStr">
        <is>
          <t>Bodega de una nave en mampostería con cercha metálica.</t>
        </is>
      </c>
      <c r="O7" s="413" t="inlineStr">
        <is>
          <t>Vida útil del archivo (70) distinta a la del catálogo (100); se respetó el archivo.</t>
        </is>
      </c>
      <c r="P7" s="416" t="inlineStr">
        <is>
          <t>DEP LÍBANO</t>
        </is>
      </c>
      <c r="Q7" s="413" t="n">
        <v>8</v>
      </c>
    </row>
    <row r="8">
      <c r="A8" s="413" t="inlineStr">
        <is>
          <t>LÍBANO</t>
        </is>
      </c>
      <c r="B8" s="413" t="n">
        <v>5</v>
      </c>
      <c r="C8" s="413" t="inlineStr">
        <is>
          <t>Cuarto útil</t>
        </is>
      </c>
      <c r="D8" s="414" t="n">
        <v>9</v>
      </c>
      <c r="E8" s="413" t="n">
        <v>30</v>
      </c>
      <c r="F8" s="413" t="n">
        <v>70</v>
      </c>
      <c r="G8" s="413" t="inlineStr">
        <is>
          <t>Deficiente</t>
        </is>
      </c>
      <c r="H8" s="413" t="n">
        <v>3.5</v>
      </c>
      <c r="I8" s="413" t="inlineStr">
        <is>
          <t>Anexos.Depósitos_1</t>
        </is>
      </c>
      <c r="J8" s="413" t="n">
        <v>70</v>
      </c>
      <c r="K8" s="415" t="n">
        <v>767900</v>
      </c>
      <c r="L8" s="413" t="inlineStr">
        <is>
          <t>Media</t>
        </is>
      </c>
      <c r="M8" s="413" t="inlineStr">
        <is>
          <t>CLASIFICADA</t>
        </is>
      </c>
      <c r="N8" s="413" t="inlineStr">
        <is>
          <t>Cuarto de almacenamiento en mampostería.</t>
        </is>
      </c>
      <c r="O8" s="413" t="inlineStr"/>
      <c r="P8" s="416" t="inlineStr">
        <is>
          <t>DEP LÍBANO</t>
        </is>
      </c>
      <c r="Q8" s="413" t="n">
        <v>9</v>
      </c>
    </row>
    <row r="9">
      <c r="A9" s="413" t="inlineStr">
        <is>
          <t>LÍBANO</t>
        </is>
      </c>
      <c r="B9" s="413" t="n">
        <v>6</v>
      </c>
      <c r="C9" s="413" t="inlineStr">
        <is>
          <t>Bodega auxiliar</t>
        </is>
      </c>
      <c r="D9" s="414" t="n">
        <v>8.32</v>
      </c>
      <c r="E9" s="413" t="n">
        <v>30</v>
      </c>
      <c r="F9" s="413" t="n">
        <v>50</v>
      </c>
      <c r="G9" s="413" t="inlineStr">
        <is>
          <t>Deficiente</t>
        </is>
      </c>
      <c r="H9" s="413" t="n">
        <v>3.5</v>
      </c>
      <c r="I9" s="413" t="inlineStr">
        <is>
          <t>Anexos.Depósitos_1</t>
        </is>
      </c>
      <c r="J9" s="413" t="n">
        <v>70</v>
      </c>
      <c r="K9" s="415" t="n">
        <v>767900</v>
      </c>
      <c r="L9" s="413" t="inlineStr">
        <is>
          <t>Media</t>
        </is>
      </c>
      <c r="M9" s="413" t="inlineStr">
        <is>
          <t>CLASIFICADA</t>
        </is>
      </c>
      <c r="N9" s="413" t="inlineStr">
        <is>
          <t>Cuarto de almacenamiento en mampostería.</t>
        </is>
      </c>
      <c r="O9" s="413" t="inlineStr">
        <is>
          <t>Vida útil del archivo (50) distinta a la del catálogo (70); se respetó el archivo.</t>
        </is>
      </c>
      <c r="P9" s="416" t="inlineStr">
        <is>
          <t>DEP LÍBANO</t>
        </is>
      </c>
      <c r="Q9" s="413" t="n">
        <v>10</v>
      </c>
    </row>
    <row r="10">
      <c r="A10" s="413" t="inlineStr">
        <is>
          <t>PORCIÓN 1-2-3</t>
        </is>
      </c>
      <c r="B10" s="413" t="n">
        <v>1</v>
      </c>
      <c r="C10" s="413" t="inlineStr">
        <is>
          <t>Casa Principal</t>
        </is>
      </c>
      <c r="D10" s="414">
        <f>12*21</f>
        <v/>
      </c>
      <c r="E10" s="413" t="n">
        <v>45</v>
      </c>
      <c r="F10" s="413" t="n">
        <v>70</v>
      </c>
      <c r="G10" s="413" t="inlineStr">
        <is>
          <t>Regular</t>
        </is>
      </c>
      <c r="H10" s="413" t="n">
        <v>3.5</v>
      </c>
      <c r="I10" s="413" t="inlineStr">
        <is>
          <t>1004113_Residencial.Tipo_3_Menos</t>
        </is>
      </c>
      <c r="J10" s="413" t="n">
        <v>100</v>
      </c>
      <c r="K10" s="415" t="n">
        <v>1014000</v>
      </c>
      <c r="L10" s="413" t="inlineStr">
        <is>
          <t>Media</t>
        </is>
      </c>
      <c r="M10" s="413" t="inlineStr">
        <is>
          <t>CLASIFICADA</t>
        </is>
      </c>
      <c r="N10" s="413" t="inlineStr">
        <is>
          <t>Mampostería revocada, piso concreto liso, cubierta zinc sobre madera.</t>
        </is>
      </c>
      <c r="O10" s="413" t="inlineStr">
        <is>
          <t>Vida útil del archivo (70) distinta a la del catálogo (100); se respetó el archivo. | Estado: el texto dice 'Regular' (3) pero la calificación numérica es 3.5; se usó la numérica del archivo.</t>
        </is>
      </c>
      <c r="P10" s="416" t="inlineStr">
        <is>
          <t>DEP PORCIÓN 1-2-3</t>
        </is>
      </c>
      <c r="Q10" s="413" t="n">
        <v>5</v>
      </c>
    </row>
    <row r="11">
      <c r="A11" s="413" t="inlineStr">
        <is>
          <t>PORCIÓN 1-2-3</t>
        </is>
      </c>
      <c r="B11" s="413" t="n">
        <v>2</v>
      </c>
      <c r="C11" s="413" t="inlineStr">
        <is>
          <t>Caseta de Porteria</t>
        </is>
      </c>
      <c r="D11" s="414">
        <f>2.6*2.7</f>
        <v/>
      </c>
      <c r="E11" s="413" t="n">
        <v>40</v>
      </c>
      <c r="F11" s="413" t="n">
        <v>70</v>
      </c>
      <c r="G11" s="413" t="inlineStr">
        <is>
          <t>Regular</t>
        </is>
      </c>
      <c r="H11" s="413" t="n">
        <v>3.5</v>
      </c>
      <c r="I11" s="413" t="inlineStr">
        <is>
          <t>1004113_Residencial.Tipo_3_Menos</t>
        </is>
      </c>
      <c r="J11" s="413" t="n">
        <v>100</v>
      </c>
      <c r="K11" s="415" t="n">
        <v>1014000</v>
      </c>
      <c r="L11" s="413" t="inlineStr">
        <is>
          <t>Media</t>
        </is>
      </c>
      <c r="M11" s="413" t="inlineStr">
        <is>
          <t>CLASIFICADA</t>
        </is>
      </c>
      <c r="N11" s="413" t="inlineStr">
        <is>
          <t>Caseta pequeña en mampostería con placa; sin tipología específica de portería.</t>
        </is>
      </c>
      <c r="O11" s="413" t="inlineStr">
        <is>
          <t>Vida útil del archivo (70) distinta a la del catálogo (100); se respetó el archivo. | Estado: el texto dice 'Regular' (3) pero la calificación numérica es 3.5; se usó la numérica del archivo.</t>
        </is>
      </c>
      <c r="P11" s="416" t="inlineStr">
        <is>
          <t>DEP PORCIÓN 1-2-3</t>
        </is>
      </c>
      <c r="Q11" s="413" t="n">
        <v>6</v>
      </c>
    </row>
    <row r="12">
      <c r="A12" s="417" t="inlineStr">
        <is>
          <t>PORCIÓN 1-2-3</t>
        </is>
      </c>
      <c r="B12" s="417" t="n">
        <v>3</v>
      </c>
      <c r="C12" s="417" t="inlineStr">
        <is>
          <t>Caseta de Fertilizantes</t>
        </is>
      </c>
      <c r="D12" s="418">
        <f>4*4</f>
        <v/>
      </c>
      <c r="E12" s="417" t="n">
        <v>40</v>
      </c>
      <c r="F12" s="417" t="n">
        <v>70</v>
      </c>
      <c r="G12" s="417" t="inlineStr">
        <is>
          <t>Regular</t>
        </is>
      </c>
      <c r="H12" s="417" t="n">
        <v>3</v>
      </c>
      <c r="I12" s="417" t="inlineStr">
        <is>
          <t>SIN CLASIFICAR</t>
        </is>
      </c>
      <c r="J12" s="417" t="inlineStr">
        <is>
          <t>—</t>
        </is>
      </c>
      <c r="K12" s="419" t="n"/>
      <c r="L12" s="417" t="inlineStr">
        <is>
          <t>—</t>
        </is>
      </c>
      <c r="M12" s="417" t="inlineStr">
        <is>
          <t>SIN CLASIFICAR</t>
        </is>
      </c>
      <c r="N12" s="417" t="inlineStr">
        <is>
          <t>Instalación/equipo o caseta en malla: sin tipología directa en el catálogo (requiere presupuesto propio). Murete + malla eslabonada + cubierta zinc.</t>
        </is>
      </c>
      <c r="O12" s="417" t="inlineStr">
        <is>
          <t>Vida útil vacía y sin tipología: se usó 70 provisional. | Valor de reposición pendiente: digitar presupuesto propio.</t>
        </is>
      </c>
      <c r="P12" s="420" t="inlineStr">
        <is>
          <t>DEP PORCIÓN 1-2-3</t>
        </is>
      </c>
      <c r="Q12" s="417" t="n">
        <v>7</v>
      </c>
    </row>
    <row r="13">
      <c r="A13" s="413" t="inlineStr">
        <is>
          <t>PORCIÓN 1-2-3</t>
        </is>
      </c>
      <c r="B13" s="413" t="n">
        <v>4</v>
      </c>
      <c r="C13" s="413" t="inlineStr">
        <is>
          <t>Comedor</t>
        </is>
      </c>
      <c r="D13" s="414" t="n">
        <v>367</v>
      </c>
      <c r="E13" s="413" t="n">
        <v>30</v>
      </c>
      <c r="F13" s="413" t="n">
        <v>70</v>
      </c>
      <c r="G13" s="413" t="inlineStr">
        <is>
          <t>Bueno</t>
        </is>
      </c>
      <c r="H13" s="413" t="n">
        <v>2</v>
      </c>
      <c r="I13" s="413" t="inlineStr">
        <is>
          <t>Anexos.Ramadas_Cobertizos_Caneyes_Plus_Tipo_80</t>
        </is>
      </c>
      <c r="J13" s="413" t="n">
        <v>70</v>
      </c>
      <c r="K13" s="415" t="n">
        <v>912600</v>
      </c>
      <c r="L13" s="413" t="inlineStr">
        <is>
          <t>Media</t>
        </is>
      </c>
      <c r="M13" s="413" t="inlineStr">
        <is>
          <t>CLASIFICADA</t>
        </is>
      </c>
      <c r="N13" s="413" t="inlineStr">
        <is>
          <t>Cubierta metálica sobre marcos metálicos, piso en baldosa.</t>
        </is>
      </c>
      <c r="O13" s="413" t="inlineStr">
        <is>
          <t>Vida útil vacía en el archivo: se usó la del catálogo (70).</t>
        </is>
      </c>
      <c r="P13" s="416" t="inlineStr">
        <is>
          <t>DEP PORCIÓN 1-2-3</t>
        </is>
      </c>
      <c r="Q13" s="413" t="n">
        <v>8</v>
      </c>
    </row>
    <row r="14">
      <c r="A14" s="413" t="inlineStr">
        <is>
          <t>PORCIÓN 1-2-3</t>
        </is>
      </c>
      <c r="B14" s="413" t="n">
        <v>5</v>
      </c>
      <c r="C14" s="413" t="inlineStr">
        <is>
          <t>Empacadora</t>
        </is>
      </c>
      <c r="D14" s="414" t="n">
        <v>297</v>
      </c>
      <c r="E14" s="413" t="n">
        <v>45</v>
      </c>
      <c r="F14" s="413" t="n">
        <v>70</v>
      </c>
      <c r="G14" s="413" t="inlineStr">
        <is>
          <t>Bueno</t>
        </is>
      </c>
      <c r="H14" s="413" t="n">
        <v>2</v>
      </c>
      <c r="I14" s="413" t="inlineStr">
        <is>
          <t>Anexos.Beneficiaderos_Medio_Tipo_60</t>
        </is>
      </c>
      <c r="J14" s="413" t="n">
        <v>100</v>
      </c>
      <c r="K14" s="415" t="n">
        <v>680600</v>
      </c>
      <c r="L14" s="413" t="inlineStr">
        <is>
          <t>Media</t>
        </is>
      </c>
      <c r="M14" s="413" t="inlineStr">
        <is>
          <t>CLASIFICADA</t>
        </is>
      </c>
      <c r="N14" s="413" t="inlineStr">
        <is>
          <t>Tinas de lavado en concreto bajo cubierta metálica (empacadora).</t>
        </is>
      </c>
      <c r="O14" s="413" t="inlineStr">
        <is>
          <t>Vida útil del archivo (70) distinta a la del catálogo (100); se respetó el archivo.</t>
        </is>
      </c>
      <c r="P14" s="416" t="inlineStr">
        <is>
          <t>DEP PORCIÓN 1-2-3</t>
        </is>
      </c>
      <c r="Q14" s="413" t="n">
        <v>9</v>
      </c>
    </row>
    <row r="15">
      <c r="A15" s="417" t="inlineStr">
        <is>
          <t>PORCIÓN 1-2-3</t>
        </is>
      </c>
      <c r="B15" s="417" t="n">
        <v>6</v>
      </c>
      <c r="C15" s="417" t="inlineStr">
        <is>
          <t>Planta agua potable</t>
        </is>
      </c>
      <c r="D15" s="418">
        <f>2.2*3</f>
        <v/>
      </c>
      <c r="E15" s="417" t="n">
        <v>45</v>
      </c>
      <c r="F15" s="417" t="n">
        <v>70</v>
      </c>
      <c r="G15" s="417" t="inlineStr">
        <is>
          <t>Regular</t>
        </is>
      </c>
      <c r="H15" s="417" t="n">
        <v>3</v>
      </c>
      <c r="I15" s="417" t="inlineStr">
        <is>
          <t>SIN CLASIFICAR</t>
        </is>
      </c>
      <c r="J15" s="417" t="inlineStr">
        <is>
          <t>—</t>
        </is>
      </c>
      <c r="K15" s="419" t="n"/>
      <c r="L15" s="417" t="inlineStr">
        <is>
          <t>—</t>
        </is>
      </c>
      <c r="M15" s="417" t="inlineStr">
        <is>
          <t>SIN CLASIFICAR</t>
        </is>
      </c>
      <c r="N15" s="417" t="inlineStr">
        <is>
          <t>Instalación/equipo o caseta en malla: sin tipología directa en el catálogo (requiere presupuesto propio). Planta de agua potable.</t>
        </is>
      </c>
      <c r="O15" s="417" t="inlineStr">
        <is>
          <t>Vida útil vacía y sin tipología: se usó 70 provisional. | Valor de reposición pendiente: digitar presupuesto propio.</t>
        </is>
      </c>
      <c r="P15" s="420" t="inlineStr">
        <is>
          <t>DEP PORCIÓN 1-2-3</t>
        </is>
      </c>
      <c r="Q15" s="417" t="n">
        <v>10</v>
      </c>
    </row>
    <row r="16">
      <c r="A16" s="417" t="inlineStr">
        <is>
          <t>PORCIÓN 1-2-3</t>
        </is>
      </c>
      <c r="B16" s="417" t="n">
        <v>7</v>
      </c>
      <c r="C16" s="417" t="inlineStr">
        <is>
          <t>Caseta Planta  electrica</t>
        </is>
      </c>
      <c r="D16" s="418">
        <f>2.5*2.75</f>
        <v/>
      </c>
      <c r="E16" s="417" t="n">
        <v>40</v>
      </c>
      <c r="F16" s="417" t="n">
        <v>70</v>
      </c>
      <c r="G16" s="417" t="inlineStr">
        <is>
          <t>Regular</t>
        </is>
      </c>
      <c r="H16" s="417" t="n">
        <v>3</v>
      </c>
      <c r="I16" s="417" t="inlineStr">
        <is>
          <t>SIN CLASIFICAR</t>
        </is>
      </c>
      <c r="J16" s="417" t="inlineStr">
        <is>
          <t>—</t>
        </is>
      </c>
      <c r="K16" s="419" t="n"/>
      <c r="L16" s="417" t="inlineStr">
        <is>
          <t>—</t>
        </is>
      </c>
      <c r="M16" s="417" t="inlineStr">
        <is>
          <t>SIN CLASIFICAR</t>
        </is>
      </c>
      <c r="N16" s="417" t="inlineStr">
        <is>
          <t>Instalación/equipo o caseta en malla: sin tipología directa en el catálogo (requiere presupuesto propio). Caseta de planta eléctrica.</t>
        </is>
      </c>
      <c r="O16" s="417" t="inlineStr">
        <is>
          <t>Vida útil vacía y sin tipología: se usó 70 provisional. | Valor de reposición pendiente: digitar presupuesto propio.</t>
        </is>
      </c>
      <c r="P16" s="420" t="inlineStr">
        <is>
          <t>DEP PORCIÓN 1-2-3</t>
        </is>
      </c>
      <c r="Q16" s="417" t="n">
        <v>11</v>
      </c>
    </row>
    <row r="17">
      <c r="A17" s="417" t="inlineStr">
        <is>
          <t>PORCIÓN 1-2-3</t>
        </is>
      </c>
      <c r="B17" s="417" t="n">
        <v>8</v>
      </c>
      <c r="C17" s="417" t="inlineStr">
        <is>
          <t>Ramada Aceite</t>
        </is>
      </c>
      <c r="D17" s="418" t="n">
        <v>28.88</v>
      </c>
      <c r="E17" s="417" t="n">
        <v>40</v>
      </c>
      <c r="F17" s="417" t="n">
        <v>70</v>
      </c>
      <c r="G17" s="417" t="inlineStr">
        <is>
          <t>Regular</t>
        </is>
      </c>
      <c r="H17" s="417" t="n">
        <v>3</v>
      </c>
      <c r="I17" s="417" t="inlineStr">
        <is>
          <t>SIN CLASIFICAR</t>
        </is>
      </c>
      <c r="J17" s="417" t="inlineStr">
        <is>
          <t>—</t>
        </is>
      </c>
      <c r="K17" s="419" t="n"/>
      <c r="L17" s="417" t="inlineStr">
        <is>
          <t>—</t>
        </is>
      </c>
      <c r="M17" s="417" t="inlineStr">
        <is>
          <t>SIN CLASIFICAR</t>
        </is>
      </c>
      <c r="N17" s="417" t="inlineStr">
        <is>
          <t>Instalación/equipo o caseta en malla: sin tipología directa en el catálogo (requiere presupuesto propio). Ramada de aceite con cerramiento en malla.</t>
        </is>
      </c>
      <c r="O17" s="417" t="inlineStr">
        <is>
          <t>Vida útil vacía y sin tipología: se usó 70 provisional. | Valor de reposición pendiente: digitar presupuesto propio.</t>
        </is>
      </c>
      <c r="P17" s="420" t="inlineStr">
        <is>
          <t>DEP PORCIÓN 1-2-3</t>
        </is>
      </c>
      <c r="Q17" s="417" t="n">
        <v>12</v>
      </c>
    </row>
    <row r="18">
      <c r="A18" s="417" t="inlineStr">
        <is>
          <t>PORCIÓN 1-2-3</t>
        </is>
      </c>
      <c r="B18" s="417" t="n">
        <v>9</v>
      </c>
      <c r="C18" s="417" t="inlineStr">
        <is>
          <t>Caseta de desinfección</t>
        </is>
      </c>
      <c r="D18" s="418">
        <f>8.1*2.5</f>
        <v/>
      </c>
      <c r="E18" s="417" t="n">
        <v>40</v>
      </c>
      <c r="F18" s="417" t="n">
        <v>70</v>
      </c>
      <c r="G18" s="417" t="inlineStr">
        <is>
          <t>Regular</t>
        </is>
      </c>
      <c r="H18" s="417" t="n">
        <v>3</v>
      </c>
      <c r="I18" s="417" t="inlineStr">
        <is>
          <t>SIN CLASIFICAR</t>
        </is>
      </c>
      <c r="J18" s="417" t="inlineStr">
        <is>
          <t>—</t>
        </is>
      </c>
      <c r="K18" s="419" t="n"/>
      <c r="L18" s="417" t="inlineStr">
        <is>
          <t>—</t>
        </is>
      </c>
      <c r="M18" s="417" t="inlineStr">
        <is>
          <t>SIN CLASIFICAR</t>
        </is>
      </c>
      <c r="N18" s="417" t="inlineStr">
        <is>
          <t>Pozetas de desinfección bajo cubierta: sin tipología directa (requiere presupuesto propio).</t>
        </is>
      </c>
      <c r="O18" s="417" t="inlineStr">
        <is>
          <t>Vida útil vacía y sin tipología: se usó 70 provisional. | Valor de reposición pendiente: digitar presupuesto propio.</t>
        </is>
      </c>
      <c r="P18" s="420" t="inlineStr">
        <is>
          <t>DEP PORCIÓN 1-2-3</t>
        </is>
      </c>
      <c r="Q18" s="417" t="n">
        <v>13</v>
      </c>
    </row>
    <row r="19">
      <c r="A19" s="413" t="inlineStr">
        <is>
          <t>SANTA ISABEL</t>
        </is>
      </c>
      <c r="B19" s="413" t="n">
        <v>1</v>
      </c>
      <c r="C19" s="413" t="inlineStr">
        <is>
          <t>Casa 1</t>
        </is>
      </c>
      <c r="D19" s="414" t="n">
        <v>100</v>
      </c>
      <c r="E19" s="413" t="n">
        <v>30</v>
      </c>
      <c r="F19" s="413" t="n">
        <v>70</v>
      </c>
      <c r="G19" s="413" t="inlineStr">
        <is>
          <t>Regular</t>
        </is>
      </c>
      <c r="H19" s="413" t="n">
        <v>3</v>
      </c>
      <c r="I19" s="413" t="inlineStr">
        <is>
          <t>1004113_Residencial.Tipo_3_Menos</t>
        </is>
      </c>
      <c r="J19" s="413" t="n">
        <v>100</v>
      </c>
      <c r="K19" s="415" t="n">
        <v>1014000</v>
      </c>
      <c r="L19" s="413" t="inlineStr">
        <is>
          <t>Media</t>
        </is>
      </c>
      <c r="M19" s="413" t="inlineStr">
        <is>
          <t>CLASIFICADA</t>
        </is>
      </c>
      <c r="N19" s="413" t="inlineStr">
        <is>
          <t>Mampostería de bloque, revoque y pintura, piso concreto afinado.</t>
        </is>
      </c>
      <c r="O19" s="413" t="inlineStr">
        <is>
          <t>Vida útil del archivo (70) distinta a la del catálogo (100); se respetó el archivo.</t>
        </is>
      </c>
      <c r="P19" s="416" t="inlineStr">
        <is>
          <t>DEP SANTA ISABEL</t>
        </is>
      </c>
      <c r="Q19" s="413" t="n">
        <v>5</v>
      </c>
    </row>
    <row r="20">
      <c r="A20" s="413" t="inlineStr">
        <is>
          <t>SANTA ISABEL</t>
        </is>
      </c>
      <c r="B20" s="413" t="n">
        <v>2</v>
      </c>
      <c r="C20" s="413" t="inlineStr">
        <is>
          <t>Casa 2</t>
        </is>
      </c>
      <c r="D20" s="414" t="n">
        <v>80</v>
      </c>
      <c r="E20" s="413" t="n">
        <v>30</v>
      </c>
      <c r="F20" s="413" t="n">
        <v>70</v>
      </c>
      <c r="G20" s="413" t="inlineStr">
        <is>
          <t>Regular</t>
        </is>
      </c>
      <c r="H20" s="413" t="n">
        <v>3</v>
      </c>
      <c r="I20" s="413" t="inlineStr">
        <is>
          <t>1004113_Residencial.Tipo_3_Menos</t>
        </is>
      </c>
      <c r="J20" s="413" t="n">
        <v>100</v>
      </c>
      <c r="K20" s="415" t="n">
        <v>1014000</v>
      </c>
      <c r="L20" s="413" t="inlineStr">
        <is>
          <t>Media</t>
        </is>
      </c>
      <c r="M20" s="413" t="inlineStr">
        <is>
          <t>CLASIFICADA</t>
        </is>
      </c>
      <c r="N20" s="413" t="inlineStr">
        <is>
          <t>Mampostería sencilla, abandonada (el deterioro se refleja en el estado).</t>
        </is>
      </c>
      <c r="O20" s="413" t="inlineStr">
        <is>
          <t>Vida útil del archivo (70) distinta a la del catálogo (100); se respetó el archivo.</t>
        </is>
      </c>
      <c r="P20" s="416" t="inlineStr">
        <is>
          <t>DEP SANTA ISABEL</t>
        </is>
      </c>
      <c r="Q20" s="413" t="n">
        <v>6</v>
      </c>
    </row>
    <row r="21">
      <c r="A21" s="413" t="inlineStr">
        <is>
          <t>CANCÚN</t>
        </is>
      </c>
      <c r="B21" s="413" t="n">
        <v>1</v>
      </c>
      <c r="C21" s="413" t="inlineStr">
        <is>
          <t>Almacen</t>
        </is>
      </c>
      <c r="D21" s="414" t="n">
        <v>148.4</v>
      </c>
      <c r="E21" s="413" t="n">
        <v>15</v>
      </c>
      <c r="F21" s="413" t="n">
        <v>70</v>
      </c>
      <c r="G21" s="413" t="inlineStr">
        <is>
          <t>Regular</t>
        </is>
      </c>
      <c r="H21" s="413" t="n">
        <v>3</v>
      </c>
      <c r="I21" s="413" t="inlineStr">
        <is>
          <t>2014111_Comercial.Basico_2</t>
        </is>
      </c>
      <c r="J21" s="413" t="n">
        <v>70</v>
      </c>
      <c r="K21" s="415" t="n">
        <v>1038900</v>
      </c>
      <c r="L21" s="413" t="inlineStr">
        <is>
          <t>Media</t>
        </is>
      </c>
      <c r="M21" s="413" t="inlineStr">
        <is>
          <t>CLASIFICADA</t>
        </is>
      </c>
      <c r="N21" s="413" t="inlineStr">
        <is>
          <t>Almacén/depósito de insumos, un nivel, cubierta metálica.</t>
        </is>
      </c>
      <c r="O21" s="413" t="inlineStr"/>
      <c r="P21" s="416" t="inlineStr">
        <is>
          <t>DEP CANCÚN (1)</t>
        </is>
      </c>
      <c r="Q21" s="413" t="n">
        <v>5</v>
      </c>
    </row>
    <row r="22">
      <c r="A22" s="413" t="inlineStr">
        <is>
          <t>CANCÚN</t>
        </is>
      </c>
      <c r="B22" s="413" t="n">
        <v>2</v>
      </c>
      <c r="C22" s="413" t="inlineStr">
        <is>
          <t>Bodega Cartonera</t>
        </is>
      </c>
      <c r="D22" s="414" t="n">
        <v>253</v>
      </c>
      <c r="E22" s="413" t="n">
        <v>20</v>
      </c>
      <c r="F22" s="413" t="n">
        <v>70</v>
      </c>
      <c r="G22" s="413" t="inlineStr">
        <is>
          <t>Regular</t>
        </is>
      </c>
      <c r="H22" s="413" t="n">
        <v>3</v>
      </c>
      <c r="I22" s="413" t="inlineStr">
        <is>
          <t>3002311_Industrial.Liviana_1</t>
        </is>
      </c>
      <c r="J22" s="413" t="n">
        <v>70</v>
      </c>
      <c r="K22" s="415" t="n">
        <v>476900</v>
      </c>
      <c r="L22" s="413" t="inlineStr">
        <is>
          <t>Media</t>
        </is>
      </c>
      <c r="M22" s="413" t="inlineStr">
        <is>
          <t>CLASIFICADA</t>
        </is>
      </c>
      <c r="N22" s="413" t="inlineStr">
        <is>
          <t>Galpón de acopio con cerramiento a la vista (malla/lámina) y cubierta metálica.</t>
        </is>
      </c>
      <c r="O22" s="413" t="inlineStr"/>
      <c r="P22" s="416" t="inlineStr">
        <is>
          <t>DEP CANCÚN (1)</t>
        </is>
      </c>
      <c r="Q22" s="413" t="n">
        <v>6</v>
      </c>
    </row>
    <row r="23">
      <c r="A23" s="413" t="inlineStr">
        <is>
          <t>CANCÚN</t>
        </is>
      </c>
      <c r="B23" s="413" t="n">
        <v>3</v>
      </c>
      <c r="C23" s="413" t="inlineStr">
        <is>
          <t>Portería</t>
        </is>
      </c>
      <c r="D23" s="414" t="n">
        <v>12.05</v>
      </c>
      <c r="E23" s="413" t="n">
        <v>18</v>
      </c>
      <c r="F23" s="413" t="n">
        <v>100</v>
      </c>
      <c r="G23" s="413" t="inlineStr">
        <is>
          <t>Regular</t>
        </is>
      </c>
      <c r="H23" s="413" t="n">
        <v>3</v>
      </c>
      <c r="I23" s="413" t="inlineStr">
        <is>
          <t>1004113_Residencial.Tipo_3_Menos</t>
        </is>
      </c>
      <c r="J23" s="413" t="n">
        <v>100</v>
      </c>
      <c r="K23" s="415" t="n">
        <v>1014000</v>
      </c>
      <c r="L23" s="413" t="inlineStr">
        <is>
          <t>Media</t>
        </is>
      </c>
      <c r="M23" s="413" t="inlineStr">
        <is>
          <t>CLASIFICADA</t>
        </is>
      </c>
      <c r="N23" s="413" t="inlineStr">
        <is>
          <t>Caseta pequeña en mampostería.</t>
        </is>
      </c>
      <c r="O23" s="413" t="inlineStr">
        <is>
          <t>Vida útil vacía en el archivo: se usó la del catálogo (100).</t>
        </is>
      </c>
      <c r="P23" s="416" t="inlineStr">
        <is>
          <t>DEP CANCÚN (1)</t>
        </is>
      </c>
      <c r="Q23" s="413" t="n">
        <v>7</v>
      </c>
    </row>
    <row r="24">
      <c r="A24" s="413" t="inlineStr">
        <is>
          <t>CANCÚN</t>
        </is>
      </c>
      <c r="B24" s="413" t="n">
        <v>4</v>
      </c>
      <c r="C24" s="413" t="inlineStr">
        <is>
          <t>Comedor</t>
        </is>
      </c>
      <c r="D24" s="414" t="n">
        <v>202.4</v>
      </c>
      <c r="E24" s="413" t="n">
        <v>20</v>
      </c>
      <c r="F24" s="413" t="n">
        <v>70</v>
      </c>
      <c r="G24" s="413" t="inlineStr">
        <is>
          <t>Bueno</t>
        </is>
      </c>
      <c r="H24" s="413" t="n">
        <v>2</v>
      </c>
      <c r="I24" s="413" t="inlineStr">
        <is>
          <t>Anexos.Ramadas_Cobertizos_Caneyes_Plus_Tipo_80</t>
        </is>
      </c>
      <c r="J24" s="413" t="n">
        <v>70</v>
      </c>
      <c r="K24" s="415" t="n">
        <v>912600</v>
      </c>
      <c r="L24" s="413" t="inlineStr">
        <is>
          <t>Media</t>
        </is>
      </c>
      <c r="M24" s="413" t="inlineStr">
        <is>
          <t>CLASIFICADA</t>
        </is>
      </c>
      <c r="N24" s="413" t="inlineStr">
        <is>
          <t>Estructura abierta con cerchas metálicas; criterio por foto.</t>
        </is>
      </c>
      <c r="O24" s="413" t="inlineStr">
        <is>
          <t>Vida útil vacía en el archivo: se usó la del catálogo (70).</t>
        </is>
      </c>
      <c r="P24" s="416" t="inlineStr">
        <is>
          <t>DEP CANCÚN (1)</t>
        </is>
      </c>
      <c r="Q24" s="413" t="n">
        <v>8</v>
      </c>
    </row>
    <row r="25">
      <c r="A25" s="413" t="inlineStr">
        <is>
          <t>CANCÚN</t>
        </is>
      </c>
      <c r="B25" s="413" t="n">
        <v>5</v>
      </c>
      <c r="C25" s="413" t="inlineStr">
        <is>
          <t>Empacadora</t>
        </is>
      </c>
      <c r="D25" s="414" t="n">
        <v>350</v>
      </c>
      <c r="E25" s="413" t="n">
        <v>15</v>
      </c>
      <c r="F25" s="413" t="n">
        <v>70</v>
      </c>
      <c r="G25" s="413" t="inlineStr">
        <is>
          <t>Bueno</t>
        </is>
      </c>
      <c r="H25" s="413" t="n">
        <v>2</v>
      </c>
      <c r="I25" s="413" t="inlineStr">
        <is>
          <t>Anexos.Beneficiaderos_Medio_Tipo_60</t>
        </is>
      </c>
      <c r="J25" s="413" t="n">
        <v>100</v>
      </c>
      <c r="K25" s="415" t="n">
        <v>680600</v>
      </c>
      <c r="L25" s="413" t="inlineStr">
        <is>
          <t>Media</t>
        </is>
      </c>
      <c r="M25" s="413" t="inlineStr">
        <is>
          <t>CLASIFICADA</t>
        </is>
      </c>
      <c r="N25" s="413" t="inlineStr">
        <is>
          <t>Tinas de lavado en concreto bajo cubierta metálica (empacadora).</t>
        </is>
      </c>
      <c r="O25" s="413" t="inlineStr">
        <is>
          <t>Vida útil del archivo (70) distinta a la del catálogo (100); se respetó el archivo.</t>
        </is>
      </c>
      <c r="P25" s="416" t="inlineStr">
        <is>
          <t>DEP CANCÚN (1)</t>
        </is>
      </c>
      <c r="Q25" s="413" t="n">
        <v>9</v>
      </c>
    </row>
    <row r="26">
      <c r="A26" s="417" t="inlineStr">
        <is>
          <t>CANCÚN</t>
        </is>
      </c>
      <c r="B26" s="417" t="n">
        <v>6</v>
      </c>
      <c r="C26" s="417" t="inlineStr">
        <is>
          <t>Planta agua potable</t>
        </is>
      </c>
      <c r="D26" s="418" t="n">
        <v>21</v>
      </c>
      <c r="E26" s="417" t="n">
        <v>15</v>
      </c>
      <c r="F26" s="417" t="n">
        <v>70</v>
      </c>
      <c r="G26" s="417" t="inlineStr">
        <is>
          <t>Bueno</t>
        </is>
      </c>
      <c r="H26" s="417" t="n">
        <v>4</v>
      </c>
      <c r="I26" s="417" t="inlineStr">
        <is>
          <t>SIN CLASIFICAR</t>
        </is>
      </c>
      <c r="J26" s="417" t="inlineStr">
        <is>
          <t>—</t>
        </is>
      </c>
      <c r="K26" s="419" t="n"/>
      <c r="L26" s="417" t="inlineStr">
        <is>
          <t>—</t>
        </is>
      </c>
      <c r="M26" s="417" t="inlineStr">
        <is>
          <t>SIN CLASIFICAR</t>
        </is>
      </c>
      <c r="N26" s="417" t="inlineStr">
        <is>
          <t>Instalación/equipo o caseta en malla: sin tipología directa en el catálogo (requiere presupuesto propio). Planta de agua potable.</t>
        </is>
      </c>
      <c r="O26" s="417" t="inlineStr">
        <is>
          <t>Vida útil vacía y sin tipología: se usó 70 provisional. | Estado: el texto dice 'Bueno' (2) pero la calificación numérica es 4; se usó la numérica del archivo. | Valor de reposición pendiente: digitar presupuesto propio.</t>
        </is>
      </c>
      <c r="P26" s="420" t="inlineStr">
        <is>
          <t>DEP CANCÚN (1)</t>
        </is>
      </c>
      <c r="Q26" s="417" t="n">
        <v>10</v>
      </c>
    </row>
    <row r="27">
      <c r="A27" s="413" t="inlineStr">
        <is>
          <t>CANCÚN</t>
        </is>
      </c>
      <c r="B27" s="413" t="n">
        <v>7</v>
      </c>
      <c r="C27" s="413" t="inlineStr">
        <is>
          <t>Zona de carga</t>
        </is>
      </c>
      <c r="D27" s="421" t="n"/>
      <c r="E27" s="413" t="n">
        <v>12</v>
      </c>
      <c r="F27" s="413" t="n">
        <v>70</v>
      </c>
      <c r="G27" s="413" t="inlineStr">
        <is>
          <t>Bueno</t>
        </is>
      </c>
      <c r="H27" s="413" t="n">
        <v>2</v>
      </c>
      <c r="I27" s="413" t="inlineStr">
        <is>
          <t>Anexos.Ramadas_Cobertizos_Caneyes_Plus_Tipo_80</t>
        </is>
      </c>
      <c r="J27" s="413" t="n">
        <v>70</v>
      </c>
      <c r="K27" s="415" t="n">
        <v>912600</v>
      </c>
      <c r="L27" s="413" t="inlineStr">
        <is>
          <t>Media</t>
        </is>
      </c>
      <c r="M27" s="413" t="inlineStr">
        <is>
          <t>CLASIFICADA</t>
        </is>
      </c>
      <c r="N27" s="413" t="inlineStr">
        <is>
          <t>Plataforma en concreto con cubierta metálica en voladizo. ÁREA PENDIENTE.</t>
        </is>
      </c>
      <c r="O27" s="413" t="inlineStr">
        <is>
          <t>Vida útil vacía en el archivo: se usó la del catálogo (70). | Área vacía en el archivo (ver croquis en "levantamiento en campo").</t>
        </is>
      </c>
      <c r="P27" s="416" t="inlineStr">
        <is>
          <t>DEP CANCÚN (1)</t>
        </is>
      </c>
      <c r="Q27" s="413" t="n">
        <v>11</v>
      </c>
    </row>
    <row r="28">
      <c r="A28" s="413" t="inlineStr">
        <is>
          <t>CANCÚN</t>
        </is>
      </c>
      <c r="B28" s="413" t="n">
        <v>8</v>
      </c>
      <c r="C28" s="413" t="inlineStr">
        <is>
          <t>Enramada</t>
        </is>
      </c>
      <c r="D28" s="414" t="n">
        <v>25</v>
      </c>
      <c r="E28" s="413" t="n">
        <v>10</v>
      </c>
      <c r="F28" s="413" t="n">
        <v>30</v>
      </c>
      <c r="G28" s="413" t="inlineStr">
        <is>
          <t>Regular</t>
        </is>
      </c>
      <c r="H28" s="413" t="n">
        <v>3</v>
      </c>
      <c r="I28" s="413" t="inlineStr">
        <is>
          <t>Anexos.Ramadas_Cobertizos_Caneyes_Media_Tipo_60</t>
        </is>
      </c>
      <c r="J28" s="413" t="n">
        <v>30</v>
      </c>
      <c r="K28" s="415" t="n">
        <v>363000</v>
      </c>
      <c r="L28" s="413" t="inlineStr">
        <is>
          <t>Media</t>
        </is>
      </c>
      <c r="M28" s="413" t="inlineStr">
        <is>
          <t>CLASIFICADA</t>
        </is>
      </c>
      <c r="N28" s="413" t="inlineStr">
        <is>
          <t>Estructura metálica con cubierta de zinc, sin muros.</t>
        </is>
      </c>
      <c r="O28" s="413" t="inlineStr">
        <is>
          <t>Vida útil vacía en el archivo: se usó la del catálogo (30).</t>
        </is>
      </c>
      <c r="P28" s="416" t="inlineStr">
        <is>
          <t>DEP CANCÚN (1)</t>
        </is>
      </c>
      <c r="Q28" s="413" t="n">
        <v>12</v>
      </c>
    </row>
    <row r="29">
      <c r="A29" s="417" t="inlineStr">
        <is>
          <t>CANCÚN</t>
        </is>
      </c>
      <c r="B29" s="417" t="n">
        <v>9</v>
      </c>
      <c r="C29" s="417" t="inlineStr">
        <is>
          <t>Caseta de desinfección</t>
        </is>
      </c>
      <c r="D29" s="421" t="n"/>
      <c r="E29" s="417" t="n">
        <v>10</v>
      </c>
      <c r="F29" s="417" t="n">
        <v>70</v>
      </c>
      <c r="G29" s="417" t="inlineStr">
        <is>
          <t>Regular</t>
        </is>
      </c>
      <c r="H29" s="417" t="n">
        <v>3</v>
      </c>
      <c r="I29" s="417" t="inlineStr">
        <is>
          <t>SIN CLASIFICAR</t>
        </is>
      </c>
      <c r="J29" s="417" t="inlineStr">
        <is>
          <t>—</t>
        </is>
      </c>
      <c r="K29" s="419" t="n"/>
      <c r="L29" s="417" t="inlineStr">
        <is>
          <t>—</t>
        </is>
      </c>
      <c r="M29" s="417" t="inlineStr">
        <is>
          <t>SIN CLASIFICAR</t>
        </is>
      </c>
      <c r="N29" s="417" t="inlineStr">
        <is>
          <t>Pozetas de desinfección bajo cubierta: sin tipología directa (requiere presupuesto propio).</t>
        </is>
      </c>
      <c r="O29" s="417" t="inlineStr">
        <is>
          <t>Vida útil vacía y sin tipología: se usó 70 provisional. | Área vacía en el archivo (ver croquis en "levantamiento en campo"). | Valor de reposición pendiente: digitar presupuesto propio.</t>
        </is>
      </c>
      <c r="P29" s="420" t="inlineStr">
        <is>
          <t>DEP CANCÚN (1)</t>
        </is>
      </c>
      <c r="Q29" s="417" t="n">
        <v>13</v>
      </c>
    </row>
    <row r="30">
      <c r="A30" s="417" t="inlineStr">
        <is>
          <t>CANCÚN</t>
        </is>
      </c>
      <c r="B30" s="417" t="n">
        <v>10</v>
      </c>
      <c r="C30" s="417" t="inlineStr">
        <is>
          <t>Enramada Combustible</t>
        </is>
      </c>
      <c r="D30" s="418" t="n">
        <v>51</v>
      </c>
      <c r="E30" s="417" t="n">
        <v>13</v>
      </c>
      <c r="F30" s="417" t="n">
        <v>70</v>
      </c>
      <c r="G30" s="417" t="inlineStr">
        <is>
          <t>Regular</t>
        </is>
      </c>
      <c r="H30" s="417" t="n">
        <v>3</v>
      </c>
      <c r="I30" s="417" t="inlineStr">
        <is>
          <t>SIN CLASIFICAR</t>
        </is>
      </c>
      <c r="J30" s="417" t="inlineStr">
        <is>
          <t>—</t>
        </is>
      </c>
      <c r="K30" s="419" t="n"/>
      <c r="L30" s="417" t="inlineStr">
        <is>
          <t>—</t>
        </is>
      </c>
      <c r="M30" s="417" t="inlineStr">
        <is>
          <t>SIN CLASIFICAR</t>
        </is>
      </c>
      <c r="N30" s="417" t="inlineStr">
        <is>
          <t>Instalación/equipo o caseta en malla: sin tipología directa en el catálogo (requiere presupuesto propio). Enramada de combustible (contención/malla).</t>
        </is>
      </c>
      <c r="O30" s="417" t="inlineStr">
        <is>
          <t>Vida útil vacía y sin tipología: se usó 70 provisional. | Valor de reposición pendiente: digitar presupuesto propio.</t>
        </is>
      </c>
      <c r="P30" s="420" t="inlineStr">
        <is>
          <t>DEP CANCÚN (1)</t>
        </is>
      </c>
      <c r="Q30" s="417" t="n">
        <v>14</v>
      </c>
    </row>
    <row r="31">
      <c r="A31" s="413" t="inlineStr">
        <is>
          <t>CANCÚN</t>
        </is>
      </c>
      <c r="B31" s="413" t="n">
        <v>11</v>
      </c>
      <c r="C31" s="413" t="inlineStr">
        <is>
          <t>Baños</t>
        </is>
      </c>
      <c r="D31" s="421" t="n"/>
      <c r="E31" s="413" t="n">
        <v>13</v>
      </c>
      <c r="F31" s="413" t="n">
        <v>70</v>
      </c>
      <c r="G31" s="413" t="inlineStr">
        <is>
          <t>Bueno</t>
        </is>
      </c>
      <c r="H31" s="413" t="n">
        <v>2</v>
      </c>
      <c r="I31" s="413" t="inlineStr">
        <is>
          <t>Anexos.Baños_2</t>
        </is>
      </c>
      <c r="J31" s="413" t="n">
        <v>100</v>
      </c>
      <c r="K31" s="415" t="n">
        <v>1241200</v>
      </c>
      <c r="L31" s="413" t="inlineStr">
        <is>
          <t>Media</t>
        </is>
      </c>
      <c r="M31" s="413" t="inlineStr">
        <is>
          <t>CLASIFICADA</t>
        </is>
      </c>
      <c r="N31" s="413" t="inlineStr">
        <is>
          <t>Baño con acabados (piso en cerámica, muro pintado/enchapado).</t>
        </is>
      </c>
      <c r="O31" s="413" t="inlineStr">
        <is>
          <t>Vida útil del archivo (70) distinta a la del catálogo (100); se respetó el archivo. | Área vacía en el archivo (ver croquis en "levantamiento en campo").</t>
        </is>
      </c>
      <c r="P31" s="416" t="inlineStr">
        <is>
          <t>DEP CANCÚN (2)</t>
        </is>
      </c>
      <c r="Q31" s="413" t="n">
        <v>5</v>
      </c>
    </row>
    <row r="32">
      <c r="A32" s="413" t="inlineStr">
        <is>
          <t>CIMARRONA</t>
        </is>
      </c>
      <c r="B32" s="413" t="n">
        <v>1</v>
      </c>
      <c r="C32" s="413" t="inlineStr">
        <is>
          <t>Casa 1</t>
        </is>
      </c>
      <c r="D32" s="414" t="n">
        <v>442</v>
      </c>
      <c r="E32" s="413" t="n">
        <v>47</v>
      </c>
      <c r="F32" s="413" t="n">
        <v>70</v>
      </c>
      <c r="G32" s="413" t="inlineStr">
        <is>
          <t>Deficiente</t>
        </is>
      </c>
      <c r="H32" s="413" t="n">
        <v>3.5</v>
      </c>
      <c r="I32" s="413" t="inlineStr">
        <is>
          <t>1014113_Residencial.Tipo_3</t>
        </is>
      </c>
      <c r="J32" s="413" t="n">
        <v>100</v>
      </c>
      <c r="K32" s="415" t="n">
        <v>1131400</v>
      </c>
      <c r="L32" s="413" t="inlineStr">
        <is>
          <t>Media</t>
        </is>
      </c>
      <c r="M32" s="413" t="inlineStr">
        <is>
          <t>CLASIFICADA</t>
        </is>
      </c>
      <c r="N32" s="413" t="inlineStr">
        <is>
          <t>Bloque, pañete con pintura, teja de barro, piso cerámica.</t>
        </is>
      </c>
      <c r="O32" s="413" t="inlineStr">
        <is>
          <t>Vida útil del archivo (70) distinta a la del catálogo (100); se respetó el archivo.</t>
        </is>
      </c>
      <c r="P32" s="416" t="inlineStr">
        <is>
          <t>DEP CIMARRONA</t>
        </is>
      </c>
      <c r="Q32" s="413" t="n">
        <v>5</v>
      </c>
    </row>
    <row r="33">
      <c r="A33" s="413" t="inlineStr">
        <is>
          <t>CIMARRONA</t>
        </is>
      </c>
      <c r="B33" s="413" t="n">
        <v>2</v>
      </c>
      <c r="C33" s="413" t="inlineStr">
        <is>
          <t>Comedor</t>
        </is>
      </c>
      <c r="D33" s="414" t="n">
        <v>93.5</v>
      </c>
      <c r="E33" s="413" t="n">
        <v>45</v>
      </c>
      <c r="F33" s="413" t="n">
        <v>70</v>
      </c>
      <c r="G33" s="413" t="inlineStr">
        <is>
          <t>Malo</t>
        </is>
      </c>
      <c r="H33" s="413" t="n">
        <v>4</v>
      </c>
      <c r="I33" s="413" t="inlineStr">
        <is>
          <t>1004113_Residencial.Tipo_3_Menos</t>
        </is>
      </c>
      <c r="J33" s="413" t="n">
        <v>100</v>
      </c>
      <c r="K33" s="415" t="n">
        <v>1014000</v>
      </c>
      <c r="L33" s="413" t="inlineStr">
        <is>
          <t>Media</t>
        </is>
      </c>
      <c r="M33" s="413" t="inlineStr">
        <is>
          <t>CLASIFICADA</t>
        </is>
      </c>
      <c r="N33" s="413" t="inlineStr">
        <is>
          <t>Edificación en bloque/ladrillo sin acabados, cubierta metálica.</t>
        </is>
      </c>
      <c r="O33" s="413" t="inlineStr">
        <is>
          <t>Vida útil del archivo (70) distinta a la del catálogo (100); se respetó el archivo.</t>
        </is>
      </c>
      <c r="P33" s="416" t="inlineStr">
        <is>
          <t>DEP CIMARRONA</t>
        </is>
      </c>
      <c r="Q33" s="413" t="n">
        <v>6</v>
      </c>
    </row>
    <row r="34">
      <c r="A34" s="413" t="inlineStr">
        <is>
          <t>CIMARRONA</t>
        </is>
      </c>
      <c r="B34" s="413" t="n">
        <v>3</v>
      </c>
      <c r="C34" s="413" t="inlineStr">
        <is>
          <t>Comedor 2</t>
        </is>
      </c>
      <c r="D34" s="414" t="n">
        <v>160</v>
      </c>
      <c r="E34" s="413" t="n">
        <v>35</v>
      </c>
      <c r="F34" s="413" t="n">
        <v>70</v>
      </c>
      <c r="G34" s="413" t="inlineStr">
        <is>
          <t>Regular</t>
        </is>
      </c>
      <c r="H34" s="413" t="n">
        <v>3</v>
      </c>
      <c r="I34" s="413" t="inlineStr">
        <is>
          <t>Anexos.Ramadas_Cobertizos_Caneyes_Plus_Tipo_80</t>
        </is>
      </c>
      <c r="J34" s="413" t="n">
        <v>70</v>
      </c>
      <c r="K34" s="415" t="n">
        <v>912600</v>
      </c>
      <c r="L34" s="413" t="inlineStr">
        <is>
          <t>Media</t>
        </is>
      </c>
      <c r="M34" s="413" t="inlineStr">
        <is>
          <t>CLASIFICADA</t>
        </is>
      </c>
      <c r="N34" s="413" t="inlineStr">
        <is>
          <t>Estructura abierta con cerchas metálicas y pilares en concreto.</t>
        </is>
      </c>
      <c r="O34" s="413" t="inlineStr"/>
      <c r="P34" s="416" t="inlineStr">
        <is>
          <t>DEP CIMARRONA</t>
        </is>
      </c>
      <c r="Q34" s="413" t="n">
        <v>7</v>
      </c>
    </row>
    <row r="35">
      <c r="A35" s="422" t="inlineStr">
        <is>
          <t>CIMARRONA</t>
        </is>
      </c>
      <c r="B35" s="422" t="n">
        <v>4</v>
      </c>
      <c r="C35" s="422" t="inlineStr">
        <is>
          <t>Comedor casa principal</t>
        </is>
      </c>
      <c r="D35" s="421" t="n"/>
      <c r="E35" s="422" t="n">
        <v>43</v>
      </c>
      <c r="F35" s="422" t="n">
        <v>70</v>
      </c>
      <c r="G35" s="422" t="inlineStr">
        <is>
          <t>Regular</t>
        </is>
      </c>
      <c r="H35" s="422" t="n">
        <v>3</v>
      </c>
      <c r="I35" s="422" t="inlineStr">
        <is>
          <t>1004113_Residencial.Tipo_3_Menos</t>
        </is>
      </c>
      <c r="J35" s="422" t="n">
        <v>100</v>
      </c>
      <c r="K35" s="423" t="n">
        <v>1014000</v>
      </c>
      <c r="L35" s="422" t="inlineStr">
        <is>
          <t>Baja</t>
        </is>
      </c>
      <c r="M35" s="422" t="inlineStr">
        <is>
          <t>CLASIFICADA</t>
        </is>
      </c>
      <c r="N35" s="422" t="inlineStr">
        <is>
          <t>Edificación de 2 niveles con balcón en madera; revisar tipología.</t>
        </is>
      </c>
      <c r="O35" s="422" t="inlineStr">
        <is>
          <t>Vida útil del archivo (70) distinta a la del catálogo (100); se respetó el archivo. | Área vacía en el archivo (ver croquis en "levantamiento en campo").</t>
        </is>
      </c>
      <c r="P35" s="424" t="inlineStr">
        <is>
          <t>DEP CIMARRONA</t>
        </is>
      </c>
      <c r="Q35" s="422" t="n">
        <v>8</v>
      </c>
    </row>
    <row r="36">
      <c r="A36" s="413" t="inlineStr">
        <is>
          <t>CIMARRONA</t>
        </is>
      </c>
      <c r="B36" s="413" t="n">
        <v>5</v>
      </c>
      <c r="C36" s="413" t="inlineStr">
        <is>
          <t>Empacadora</t>
        </is>
      </c>
      <c r="D36" s="421" t="n"/>
      <c r="E36" s="413" t="n">
        <v>45</v>
      </c>
      <c r="F36" s="413" t="n">
        <v>70</v>
      </c>
      <c r="G36" s="413" t="inlineStr">
        <is>
          <t>Malo</t>
        </is>
      </c>
      <c r="H36" s="413" t="n">
        <v>4</v>
      </c>
      <c r="I36" s="413" t="inlineStr">
        <is>
          <t>3002311_Industrial.Liviana_1</t>
        </is>
      </c>
      <c r="J36" s="413" t="n">
        <v>70</v>
      </c>
      <c r="K36" s="415" t="n">
        <v>476900</v>
      </c>
      <c r="L36" s="413" t="inlineStr">
        <is>
          <t>Media</t>
        </is>
      </c>
      <c r="M36" s="413" t="inlineStr">
        <is>
          <t>CLASIFICADA</t>
        </is>
      </c>
      <c r="N36" s="413" t="inlineStr">
        <is>
          <t>Galpón cerrado con lámina metálica y cubierta metálica. ÁREA PENDIENTE.</t>
        </is>
      </c>
      <c r="O36" s="413" t="inlineStr">
        <is>
          <t>Área vacía en el archivo (ver croquis en "levantamiento en campo").</t>
        </is>
      </c>
      <c r="P36" s="416" t="inlineStr">
        <is>
          <t>DEP CIMARRONA</t>
        </is>
      </c>
      <c r="Q36" s="413" t="n">
        <v>9</v>
      </c>
    </row>
    <row r="37">
      <c r="A37" s="413" t="inlineStr">
        <is>
          <t>CIMARRONA</t>
        </is>
      </c>
      <c r="B37" s="413" t="n">
        <v>6</v>
      </c>
      <c r="C37" s="413" t="inlineStr">
        <is>
          <t>Bodega</t>
        </is>
      </c>
      <c r="D37" s="414" t="n">
        <v>20</v>
      </c>
      <c r="E37" s="413" t="n">
        <v>39</v>
      </c>
      <c r="F37" s="413" t="n">
        <v>70</v>
      </c>
      <c r="G37" s="413" t="inlineStr">
        <is>
          <t>Malo</t>
        </is>
      </c>
      <c r="H37" s="413" t="n">
        <v>4</v>
      </c>
      <c r="I37" s="413" t="inlineStr">
        <is>
          <t>Anexos.Depósitos_1</t>
        </is>
      </c>
      <c r="J37" s="413" t="n">
        <v>70</v>
      </c>
      <c r="K37" s="415" t="n">
        <v>767900</v>
      </c>
      <c r="L37" s="413" t="inlineStr">
        <is>
          <t>Media</t>
        </is>
      </c>
      <c r="M37" s="413" t="inlineStr">
        <is>
          <t>CLASIFICADA</t>
        </is>
      </c>
      <c r="N37" s="413" t="inlineStr">
        <is>
          <t>Cuarto/bodega pequeña en mampostería.</t>
        </is>
      </c>
      <c r="O37" s="413" t="inlineStr"/>
      <c r="P37" s="416" t="inlineStr">
        <is>
          <t>DEP CIMARRONA</t>
        </is>
      </c>
      <c r="Q37" s="413" t="n">
        <v>10</v>
      </c>
    </row>
    <row r="38">
      <c r="A38" s="413" t="inlineStr">
        <is>
          <t>CIMARRONA</t>
        </is>
      </c>
      <c r="B38" s="413" t="n">
        <v>7</v>
      </c>
      <c r="C38" s="413" t="inlineStr">
        <is>
          <t>Bodega cartonera</t>
        </is>
      </c>
      <c r="D38" s="421" t="n"/>
      <c r="E38" s="413" t="n">
        <v>40</v>
      </c>
      <c r="F38" s="413" t="n">
        <v>50</v>
      </c>
      <c r="G38" s="413" t="inlineStr">
        <is>
          <t>Deficiente</t>
        </is>
      </c>
      <c r="H38" s="413" t="n">
        <v>3.5</v>
      </c>
      <c r="I38" s="413" t="inlineStr">
        <is>
          <t>3002311_Industrial.Liviana_1</t>
        </is>
      </c>
      <c r="J38" s="413" t="n">
        <v>70</v>
      </c>
      <c r="K38" s="415" t="n">
        <v>476900</v>
      </c>
      <c r="L38" s="413" t="inlineStr">
        <is>
          <t>Media</t>
        </is>
      </c>
      <c r="M38" s="413" t="inlineStr">
        <is>
          <t>CLASIFICADA</t>
        </is>
      </c>
      <c r="N38" s="413" t="inlineStr">
        <is>
          <t>Galpón con cerramiento en malla/lámina y cubierta metálica. ÁREA PENDIENTE.</t>
        </is>
      </c>
      <c r="O38" s="413" t="inlineStr">
        <is>
          <t>Vida útil del archivo (50) distinta a la del catálogo (70); se respetó el archivo. | Área vacía en el archivo (ver croquis en "levantamiento en campo").</t>
        </is>
      </c>
      <c r="P38" s="416" t="inlineStr">
        <is>
          <t>DEP CIMARRONA</t>
        </is>
      </c>
      <c r="Q38" s="413" t="n">
        <v>11</v>
      </c>
    </row>
    <row r="39">
      <c r="A39" s="413" t="inlineStr">
        <is>
          <t>CIMARRONA</t>
        </is>
      </c>
      <c r="B39" s="413" t="n">
        <v>8</v>
      </c>
      <c r="C39" s="413" t="inlineStr">
        <is>
          <t>Caseta del gas</t>
        </is>
      </c>
      <c r="D39" s="414" t="n">
        <v>9</v>
      </c>
      <c r="E39" s="413" t="n">
        <v>40</v>
      </c>
      <c r="F39" s="413" t="n">
        <v>70</v>
      </c>
      <c r="G39" s="413" t="inlineStr">
        <is>
          <t>Regular</t>
        </is>
      </c>
      <c r="H39" s="413" t="n">
        <v>3</v>
      </c>
      <c r="I39" s="413" t="inlineStr">
        <is>
          <t>Anexos.Depósitos_1</t>
        </is>
      </c>
      <c r="J39" s="413" t="n">
        <v>70</v>
      </c>
      <c r="K39" s="415" t="n">
        <v>767900</v>
      </c>
      <c r="L39" s="413" t="inlineStr">
        <is>
          <t>Media</t>
        </is>
      </c>
      <c r="M39" s="413" t="inlineStr">
        <is>
          <t>CLASIFICADA</t>
        </is>
      </c>
      <c r="N39" s="413" t="inlineStr">
        <is>
          <t>Caseta pequeña en mampostería.</t>
        </is>
      </c>
      <c r="O39" s="413" t="inlineStr">
        <is>
          <t>Vida útil vacía en el archivo: se usó la del catálogo (70).</t>
        </is>
      </c>
      <c r="P39" s="416" t="inlineStr">
        <is>
          <t>DEP CIMARRONA</t>
        </is>
      </c>
      <c r="Q39" s="413" t="n">
        <v>12</v>
      </c>
    </row>
    <row r="40">
      <c r="A40" s="413" t="inlineStr">
        <is>
          <t>CIMARRONA</t>
        </is>
      </c>
      <c r="B40" s="413" t="n">
        <v>9</v>
      </c>
      <c r="C40" s="413" t="inlineStr">
        <is>
          <t>Comedor empacadora</t>
        </is>
      </c>
      <c r="D40" s="421" t="n"/>
      <c r="E40" s="413" t="n">
        <v>40</v>
      </c>
      <c r="F40" s="413" t="n">
        <v>70</v>
      </c>
      <c r="G40" s="413" t="inlineStr">
        <is>
          <t>Regular</t>
        </is>
      </c>
      <c r="H40" s="413" t="n">
        <v>3</v>
      </c>
      <c r="I40" s="413" t="inlineStr">
        <is>
          <t>Anexos.Ramadas_Cobertizos_Caneyes_Media_Tipo_60</t>
        </is>
      </c>
      <c r="J40" s="413" t="n">
        <v>30</v>
      </c>
      <c r="K40" s="415" t="n">
        <v>363000</v>
      </c>
      <c r="L40" s="413" t="inlineStr">
        <is>
          <t>Media</t>
        </is>
      </c>
      <c r="M40" s="413" t="inlineStr">
        <is>
          <t>CLASIFICADA</t>
        </is>
      </c>
      <c r="N40" s="413" t="inlineStr">
        <is>
          <t>Estructura con columnas metálicas, muro bajo y cubierta de lámina.</t>
        </is>
      </c>
      <c r="O40" s="413" t="inlineStr">
        <is>
          <t>Vida útil vacía y sin referencia válida (catálogo ≤ edad o sin tipología): se usó 70 provisional. | Área vacía en el archivo (ver croquis en "levantamiento en campo").</t>
        </is>
      </c>
      <c r="P40" s="416" t="inlineStr">
        <is>
          <t>DEP CIMARRONA</t>
        </is>
      </c>
      <c r="Q40" s="413" t="n">
        <v>13</v>
      </c>
    </row>
    <row r="41">
      <c r="A41" s="422" t="inlineStr">
        <is>
          <t>CIMARRONA</t>
        </is>
      </c>
      <c r="B41" s="422" t="n">
        <v>10</v>
      </c>
      <c r="C41" s="422" t="inlineStr">
        <is>
          <t>Baños</t>
        </is>
      </c>
      <c r="D41" s="421" t="n"/>
      <c r="E41" s="422" t="n">
        <v>41</v>
      </c>
      <c r="F41" s="422" t="n">
        <v>70</v>
      </c>
      <c r="G41" s="422" t="inlineStr">
        <is>
          <t>Regular</t>
        </is>
      </c>
      <c r="H41" s="422" t="n">
        <v>3</v>
      </c>
      <c r="I41" s="422" t="inlineStr">
        <is>
          <t>Anexos.Baños_1</t>
        </is>
      </c>
      <c r="J41" s="422" t="n">
        <v>70</v>
      </c>
      <c r="K41" s="423" t="n">
        <v>930700</v>
      </c>
      <c r="L41" s="422" t="inlineStr">
        <is>
          <t>Baja</t>
        </is>
      </c>
      <c r="M41" s="422" t="inlineStr">
        <is>
          <t>CLASIFICADA</t>
        </is>
      </c>
      <c r="N41" s="422" t="inlineStr">
        <is>
          <t>Baños pequeños en mampostería sencilla.</t>
        </is>
      </c>
      <c r="O41" s="422" t="inlineStr">
        <is>
          <t>Área vacía en el archivo (ver croquis en "levantamiento en campo").</t>
        </is>
      </c>
      <c r="P41" s="424" t="inlineStr">
        <is>
          <t>DEP CIMARRONA</t>
        </is>
      </c>
      <c r="Q41" s="422" t="n">
        <v>14</v>
      </c>
    </row>
    <row r="42">
      <c r="A42" s="413" t="inlineStr">
        <is>
          <t>CARI CARI</t>
        </is>
      </c>
      <c r="B42" s="413" t="n">
        <v>1</v>
      </c>
      <c r="C42" s="413" t="inlineStr">
        <is>
          <t>Casa 1</t>
        </is>
      </c>
      <c r="D42" s="414" t="n">
        <v>161.5</v>
      </c>
      <c r="E42" s="413" t="n">
        <v>45</v>
      </c>
      <c r="F42" s="413" t="n">
        <v>70</v>
      </c>
      <c r="G42" s="413" t="inlineStr">
        <is>
          <t>Malo</t>
        </is>
      </c>
      <c r="H42" s="413" t="n">
        <v>4</v>
      </c>
      <c r="I42" s="413" t="inlineStr">
        <is>
          <t>1004113_Residencial.Tipo_3_Menos</t>
        </is>
      </c>
      <c r="J42" s="413" t="n">
        <v>100</v>
      </c>
      <c r="K42" s="415" t="n">
        <v>1014000</v>
      </c>
      <c r="L42" s="413" t="inlineStr">
        <is>
          <t>Media</t>
        </is>
      </c>
      <c r="M42" s="413" t="inlineStr">
        <is>
          <t>CLASIFICADA</t>
        </is>
      </c>
      <c r="N42" s="413" t="inlineStr">
        <is>
          <t>Bloque con pañete, cubierta en fibrocemento sobre madera.</t>
        </is>
      </c>
      <c r="O42" s="413" t="inlineStr">
        <is>
          <t>Vida útil del archivo (70) distinta a la del catálogo (100); se respetó el archivo.</t>
        </is>
      </c>
      <c r="P42" s="416" t="inlineStr">
        <is>
          <t>DEP CARI CARI</t>
        </is>
      </c>
      <c r="Q42" s="413" t="n">
        <v>5</v>
      </c>
    </row>
    <row r="43">
      <c r="A43" s="413" t="inlineStr">
        <is>
          <t>CARI CARI</t>
        </is>
      </c>
      <c r="B43" s="413" t="n">
        <v>2</v>
      </c>
      <c r="C43" s="413" t="inlineStr">
        <is>
          <t>Casa 2</t>
        </is>
      </c>
      <c r="D43" s="414" t="n">
        <v>25.5</v>
      </c>
      <c r="E43" s="413" t="n">
        <v>30</v>
      </c>
      <c r="F43" s="413" t="n">
        <v>70</v>
      </c>
      <c r="G43" s="413" t="inlineStr">
        <is>
          <t>Malo</t>
        </is>
      </c>
      <c r="H43" s="413" t="n">
        <v>4</v>
      </c>
      <c r="I43" s="413" t="inlineStr">
        <is>
          <t>1004113_Residencial.Tipo_3_Menos</t>
        </is>
      </c>
      <c r="J43" s="413" t="n">
        <v>100</v>
      </c>
      <c r="K43" s="415" t="n">
        <v>1014000</v>
      </c>
      <c r="L43" s="413" t="inlineStr">
        <is>
          <t>Media</t>
        </is>
      </c>
      <c r="M43" s="413" t="inlineStr">
        <is>
          <t>CLASIFICADA</t>
        </is>
      </c>
      <c r="N43" s="413" t="inlineStr">
        <is>
          <t>Bloque, cubierta metálica, pisos en cemento.</t>
        </is>
      </c>
      <c r="O43" s="413" t="inlineStr">
        <is>
          <t>Vida útil del archivo (70) distinta a la del catálogo (100); se respetó el archivo.</t>
        </is>
      </c>
      <c r="P43" s="416" t="inlineStr">
        <is>
          <t>DEP CARI CARI</t>
        </is>
      </c>
      <c r="Q43" s="413" t="n">
        <v>6</v>
      </c>
    </row>
    <row r="44">
      <c r="A44" s="422" t="inlineStr">
        <is>
          <t>CARI CARI</t>
        </is>
      </c>
      <c r="B44" s="422" t="n">
        <v>3</v>
      </c>
      <c r="C44" s="422" t="inlineStr">
        <is>
          <t>Comedor</t>
        </is>
      </c>
      <c r="D44" s="425" t="n">
        <v>75</v>
      </c>
      <c r="E44" s="422" t="n">
        <v>30</v>
      </c>
      <c r="F44" s="422" t="n">
        <v>70</v>
      </c>
      <c r="G44" s="422" t="inlineStr">
        <is>
          <t>Malo</t>
        </is>
      </c>
      <c r="H44" s="422" t="n">
        <v>4</v>
      </c>
      <c r="I44" s="422" t="inlineStr">
        <is>
          <t>Anexos.Kioscos_Medio_Tipo_60</t>
        </is>
      </c>
      <c r="J44" s="422" t="n">
        <v>70</v>
      </c>
      <c r="K44" s="423" t="n">
        <v>605900</v>
      </c>
      <c r="L44" s="422" t="inlineStr">
        <is>
          <t>Baja</t>
        </is>
      </c>
      <c r="M44" s="422" t="inlineStr">
        <is>
          <t>CLASIFICADA</t>
        </is>
      </c>
      <c r="N44" s="422" t="inlineStr">
        <is>
          <t>Comedor semiabierto con muros a media altura y mobiliario fijo; analogía.</t>
        </is>
      </c>
      <c r="O44" s="422" t="inlineStr"/>
      <c r="P44" s="424" t="inlineStr">
        <is>
          <t>DEP CARI CARI</t>
        </is>
      </c>
      <c r="Q44" s="422" t="n">
        <v>7</v>
      </c>
    </row>
    <row r="45">
      <c r="A45" s="417" t="inlineStr">
        <is>
          <t>CARI CARI</t>
        </is>
      </c>
      <c r="B45" s="417" t="n">
        <v>4</v>
      </c>
      <c r="C45" s="417" t="inlineStr">
        <is>
          <t>Baño - Tanque</t>
        </is>
      </c>
      <c r="D45" s="418" t="n">
        <v>21.6</v>
      </c>
      <c r="E45" s="417" t="n">
        <v>30</v>
      </c>
      <c r="F45" s="417" t="n">
        <v>70</v>
      </c>
      <c r="G45" s="417" t="inlineStr">
        <is>
          <t>Malo</t>
        </is>
      </c>
      <c r="H45" s="417" t="n">
        <v>4</v>
      </c>
      <c r="I45" s="417" t="inlineStr">
        <is>
          <t>SIN CLASIFICAR</t>
        </is>
      </c>
      <c r="J45" s="417" t="inlineStr">
        <is>
          <t>—</t>
        </is>
      </c>
      <c r="K45" s="419" t="n"/>
      <c r="L45" s="417" t="inlineStr">
        <is>
          <t>—</t>
        </is>
      </c>
      <c r="M45" s="417" t="inlineStr">
        <is>
          <t>SIN CLASIFICAR</t>
        </is>
      </c>
      <c r="N45" s="417" t="inlineStr">
        <is>
          <t>Baño combinado con tanque elevado: sin tipología directa (requiere presupuesto propio).</t>
        </is>
      </c>
      <c r="O45" s="417" t="inlineStr">
        <is>
          <t>Valor de reposición pendiente: digitar presupuesto propio.</t>
        </is>
      </c>
      <c r="P45" s="420" t="inlineStr">
        <is>
          <t>DEP CARI CARI</t>
        </is>
      </c>
      <c r="Q45" s="417" t="n">
        <v>8</v>
      </c>
    </row>
    <row r="46">
      <c r="A46" s="413" t="inlineStr">
        <is>
          <t>EL CORUAL</t>
        </is>
      </c>
      <c r="B46" s="413" t="n">
        <v>10</v>
      </c>
      <c r="C46" s="413" t="inlineStr">
        <is>
          <t>La casona</t>
        </is>
      </c>
      <c r="D46" s="414">
        <f>15*18</f>
        <v/>
      </c>
      <c r="E46" s="413" t="n">
        <v>20</v>
      </c>
      <c r="F46" s="413" t="n">
        <v>70</v>
      </c>
      <c r="G46" s="413" t="inlineStr">
        <is>
          <t>Bueno</t>
        </is>
      </c>
      <c r="H46" s="413" t="n">
        <v>4</v>
      </c>
      <c r="I46" s="413" t="inlineStr">
        <is>
          <t>1014113_Residencial.Tipo_3</t>
        </is>
      </c>
      <c r="J46" s="413" t="n">
        <v>100</v>
      </c>
      <c r="K46" s="415" t="n">
        <v>1131400</v>
      </c>
      <c r="L46" s="413" t="inlineStr">
        <is>
          <t>Media</t>
        </is>
      </c>
      <c r="M46" s="413" t="inlineStr">
        <is>
          <t>CLASIFICADA</t>
        </is>
      </c>
      <c r="N46" s="413" t="inlineStr">
        <is>
          <t>Mampostería enlucida y pintada, teja de barro, ventanas en madera.</t>
        </is>
      </c>
      <c r="O46" s="413" t="inlineStr">
        <is>
          <t>Vida útil del archivo (70) distinta a la del catálogo (100); se respetó el archivo. | Estado: el texto dice 'Bueno' (2) pero la calificación numérica es 4; se usó la numérica del archivo.</t>
        </is>
      </c>
      <c r="P46" s="416" t="inlineStr">
        <is>
          <t>DEP EL CORUAL (1)</t>
        </is>
      </c>
      <c r="Q46" s="413" t="n">
        <v>5</v>
      </c>
    </row>
    <row r="47">
      <c r="A47" s="413" t="inlineStr">
        <is>
          <t>EL CORUAL</t>
        </is>
      </c>
      <c r="B47" s="413" t="n">
        <v>1</v>
      </c>
      <c r="C47" s="413" t="inlineStr">
        <is>
          <t>Almacén</t>
        </is>
      </c>
      <c r="D47" s="421" t="n"/>
      <c r="E47" s="413" t="n">
        <v>35</v>
      </c>
      <c r="F47" s="413" t="n">
        <v>70</v>
      </c>
      <c r="G47" s="413" t="inlineStr">
        <is>
          <t>Regular</t>
        </is>
      </c>
      <c r="H47" s="413" t="n">
        <v>3</v>
      </c>
      <c r="I47" s="413" t="inlineStr">
        <is>
          <t>2014111_Comercial.Basico_2</t>
        </is>
      </c>
      <c r="J47" s="413" t="n">
        <v>70</v>
      </c>
      <c r="K47" s="415" t="n">
        <v>1038900</v>
      </c>
      <c r="L47" s="413" t="inlineStr">
        <is>
          <t>Media</t>
        </is>
      </c>
      <c r="M47" s="413" t="inlineStr">
        <is>
          <t>CLASIFICADA</t>
        </is>
      </c>
      <c r="N47" s="413" t="inlineStr">
        <is>
          <t>Almacén de insumos, un nivel, mampostería y cubierta metálica.</t>
        </is>
      </c>
      <c r="O47" s="413" t="inlineStr">
        <is>
          <t>Área vacía en el archivo (ver croquis en "levantamiento en campo").</t>
        </is>
      </c>
      <c r="P47" s="416" t="inlineStr">
        <is>
          <t>DEP EL CORUAL (1)</t>
        </is>
      </c>
      <c r="Q47" s="413" t="n">
        <v>6</v>
      </c>
    </row>
    <row r="48">
      <c r="A48" s="413" t="inlineStr">
        <is>
          <t>EL CORUAL</t>
        </is>
      </c>
      <c r="B48" s="413" t="n">
        <v>2</v>
      </c>
      <c r="C48" s="413" t="inlineStr">
        <is>
          <t>Bodega Yumbolos</t>
        </is>
      </c>
      <c r="D48" s="421" t="n"/>
      <c r="E48" s="413" t="n">
        <v>30</v>
      </c>
      <c r="F48" s="413" t="n">
        <v>70</v>
      </c>
      <c r="G48" s="413" t="inlineStr">
        <is>
          <t>Malo</t>
        </is>
      </c>
      <c r="H48" s="413" t="n">
        <v>4</v>
      </c>
      <c r="I48" s="413" t="inlineStr">
        <is>
          <t>Anexos.Ramadas_Cobertizos_Caneyes_Media_Tipo_60</t>
        </is>
      </c>
      <c r="J48" s="413" t="n">
        <v>30</v>
      </c>
      <c r="K48" s="415" t="n">
        <v>363000</v>
      </c>
      <c r="L48" s="413" t="inlineStr">
        <is>
          <t>Media</t>
        </is>
      </c>
      <c r="M48" s="413" t="inlineStr">
        <is>
          <t>CLASIFICADA</t>
        </is>
      </c>
      <c r="N48" s="413" t="inlineStr">
        <is>
          <t>Estructura metálica con cubierta de gran luz, sin muros.</t>
        </is>
      </c>
      <c r="O48" s="413" t="inlineStr">
        <is>
          <t>Vida útil del archivo (70) distinta a la del catálogo (30); se respetó el archivo. | Área vacía en el archivo (ver croquis en "levantamiento en campo").</t>
        </is>
      </c>
      <c r="P48" s="416" t="inlineStr">
        <is>
          <t>DEP EL CORUAL (1)</t>
        </is>
      </c>
      <c r="Q48" s="413" t="n">
        <v>7</v>
      </c>
    </row>
    <row r="49">
      <c r="A49" s="417" t="inlineStr">
        <is>
          <t>EL CORUAL</t>
        </is>
      </c>
      <c r="B49" s="417" t="n">
        <v>3</v>
      </c>
      <c r="C49" s="417" t="inlineStr">
        <is>
          <t>Bomba ACPM</t>
        </is>
      </c>
      <c r="D49" s="421" t="n"/>
      <c r="E49" s="417" t="n">
        <v>35</v>
      </c>
      <c r="F49" s="417" t="n">
        <v>70</v>
      </c>
      <c r="G49" s="417" t="inlineStr">
        <is>
          <t>Deficiente</t>
        </is>
      </c>
      <c r="H49" s="417" t="n">
        <v>3.5</v>
      </c>
      <c r="I49" s="417" t="inlineStr">
        <is>
          <t>SIN CLASIFICAR</t>
        </is>
      </c>
      <c r="J49" s="417" t="inlineStr">
        <is>
          <t>—</t>
        </is>
      </c>
      <c r="K49" s="419" t="n"/>
      <c r="L49" s="417" t="inlineStr">
        <is>
          <t>—</t>
        </is>
      </c>
      <c r="M49" s="417" t="inlineStr">
        <is>
          <t>SIN CLASIFICAR</t>
        </is>
      </c>
      <c r="N49" s="417" t="inlineStr">
        <is>
          <t>Tanque de ACPM sobre base en concreto: instalación sin tipología directa.</t>
        </is>
      </c>
      <c r="O49" s="417" t="inlineStr">
        <is>
          <t>Área vacía en el archivo (ver croquis en "levantamiento en campo"). | Valor de reposición pendiente: digitar presupuesto propio.</t>
        </is>
      </c>
      <c r="P49" s="420" t="inlineStr">
        <is>
          <t>DEP EL CORUAL (1)</t>
        </is>
      </c>
      <c r="Q49" s="417" t="n">
        <v>8</v>
      </c>
    </row>
    <row r="50">
      <c r="A50" s="417" t="inlineStr">
        <is>
          <t>EL CORUAL</t>
        </is>
      </c>
      <c r="B50" s="417" t="n">
        <v>4</v>
      </c>
      <c r="C50" s="417" t="inlineStr">
        <is>
          <t>Bomba Aceite</t>
        </is>
      </c>
      <c r="D50" s="421" t="n"/>
      <c r="E50" s="417" t="n">
        <v>25</v>
      </c>
      <c r="F50" s="417" t="n">
        <v>70</v>
      </c>
      <c r="G50" s="417" t="inlineStr">
        <is>
          <t>Bueno</t>
        </is>
      </c>
      <c r="H50" s="417" t="n">
        <v>4</v>
      </c>
      <c r="I50" s="417" t="inlineStr">
        <is>
          <t>SIN CLASIFICAR</t>
        </is>
      </c>
      <c r="J50" s="417" t="inlineStr">
        <is>
          <t>—</t>
        </is>
      </c>
      <c r="K50" s="419" t="n"/>
      <c r="L50" s="417" t="inlineStr">
        <is>
          <t>—</t>
        </is>
      </c>
      <c r="M50" s="417" t="inlineStr">
        <is>
          <t>SIN CLASIFICAR</t>
        </is>
      </c>
      <c r="N50" s="417" t="inlineStr">
        <is>
          <t>Tanques de aceite sobre plataforma: instalación sin tipología directa.</t>
        </is>
      </c>
      <c r="O50" s="417" t="inlineStr">
        <is>
          <t>Estado: el texto dice 'Bueno' (2) pero la calificación numérica es 4; se usó la numérica del archivo. | Área vacía en el archivo (ver croquis en "levantamiento en campo"). | Valor de reposición pendiente: digitar presupuesto propio.</t>
        </is>
      </c>
      <c r="P50" s="420" t="inlineStr">
        <is>
          <t>DEP EL CORUAL (1)</t>
        </is>
      </c>
      <c r="Q50" s="417" t="n">
        <v>9</v>
      </c>
    </row>
    <row r="51">
      <c r="A51" s="417" t="inlineStr">
        <is>
          <t>EL CORUAL</t>
        </is>
      </c>
      <c r="B51" s="417" t="n">
        <v>5</v>
      </c>
      <c r="C51" s="417" t="inlineStr">
        <is>
          <t>Cable vía</t>
        </is>
      </c>
      <c r="D51" s="421" t="n"/>
      <c r="E51" s="417" t="n">
        <v>35</v>
      </c>
      <c r="F51" s="417" t="n">
        <v>70</v>
      </c>
      <c r="G51" s="417" t="inlineStr">
        <is>
          <t>Deficiente</t>
        </is>
      </c>
      <c r="H51" s="417" t="n">
        <v>3.5</v>
      </c>
      <c r="I51" s="417" t="inlineStr">
        <is>
          <t>SIN CLASIFICAR</t>
        </is>
      </c>
      <c r="J51" s="417" t="inlineStr">
        <is>
          <t>—</t>
        </is>
      </c>
      <c r="K51" s="419" t="n"/>
      <c r="L51" s="417" t="inlineStr">
        <is>
          <t>—</t>
        </is>
      </c>
      <c r="M51" s="417" t="inlineStr">
        <is>
          <t>SIN CLASIFICAR</t>
        </is>
      </c>
      <c r="N51" s="417" t="inlineStr">
        <is>
          <t>Cable vía (sistema de transporte de racimos): sin tipología directa.</t>
        </is>
      </c>
      <c r="O51" s="417" t="inlineStr">
        <is>
          <t>Área vacía en el archivo (ver croquis en "levantamiento en campo"). | Valor de reposición pendiente: digitar presupuesto propio.</t>
        </is>
      </c>
      <c r="P51" s="420" t="inlineStr">
        <is>
          <t>DEP EL CORUAL (1)</t>
        </is>
      </c>
      <c r="Q51" s="417" t="n">
        <v>10</v>
      </c>
    </row>
    <row r="52">
      <c r="A52" s="413" t="inlineStr">
        <is>
          <t>EL CORUAL</t>
        </is>
      </c>
      <c r="B52" s="413" t="n">
        <v>6</v>
      </c>
      <c r="C52" s="413" t="inlineStr">
        <is>
          <t>Casa</t>
        </is>
      </c>
      <c r="D52" s="421" t="n"/>
      <c r="E52" s="413" t="n">
        <v>25</v>
      </c>
      <c r="F52" s="413" t="n">
        <v>70</v>
      </c>
      <c r="G52" s="413" t="inlineStr">
        <is>
          <t>Regular</t>
        </is>
      </c>
      <c r="H52" s="413" t="n">
        <v>3</v>
      </c>
      <c r="I52" s="413" t="inlineStr">
        <is>
          <t>1004113_Residencial.Tipo_3_Menos</t>
        </is>
      </c>
      <c r="J52" s="413" t="n">
        <v>100</v>
      </c>
      <c r="K52" s="415" t="n">
        <v>1014000</v>
      </c>
      <c r="L52" s="413" t="inlineStr">
        <is>
          <t>Media</t>
        </is>
      </c>
      <c r="M52" s="413" t="inlineStr">
        <is>
          <t>CLASIFICADA</t>
        </is>
      </c>
      <c r="N52" s="413" t="inlineStr">
        <is>
          <t>Mampostería enlucida, cubierta a dos aguas.</t>
        </is>
      </c>
      <c r="O52" s="413" t="inlineStr">
        <is>
          <t>Vida útil del archivo (70) distinta a la del catálogo (100); se respetó el archivo. | Área vacía en el archivo (ver croquis en "levantamiento en campo").</t>
        </is>
      </c>
      <c r="P52" s="416" t="inlineStr">
        <is>
          <t>DEP EL CORUAL (1)</t>
        </is>
      </c>
      <c r="Q52" s="413" t="n">
        <v>11</v>
      </c>
    </row>
    <row r="53">
      <c r="A53" s="413" t="inlineStr">
        <is>
          <t>EL CORUAL</t>
        </is>
      </c>
      <c r="B53" s="413" t="n">
        <v>7</v>
      </c>
      <c r="C53" s="413" t="inlineStr">
        <is>
          <t>Comedor</t>
        </is>
      </c>
      <c r="D53" s="414" t="n">
        <v>255</v>
      </c>
      <c r="E53" s="413" t="n">
        <v>20</v>
      </c>
      <c r="F53" s="413" t="n">
        <v>50</v>
      </c>
      <c r="G53" s="413" t="inlineStr">
        <is>
          <t>Bueno</t>
        </is>
      </c>
      <c r="H53" s="413" t="n">
        <v>4</v>
      </c>
      <c r="I53" s="413" t="inlineStr">
        <is>
          <t>Anexos.Ramadas_Cobertizos_Caneyes_Plus_Tipo_80</t>
        </is>
      </c>
      <c r="J53" s="413" t="n">
        <v>70</v>
      </c>
      <c r="K53" s="415" t="n">
        <v>912600</v>
      </c>
      <c r="L53" s="413" t="inlineStr">
        <is>
          <t>Alta</t>
        </is>
      </c>
      <c r="M53" s="413" t="inlineStr">
        <is>
          <t>CLASIFICADA</t>
        </is>
      </c>
      <c r="N53" s="413" t="inlineStr">
        <is>
          <t>Pilares en concreto, cubierta metálica, piso cerámica, mobiliario fijo.</t>
        </is>
      </c>
      <c r="O53" s="413" t="inlineStr">
        <is>
          <t>Vida útil del archivo (50) distinta a la del catálogo (70); se respetó el archivo. | Estado: el texto dice 'Bueno' (2) pero la calificación numérica es 4; se usó la numérica del archivo.</t>
        </is>
      </c>
      <c r="P53" s="416" t="inlineStr">
        <is>
          <t>DEP EL CORUAL (1)</t>
        </is>
      </c>
      <c r="Q53" s="413" t="n">
        <v>12</v>
      </c>
    </row>
    <row r="54">
      <c r="A54" s="413" t="inlineStr">
        <is>
          <t>EL CORUAL</t>
        </is>
      </c>
      <c r="B54" s="413" t="n">
        <v>8</v>
      </c>
      <c r="C54" s="413" t="inlineStr">
        <is>
          <t>Empacadora</t>
        </is>
      </c>
      <c r="D54" s="414">
        <f>22*15</f>
        <v/>
      </c>
      <c r="E54" s="413" t="n">
        <v>20</v>
      </c>
      <c r="F54" s="413" t="n">
        <v>100</v>
      </c>
      <c r="G54" s="413" t="inlineStr">
        <is>
          <t>Bueno</t>
        </is>
      </c>
      <c r="H54" s="413" t="n">
        <v>4</v>
      </c>
      <c r="I54" s="413" t="inlineStr">
        <is>
          <t>Anexos.Beneficiaderos_Medio_Tipo_60</t>
        </is>
      </c>
      <c r="J54" s="413" t="n">
        <v>100</v>
      </c>
      <c r="K54" s="415" t="n">
        <v>680600</v>
      </c>
      <c r="L54" s="413" t="inlineStr">
        <is>
          <t>Media</t>
        </is>
      </c>
      <c r="M54" s="413" t="inlineStr">
        <is>
          <t>CLASIFICADA</t>
        </is>
      </c>
      <c r="N54" s="413" t="inlineStr">
        <is>
          <t>Tinas de lavado bajo cubierta metálica amplia (empacadora).</t>
        </is>
      </c>
      <c r="O54" s="413" t="inlineStr">
        <is>
          <t>Vida útil vacía en el archivo: se usó la del catálogo (100). | Estado: el texto dice 'Bueno' (2) pero la calificación numérica es 4; se usó la numérica del archivo.</t>
        </is>
      </c>
      <c r="P54" s="416" t="inlineStr">
        <is>
          <t>DEP EL CORUAL (1)</t>
        </is>
      </c>
      <c r="Q54" s="413" t="n">
        <v>13</v>
      </c>
    </row>
    <row r="55">
      <c r="A55" s="413" t="inlineStr">
        <is>
          <t>EL CORUAL</t>
        </is>
      </c>
      <c r="B55" s="413" t="n">
        <v>9</v>
      </c>
      <c r="C55" s="413" t="inlineStr">
        <is>
          <t>Kiosko</t>
        </is>
      </c>
      <c r="D55" s="421" t="n"/>
      <c r="E55" s="413" t="n">
        <v>15</v>
      </c>
      <c r="F55" s="413" t="n">
        <v>50</v>
      </c>
      <c r="G55" s="413" t="inlineStr">
        <is>
          <t>Bueno</t>
        </is>
      </c>
      <c r="H55" s="413" t="n">
        <v>4</v>
      </c>
      <c r="I55" s="413" t="inlineStr">
        <is>
          <t>Anexos.Kioscos_Sencillo_Tipo_40</t>
        </is>
      </c>
      <c r="J55" s="413" t="n">
        <v>50</v>
      </c>
      <c r="K55" s="415" t="n">
        <v>409900</v>
      </c>
      <c r="L55" s="413" t="inlineStr">
        <is>
          <t>Alta</t>
        </is>
      </c>
      <c r="M55" s="413" t="inlineStr">
        <is>
          <t>CLASIFICADA</t>
        </is>
      </c>
      <c r="N55" s="413" t="inlineStr">
        <is>
          <t>Kiosco circular con cubierta en palma.</t>
        </is>
      </c>
      <c r="O55" s="413" t="inlineStr">
        <is>
          <t>Vida útil vacía en el archivo: se usó la del catálogo (50). | Estado: el texto dice 'Bueno' (2) pero la calificación numérica es 4; se usó la numérica del archivo. | Área vacía en el archivo (ver croquis en "levantamiento en campo").</t>
        </is>
      </c>
      <c r="P55" s="416" t="inlineStr">
        <is>
          <t>DEP EL CORUAL (1)</t>
        </is>
      </c>
      <c r="Q55" s="413" t="n">
        <v>14</v>
      </c>
    </row>
    <row r="56">
      <c r="A56" s="417" t="inlineStr">
        <is>
          <t>EL CORUAL</t>
        </is>
      </c>
      <c r="B56" s="417" t="n">
        <v>11</v>
      </c>
      <c r="C56" s="417" t="inlineStr">
        <is>
          <t>Máquina de bombeo</t>
        </is>
      </c>
      <c r="D56" s="421" t="n"/>
      <c r="E56" s="417" t="n">
        <v>28</v>
      </c>
      <c r="F56" s="417" t="n">
        <v>70</v>
      </c>
      <c r="G56" s="417" t="inlineStr">
        <is>
          <t>Regular</t>
        </is>
      </c>
      <c r="H56" s="417" t="n">
        <v>3</v>
      </c>
      <c r="I56" s="417" t="inlineStr">
        <is>
          <t>SIN CLASIFICAR</t>
        </is>
      </c>
      <c r="J56" s="417" t="inlineStr">
        <is>
          <t>—</t>
        </is>
      </c>
      <c r="K56" s="419" t="n"/>
      <c r="L56" s="417" t="inlineStr">
        <is>
          <t>—</t>
        </is>
      </c>
      <c r="M56" s="417" t="inlineStr">
        <is>
          <t>SIN CLASIFICAR</t>
        </is>
      </c>
      <c r="N56" s="417" t="inlineStr">
        <is>
          <t>Casa de bombeo con equipos: instalación sin tipología directa.</t>
        </is>
      </c>
      <c r="O56" s="417" t="inlineStr">
        <is>
          <t>Área vacía en el archivo (ver croquis en "levantamiento en campo"). | Valor de reposición pendiente: digitar presupuesto propio.</t>
        </is>
      </c>
      <c r="P56" s="420" t="inlineStr">
        <is>
          <t>DEP EL CORUAL (2)</t>
        </is>
      </c>
      <c r="Q56" s="417" t="n">
        <v>5</v>
      </c>
    </row>
    <row r="57">
      <c r="A57" s="413" t="inlineStr">
        <is>
          <t>EL CORUAL</t>
        </is>
      </c>
      <c r="B57" s="413" t="n">
        <v>12</v>
      </c>
      <c r="C57" s="413" t="inlineStr">
        <is>
          <t>Oficina</t>
        </is>
      </c>
      <c r="D57" s="414">
        <f>7.8*9</f>
        <v/>
      </c>
      <c r="E57" s="413" t="n">
        <v>25</v>
      </c>
      <c r="F57" s="413" t="n">
        <v>70</v>
      </c>
      <c r="G57" s="413" t="inlineStr">
        <is>
          <t>Regular</t>
        </is>
      </c>
      <c r="H57" s="413" t="n">
        <v>3</v>
      </c>
      <c r="I57" s="413" t="inlineStr">
        <is>
          <t>1004113_Residencial.Tipo_3_Menos</t>
        </is>
      </c>
      <c r="J57" s="413" t="n">
        <v>100</v>
      </c>
      <c r="K57" s="415" t="n">
        <v>1014000</v>
      </c>
      <c r="L57" s="413" t="inlineStr">
        <is>
          <t>Media</t>
        </is>
      </c>
      <c r="M57" s="413" t="inlineStr">
        <is>
          <t>CLASIFICADA</t>
        </is>
      </c>
      <c r="N57" s="413" t="inlineStr">
        <is>
          <t>Mampostería enlucida, cubierta a dos aguas.</t>
        </is>
      </c>
      <c r="O57" s="413" t="inlineStr">
        <is>
          <t>Vida útil del archivo (70) distinta a la del catálogo (100); se respetó el archivo.</t>
        </is>
      </c>
      <c r="P57" s="416" t="inlineStr">
        <is>
          <t>DEP EL CORUAL (2)</t>
        </is>
      </c>
      <c r="Q57" s="413" t="n">
        <v>6</v>
      </c>
    </row>
    <row r="58">
      <c r="A58" s="422" t="inlineStr">
        <is>
          <t>EL CORUAL</t>
        </is>
      </c>
      <c r="B58" s="422" t="n">
        <v>13</v>
      </c>
      <c r="C58" s="422" t="inlineStr">
        <is>
          <t>Planta de agua potable</t>
        </is>
      </c>
      <c r="D58" s="425" t="n">
        <v>19.2</v>
      </c>
      <c r="E58" s="422" t="n">
        <v>15</v>
      </c>
      <c r="F58" s="422" t="n">
        <v>70</v>
      </c>
      <c r="G58" s="422" t="inlineStr">
        <is>
          <t>Bueno</t>
        </is>
      </c>
      <c r="H58" s="422" t="n">
        <v>4</v>
      </c>
      <c r="I58" s="422" t="inlineStr">
        <is>
          <t>Anexos.Depósitos_1</t>
        </is>
      </c>
      <c r="J58" s="422" t="n">
        <v>70</v>
      </c>
      <c r="K58" s="423" t="n">
        <v>767900</v>
      </c>
      <c r="L58" s="422" t="inlineStr">
        <is>
          <t>Baja</t>
        </is>
      </c>
      <c r="M58" s="422" t="inlineStr">
        <is>
          <t>CLASIFICADA</t>
        </is>
      </c>
      <c r="N58" s="422" t="inlineStr">
        <is>
          <t>Caseta de planta de agua en bloque con losa; analogía con depósito.</t>
        </is>
      </c>
      <c r="O58" s="422" t="inlineStr">
        <is>
          <t>Estado: el texto dice 'Bueno' (2) pero la calificación numérica es 4; se usó la numérica del archivo.</t>
        </is>
      </c>
      <c r="P58" s="424" t="inlineStr">
        <is>
          <t>DEP EL CORUAL (2)</t>
        </is>
      </c>
      <c r="Q58" s="422" t="n">
        <v>7</v>
      </c>
    </row>
    <row r="59">
      <c r="A59" s="413" t="inlineStr">
        <is>
          <t>EL CORUAL</t>
        </is>
      </c>
      <c r="B59" s="413" t="n">
        <v>14</v>
      </c>
      <c r="C59" s="413" t="inlineStr">
        <is>
          <t>Enramada</t>
        </is>
      </c>
      <c r="D59" s="414" t="n">
        <v>19.2</v>
      </c>
      <c r="E59" s="413" t="n">
        <v>19</v>
      </c>
      <c r="F59" s="413" t="n">
        <v>70</v>
      </c>
      <c r="G59" s="413" t="inlineStr">
        <is>
          <t>Regular</t>
        </is>
      </c>
      <c r="H59" s="413" t="n">
        <v>3</v>
      </c>
      <c r="I59" s="413" t="inlineStr">
        <is>
          <t>Anexos.Ramadas_Cobertizos_Caneyes_Media_Tipo_60</t>
        </is>
      </c>
      <c r="J59" s="413" t="n">
        <v>30</v>
      </c>
      <c r="K59" s="415" t="n">
        <v>363000</v>
      </c>
      <c r="L59" s="413" t="inlineStr">
        <is>
          <t>Media</t>
        </is>
      </c>
      <c r="M59" s="413" t="inlineStr">
        <is>
          <t>CLASIFICADA</t>
        </is>
      </c>
      <c r="N59" s="413" t="inlineStr">
        <is>
          <t>Estructura abierta con cubierta metálica y cerramiento parcial en malla.</t>
        </is>
      </c>
      <c r="O59" s="413" t="inlineStr">
        <is>
          <t>Vida útil del archivo (70) distinta a la del catálogo (30); se respetó el archivo.</t>
        </is>
      </c>
      <c r="P59" s="416" t="inlineStr">
        <is>
          <t>DEP EL CORUAL (2)</t>
        </is>
      </c>
      <c r="Q59" s="413" t="n">
        <v>8</v>
      </c>
    </row>
    <row r="60">
      <c r="A60" s="413" t="inlineStr">
        <is>
          <t>EL CORUAL</t>
        </is>
      </c>
      <c r="B60" s="413" t="n">
        <v>15</v>
      </c>
      <c r="C60" s="413" t="inlineStr">
        <is>
          <t>Enramada 2</t>
        </is>
      </c>
      <c r="D60" s="421" t="n"/>
      <c r="E60" s="413" t="n">
        <v>25</v>
      </c>
      <c r="F60" s="413" t="n">
        <v>70</v>
      </c>
      <c r="G60" s="413" t="inlineStr">
        <is>
          <t>Regular</t>
        </is>
      </c>
      <c r="H60" s="413" t="n">
        <v>3</v>
      </c>
      <c r="I60" s="413" t="inlineStr">
        <is>
          <t>Anexos.Ramadas_Cobertizos_Caneyes_Media_Tipo_60</t>
        </is>
      </c>
      <c r="J60" s="413" t="n">
        <v>30</v>
      </c>
      <c r="K60" s="415" t="n">
        <v>363000</v>
      </c>
      <c r="L60" s="413" t="inlineStr">
        <is>
          <t>Media</t>
        </is>
      </c>
      <c r="M60" s="413" t="inlineStr">
        <is>
          <t>CLASIFICADA</t>
        </is>
      </c>
      <c r="N60" s="413" t="inlineStr">
        <is>
          <t>Cobertizo abierto con cubierta metálica.</t>
        </is>
      </c>
      <c r="O60" s="413" t="inlineStr">
        <is>
          <t>Vida útil del archivo (70) distinta a la del catálogo (30); se respetó el archivo. | Área vacía en el archivo (ver croquis en "levantamiento en campo").</t>
        </is>
      </c>
      <c r="P60" s="416" t="inlineStr">
        <is>
          <t>DEP EL CORUAL (2)</t>
        </is>
      </c>
      <c r="Q60" s="413" t="n">
        <v>9</v>
      </c>
    </row>
    <row r="61">
      <c r="A61" s="413" t="inlineStr">
        <is>
          <t>EL CORUAL</t>
        </is>
      </c>
      <c r="B61" s="413" t="n">
        <v>16</v>
      </c>
      <c r="C61" s="413" t="inlineStr">
        <is>
          <t>Enramada Acopio racimos</t>
        </is>
      </c>
      <c r="D61" s="414" t="n">
        <v>180</v>
      </c>
      <c r="E61" s="413" t="n">
        <v>25</v>
      </c>
      <c r="F61" s="413" t="n">
        <v>70</v>
      </c>
      <c r="G61" s="413" t="inlineStr">
        <is>
          <t>Regular</t>
        </is>
      </c>
      <c r="H61" s="413" t="n">
        <v>3</v>
      </c>
      <c r="I61" s="413" t="inlineStr">
        <is>
          <t>Anexos.Ramadas_Cobertizos_Caneyes_Media_Tipo_60</t>
        </is>
      </c>
      <c r="J61" s="413" t="n">
        <v>30</v>
      </c>
      <c r="K61" s="415" t="n">
        <v>363000</v>
      </c>
      <c r="L61" s="413" t="inlineStr">
        <is>
          <t>Media</t>
        </is>
      </c>
      <c r="M61" s="413" t="inlineStr">
        <is>
          <t>CLASIFICADA</t>
        </is>
      </c>
      <c r="N61" s="413" t="inlineStr">
        <is>
          <t>Estructura abierta con cubierta metálica, piso en cemento.</t>
        </is>
      </c>
      <c r="O61" s="413" t="inlineStr">
        <is>
          <t>Vida útil del archivo (70) distinta a la del catálogo (30); se respetó el archivo.</t>
        </is>
      </c>
      <c r="P61" s="416" t="inlineStr">
        <is>
          <t>DEP EL CORUAL (2)</t>
        </is>
      </c>
      <c r="Q61" s="413" t="n">
        <v>10</v>
      </c>
    </row>
    <row r="62">
      <c r="A62" s="413" t="inlineStr">
        <is>
          <t>EL CORUAL</t>
        </is>
      </c>
      <c r="B62" s="413" t="n">
        <v>17</v>
      </c>
      <c r="C62" s="413" t="inlineStr">
        <is>
          <t>Emramada parqueadero</t>
        </is>
      </c>
      <c r="D62" s="414" t="n">
        <v>50</v>
      </c>
      <c r="E62" s="413" t="n">
        <v>16</v>
      </c>
      <c r="F62" s="413" t="n">
        <v>70</v>
      </c>
      <c r="G62" s="413" t="inlineStr">
        <is>
          <t>Regular</t>
        </is>
      </c>
      <c r="H62" s="413" t="n">
        <v>3</v>
      </c>
      <c r="I62" s="413" t="inlineStr">
        <is>
          <t>Anexos.Ramadas_Cobertizos_Caneyes_Sencilla_Tipo_40</t>
        </is>
      </c>
      <c r="J62" s="413" t="n">
        <v>15</v>
      </c>
      <c r="K62" s="415" t="n">
        <v>157300</v>
      </c>
      <c r="L62" s="413" t="inlineStr">
        <is>
          <t>Media</t>
        </is>
      </c>
      <c r="M62" s="413" t="inlineStr">
        <is>
          <t>CLASIFICADA</t>
        </is>
      </c>
      <c r="N62" s="413" t="inlineStr">
        <is>
          <t>Estructura ligera con cubierta sencilla (polisombra/lámina).</t>
        </is>
      </c>
      <c r="O62" s="413" t="inlineStr">
        <is>
          <t>Vida útil del archivo (70) distinta a la del catálogo (15); se respetó el archivo.</t>
        </is>
      </c>
      <c r="P62" s="416" t="inlineStr">
        <is>
          <t>DEP EL CORUAL (2)</t>
        </is>
      </c>
      <c r="Q62" s="413" t="n">
        <v>11</v>
      </c>
    </row>
    <row r="63">
      <c r="A63" s="413" t="inlineStr">
        <is>
          <t>EL CORUAL</t>
        </is>
      </c>
      <c r="B63" s="413" t="n">
        <v>18</v>
      </c>
      <c r="C63" s="413" t="inlineStr">
        <is>
          <t>Taller</t>
        </is>
      </c>
      <c r="D63" s="414">
        <f>9*4.2</f>
        <v/>
      </c>
      <c r="E63" s="413" t="n">
        <v>41</v>
      </c>
      <c r="F63" s="413" t="n">
        <v>70</v>
      </c>
      <c r="G63" s="413" t="inlineStr">
        <is>
          <t>Regular</t>
        </is>
      </c>
      <c r="H63" s="413" t="n">
        <v>3</v>
      </c>
      <c r="I63" s="413" t="inlineStr">
        <is>
          <t>2014111_Comercial.Basico_2</t>
        </is>
      </c>
      <c r="J63" s="413" t="n">
        <v>70</v>
      </c>
      <c r="K63" s="415" t="n">
        <v>1038900</v>
      </c>
      <c r="L63" s="413" t="inlineStr">
        <is>
          <t>Media</t>
        </is>
      </c>
      <c r="M63" s="413" t="inlineStr">
        <is>
          <t>CLASIFICADA</t>
        </is>
      </c>
      <c r="N63" s="413" t="inlineStr">
        <is>
          <t>Taller en mampostería con cubierta de teja y madera.</t>
        </is>
      </c>
      <c r="O63" s="413" t="inlineStr"/>
      <c r="P63" s="416" t="inlineStr">
        <is>
          <t>DEP EL CORUAL (2)</t>
        </is>
      </c>
      <c r="Q63" s="413" t="n">
        <v>12</v>
      </c>
    </row>
    <row r="64">
      <c r="A64" s="413" t="inlineStr">
        <is>
          <t>EL CORUAL</t>
        </is>
      </c>
      <c r="B64" s="413" t="n">
        <v>19</v>
      </c>
      <c r="C64" s="413" t="inlineStr">
        <is>
          <t>Emramada taller</t>
        </is>
      </c>
      <c r="D64" s="414">
        <f>6*4</f>
        <v/>
      </c>
      <c r="E64" s="413" t="n">
        <v>17</v>
      </c>
      <c r="F64" s="413" t="n">
        <v>70</v>
      </c>
      <c r="G64" s="413" t="inlineStr">
        <is>
          <t>Deficiente</t>
        </is>
      </c>
      <c r="H64" s="413" t="n">
        <v>3.5</v>
      </c>
      <c r="I64" s="413" t="inlineStr">
        <is>
          <t>Anexos.Ramadas_Cobertizos_Caneyes_Sencilla_Tipo_40</t>
        </is>
      </c>
      <c r="J64" s="413" t="n">
        <v>15</v>
      </c>
      <c r="K64" s="415" t="n">
        <v>157300</v>
      </c>
      <c r="L64" s="413" t="inlineStr">
        <is>
          <t>Alta</t>
        </is>
      </c>
      <c r="M64" s="413" t="inlineStr">
        <is>
          <t>CLASIFICADA</t>
        </is>
      </c>
      <c r="N64" s="413" t="inlineStr">
        <is>
          <t>Columnas de madera, cubierta de lámina, piso en tierra.</t>
        </is>
      </c>
      <c r="O64" s="413" t="inlineStr">
        <is>
          <t>Vida útil del archivo (70) distinta a la del catálogo (15); se respetó el archivo.</t>
        </is>
      </c>
      <c r="P64" s="416" t="inlineStr">
        <is>
          <t>DEP EL CORUAL (2)</t>
        </is>
      </c>
      <c r="Q64" s="413" t="n">
        <v>13</v>
      </c>
    </row>
    <row r="65">
      <c r="A65" s="413" t="inlineStr">
        <is>
          <t>LAS MERCEDES</t>
        </is>
      </c>
      <c r="B65" s="413" t="n">
        <v>3</v>
      </c>
      <c r="C65" s="413" t="inlineStr">
        <is>
          <t>Oficinas</t>
        </is>
      </c>
      <c r="D65" s="414">
        <f>17.6*3.6</f>
        <v/>
      </c>
      <c r="E65" s="413" t="n">
        <v>26</v>
      </c>
      <c r="F65" s="413" t="n">
        <v>70</v>
      </c>
      <c r="G65" s="413" t="inlineStr">
        <is>
          <t>Regular</t>
        </is>
      </c>
      <c r="H65" s="413" t="n">
        <v>3</v>
      </c>
      <c r="I65" s="413" t="inlineStr">
        <is>
          <t>1004113_Residencial.Tipo_3_Menos</t>
        </is>
      </c>
      <c r="J65" s="413" t="n">
        <v>100</v>
      </c>
      <c r="K65" s="415" t="n">
        <v>1014000</v>
      </c>
      <c r="L65" s="413" t="inlineStr">
        <is>
          <t>Media</t>
        </is>
      </c>
      <c r="M65" s="413" t="inlineStr">
        <is>
          <t>CLASIFICADA</t>
        </is>
      </c>
      <c r="N65" s="413" t="inlineStr">
        <is>
          <t>Mampostería pintada, cubierta metálica con alero.</t>
        </is>
      </c>
      <c r="O65" s="413" t="inlineStr">
        <is>
          <t>Vida útil del archivo (70) distinta a la del catálogo (100); se respetó el archivo.</t>
        </is>
      </c>
      <c r="P65" s="416" t="inlineStr">
        <is>
          <t>DEP LAS MERCEDES (1)</t>
        </is>
      </c>
      <c r="Q65" s="413" t="n">
        <v>5</v>
      </c>
    </row>
    <row r="66">
      <c r="A66" s="413" t="inlineStr">
        <is>
          <t>LAS MERCEDES</t>
        </is>
      </c>
      <c r="B66" s="413" t="n">
        <v>1</v>
      </c>
      <c r="C66" s="413" t="inlineStr">
        <is>
          <t>Acopio de aceite</t>
        </is>
      </c>
      <c r="D66" s="421" t="n"/>
      <c r="E66" s="413" t="n">
        <v>12</v>
      </c>
      <c r="F66" s="413" t="n">
        <v>50</v>
      </c>
      <c r="G66" s="413" t="inlineStr">
        <is>
          <t>Bueno</t>
        </is>
      </c>
      <c r="H66" s="413" t="n">
        <v>4</v>
      </c>
      <c r="I66" s="413" t="inlineStr">
        <is>
          <t>Anexos.Ramadas_Cobertizos_Caneyes_Media_Tipo_60</t>
        </is>
      </c>
      <c r="J66" s="413" t="n">
        <v>30</v>
      </c>
      <c r="K66" s="415" t="n">
        <v>363000</v>
      </c>
      <c r="L66" s="413" t="inlineStr">
        <is>
          <t>Media</t>
        </is>
      </c>
      <c r="M66" s="413" t="inlineStr">
        <is>
          <t>CLASIFICADA</t>
        </is>
      </c>
      <c r="N66" s="413" t="inlineStr">
        <is>
          <t>Columnas metálicas, cubierta metálica, sin muros.</t>
        </is>
      </c>
      <c r="O66" s="413" t="inlineStr">
        <is>
          <t>Vida útil del archivo (50) distinta a la del catálogo (30); se respetó el archivo. | Estado: el texto dice 'Bueno' (2) pero la calificación numérica es 4; se usó la numérica del archivo. | Área vacía en el archivo (ver croquis en "levantamiento en campo").</t>
        </is>
      </c>
      <c r="P66" s="416" t="inlineStr">
        <is>
          <t>DEP LAS MERCEDES (1)</t>
        </is>
      </c>
      <c r="Q66" s="413" t="n">
        <v>6</v>
      </c>
    </row>
    <row r="67">
      <c r="A67" s="413" t="inlineStr">
        <is>
          <t>LAS MERCEDES</t>
        </is>
      </c>
      <c r="B67" s="413" t="n">
        <v>2</v>
      </c>
      <c r="C67" s="413" t="inlineStr">
        <is>
          <t>Comedor</t>
        </is>
      </c>
      <c r="D67" s="421" t="n"/>
      <c r="E67" s="413" t="n">
        <v>17</v>
      </c>
      <c r="F67" s="413" t="n">
        <v>70</v>
      </c>
      <c r="G67" s="413" t="inlineStr">
        <is>
          <t>Malo</t>
        </is>
      </c>
      <c r="H67" s="413" t="n">
        <v>4</v>
      </c>
      <c r="I67" s="413" t="inlineStr">
        <is>
          <t>Anexos.Ramadas_Cobertizos_Caneyes_Media_Tipo_60</t>
        </is>
      </c>
      <c r="J67" s="413" t="n">
        <v>30</v>
      </c>
      <c r="K67" s="415" t="n">
        <v>363000</v>
      </c>
      <c r="L67" s="413" t="inlineStr">
        <is>
          <t>Media</t>
        </is>
      </c>
      <c r="M67" s="413" t="inlineStr">
        <is>
          <t>CLASIFICADA</t>
        </is>
      </c>
      <c r="N67" s="413" t="inlineStr">
        <is>
          <t>Estructura abierta, cubierta de madera y lámina, mobiliario fijo.</t>
        </is>
      </c>
      <c r="O67" s="413" t="inlineStr">
        <is>
          <t>Vida útil del archivo (70) distinta a la del catálogo (30); se respetó el archivo. | Área vacía en el archivo (ver croquis en "levantamiento en campo").</t>
        </is>
      </c>
      <c r="P67" s="416" t="inlineStr">
        <is>
          <t>DEP LAS MERCEDES (1)</t>
        </is>
      </c>
      <c r="Q67" s="413" t="n">
        <v>7</v>
      </c>
    </row>
    <row r="68">
      <c r="A68" s="417" t="inlineStr">
        <is>
          <t>LAS MERCEDES</t>
        </is>
      </c>
      <c r="B68" s="417" t="n">
        <v>4</v>
      </c>
      <c r="C68" s="417" t="inlineStr">
        <is>
          <t>Zona de lavado</t>
        </is>
      </c>
      <c r="D68" s="421" t="n"/>
      <c r="E68" s="417" t="n">
        <v>19</v>
      </c>
      <c r="F68" s="417" t="n">
        <v>50</v>
      </c>
      <c r="G68" s="417" t="inlineStr">
        <is>
          <t>Regular</t>
        </is>
      </c>
      <c r="H68" s="417" t="n">
        <v>3</v>
      </c>
      <c r="I68" s="417" t="inlineStr">
        <is>
          <t>SIN CLASIFICAR</t>
        </is>
      </c>
      <c r="J68" s="417" t="inlineStr">
        <is>
          <t>—</t>
        </is>
      </c>
      <c r="K68" s="419" t="n"/>
      <c r="L68" s="417" t="inlineStr">
        <is>
          <t>—</t>
        </is>
      </c>
      <c r="M68" s="417" t="inlineStr">
        <is>
          <t>SIN CLASIFICAR</t>
        </is>
      </c>
      <c r="N68" s="417" t="inlineStr">
        <is>
          <t>Zona de lavado/agroquímicos con cerramiento en malla y ducha de emergencia: sin tipología directa.</t>
        </is>
      </c>
      <c r="O68" s="417" t="inlineStr">
        <is>
          <t>Área vacía en el archivo (ver croquis en "levantamiento en campo"). | Valor de reposición pendiente: digitar presupuesto propio.</t>
        </is>
      </c>
      <c r="P68" s="420" t="inlineStr">
        <is>
          <t>DEP LAS MERCEDES (1)</t>
        </is>
      </c>
      <c r="Q68" s="417" t="n">
        <v>8</v>
      </c>
    </row>
    <row r="69">
      <c r="A69" s="413" t="inlineStr">
        <is>
          <t>LAS MERCEDES</t>
        </is>
      </c>
      <c r="B69" s="413" t="n">
        <v>5</v>
      </c>
      <c r="C69" s="413" t="inlineStr">
        <is>
          <t>Baños</t>
        </is>
      </c>
      <c r="D69" s="414">
        <f>4*4</f>
        <v/>
      </c>
      <c r="E69" s="413" t="n">
        <v>21</v>
      </c>
      <c r="F69" s="413" t="n">
        <v>70</v>
      </c>
      <c r="G69" s="413" t="inlineStr">
        <is>
          <t>Bueno</t>
        </is>
      </c>
      <c r="H69" s="413" t="n">
        <v>4</v>
      </c>
      <c r="I69" s="413" t="inlineStr">
        <is>
          <t>Anexos.Baños_1</t>
        </is>
      </c>
      <c r="J69" s="413" t="n">
        <v>70</v>
      </c>
      <c r="K69" s="415" t="n">
        <v>930700</v>
      </c>
      <c r="L69" s="413" t="inlineStr">
        <is>
          <t>Media</t>
        </is>
      </c>
      <c r="M69" s="413" t="inlineStr">
        <is>
          <t>CLASIFICADA</t>
        </is>
      </c>
      <c r="N69" s="413" t="inlineStr">
        <is>
          <t>Baños en mampostería con acabados sencillos.</t>
        </is>
      </c>
      <c r="O69" s="413" t="inlineStr">
        <is>
          <t>Estado: el texto dice 'Bueno' (2) pero la calificación numérica es 4; se usó la numérica del archivo.</t>
        </is>
      </c>
      <c r="P69" s="416" t="inlineStr">
        <is>
          <t>DEP LAS MERCEDES (1)</t>
        </is>
      </c>
      <c r="Q69" s="413" t="n">
        <v>9</v>
      </c>
    </row>
    <row r="70">
      <c r="A70" s="422" t="inlineStr">
        <is>
          <t>LAS MERCEDES</t>
        </is>
      </c>
      <c r="B70" s="422" t="n">
        <v>6</v>
      </c>
      <c r="C70" s="422" t="inlineStr">
        <is>
          <t>Baños fuera de servicio</t>
        </is>
      </c>
      <c r="D70" s="421" t="n"/>
      <c r="E70" s="422" t="n">
        <v>39</v>
      </c>
      <c r="F70" s="422" t="n">
        <v>70</v>
      </c>
      <c r="G70" s="422" t="inlineStr">
        <is>
          <t>Malo</t>
        </is>
      </c>
      <c r="H70" s="422" t="n">
        <v>4</v>
      </c>
      <c r="I70" s="422" t="inlineStr">
        <is>
          <t>Anexos.Baños_1</t>
        </is>
      </c>
      <c r="J70" s="422" t="n">
        <v>70</v>
      </c>
      <c r="K70" s="423" t="n">
        <v>930700</v>
      </c>
      <c r="L70" s="422" t="inlineStr">
        <is>
          <t>Baja</t>
        </is>
      </c>
      <c r="M70" s="422" t="inlineStr">
        <is>
          <t>CLASIFICADA</t>
        </is>
      </c>
      <c r="N70" s="422" t="inlineStr">
        <is>
          <t>Baños fuera de servicio, mampostería sencilla.</t>
        </is>
      </c>
      <c r="O70" s="422" t="inlineStr">
        <is>
          <t>Área vacía en el archivo (ver croquis en "levantamiento en campo").</t>
        </is>
      </c>
      <c r="P70" s="424" t="inlineStr">
        <is>
          <t>DEP LAS MERCEDES (1)</t>
        </is>
      </c>
      <c r="Q70" s="422" t="n">
        <v>10</v>
      </c>
    </row>
    <row r="71">
      <c r="A71" s="413" t="inlineStr">
        <is>
          <t>LAS MERCEDES</t>
        </is>
      </c>
      <c r="B71" s="413" t="n">
        <v>7</v>
      </c>
      <c r="C71" s="413" t="inlineStr">
        <is>
          <t>Bodega</t>
        </is>
      </c>
      <c r="D71" s="414">
        <f>6.5*7</f>
        <v/>
      </c>
      <c r="E71" s="413" t="n">
        <v>40</v>
      </c>
      <c r="F71" s="413" t="n">
        <v>50</v>
      </c>
      <c r="G71" s="413" t="inlineStr">
        <is>
          <t>Regular</t>
        </is>
      </c>
      <c r="H71" s="413" t="n">
        <v>3</v>
      </c>
      <c r="I71" s="413" t="inlineStr">
        <is>
          <t>3001121_Industrial.Liviana_2</t>
        </is>
      </c>
      <c r="J71" s="413" t="n">
        <v>100</v>
      </c>
      <c r="K71" s="415" t="n">
        <v>1226000</v>
      </c>
      <c r="L71" s="413" t="inlineStr">
        <is>
          <t>Media</t>
        </is>
      </c>
      <c r="M71" s="413" t="inlineStr">
        <is>
          <t>CLASIFICADA</t>
        </is>
      </c>
      <c r="N71" s="413" t="inlineStr">
        <is>
          <t>Bodega de una nave con portón metálico y cubierta metálica.</t>
        </is>
      </c>
      <c r="O71" s="413" t="inlineStr">
        <is>
          <t>Vida útil del archivo (50) distinta a la del catálogo (100); se respetó el archivo.</t>
        </is>
      </c>
      <c r="P71" s="416" t="inlineStr">
        <is>
          <t>DEP LAS MERCEDES (1)</t>
        </is>
      </c>
      <c r="Q71" s="413" t="n">
        <v>11</v>
      </c>
    </row>
    <row r="72">
      <c r="A72" s="413" t="inlineStr">
        <is>
          <t>LAS MERCEDES</t>
        </is>
      </c>
      <c r="B72" s="413" t="n">
        <v>8</v>
      </c>
      <c r="C72" s="413" t="inlineStr">
        <is>
          <t>Bodega de aceite</t>
        </is>
      </c>
      <c r="D72" s="421" t="n"/>
      <c r="E72" s="413" t="n">
        <v>40</v>
      </c>
      <c r="F72" s="413" t="n">
        <v>70</v>
      </c>
      <c r="G72" s="413" t="inlineStr">
        <is>
          <t>Regular</t>
        </is>
      </c>
      <c r="H72" s="413" t="n">
        <v>3</v>
      </c>
      <c r="I72" s="413" t="inlineStr">
        <is>
          <t>Anexos.Depósitos_1</t>
        </is>
      </c>
      <c r="J72" s="413" t="n">
        <v>70</v>
      </c>
      <c r="K72" s="415" t="n">
        <v>767900</v>
      </c>
      <c r="L72" s="413" t="inlineStr">
        <is>
          <t>Media</t>
        </is>
      </c>
      <c r="M72" s="413" t="inlineStr">
        <is>
          <t>CLASIFICADA</t>
        </is>
      </c>
      <c r="N72" s="413" t="inlineStr">
        <is>
          <t>Bodega pequeña en mampostería.</t>
        </is>
      </c>
      <c r="O72" s="413" t="inlineStr">
        <is>
          <t>Vida útil vacía en el archivo: se usó la del catálogo (70). | Área vacía en el archivo (ver croquis en "levantamiento en campo").</t>
        </is>
      </c>
      <c r="P72" s="416" t="inlineStr">
        <is>
          <t>DEP LAS MERCEDES (1)</t>
        </is>
      </c>
      <c r="Q72" s="413" t="n">
        <v>12</v>
      </c>
    </row>
    <row r="73">
      <c r="A73" s="413" t="inlineStr">
        <is>
          <t>LAS MERCEDES</t>
        </is>
      </c>
      <c r="B73" s="413" t="n">
        <v>9</v>
      </c>
      <c r="C73" s="413" t="inlineStr">
        <is>
          <t>Bodega sanidad</t>
        </is>
      </c>
      <c r="D73" s="414">
        <f>7*14</f>
        <v/>
      </c>
      <c r="E73" s="413" t="n">
        <v>40</v>
      </c>
      <c r="F73" s="413" t="n">
        <v>70</v>
      </c>
      <c r="G73" s="413" t="inlineStr">
        <is>
          <t>Regular</t>
        </is>
      </c>
      <c r="H73" s="413" t="n">
        <v>3</v>
      </c>
      <c r="I73" s="413" t="inlineStr">
        <is>
          <t>Anexos.Depósitos_1</t>
        </is>
      </c>
      <c r="J73" s="413" t="n">
        <v>70</v>
      </c>
      <c r="K73" s="415" t="n">
        <v>767900</v>
      </c>
      <c r="L73" s="413" t="inlineStr">
        <is>
          <t>Media</t>
        </is>
      </c>
      <c r="M73" s="413" t="inlineStr">
        <is>
          <t>CLASIFICADA</t>
        </is>
      </c>
      <c r="N73" s="413" t="inlineStr">
        <is>
          <t>Bodega alargada en mampostería con varias puertas.</t>
        </is>
      </c>
      <c r="O73" s="413" t="inlineStr">
        <is>
          <t>Vida útil vacía en el archivo: se usó la del catálogo (70).</t>
        </is>
      </c>
      <c r="P73" s="416" t="inlineStr">
        <is>
          <t>DEP LAS MERCEDES (1)</t>
        </is>
      </c>
      <c r="Q73" s="413" t="n">
        <v>13</v>
      </c>
    </row>
    <row r="74">
      <c r="A74" s="422" t="inlineStr">
        <is>
          <t>LAS MERCEDES</t>
        </is>
      </c>
      <c r="B74" s="422" t="n">
        <v>10</v>
      </c>
      <c r="C74" s="422" t="inlineStr">
        <is>
          <t>Casa maquinaria taller</t>
        </is>
      </c>
      <c r="D74" s="425">
        <f>15*18</f>
        <v/>
      </c>
      <c r="E74" s="422" t="n">
        <v>28</v>
      </c>
      <c r="F74" s="422" t="n">
        <v>70</v>
      </c>
      <c r="G74" s="422" t="inlineStr">
        <is>
          <t>Regular</t>
        </is>
      </c>
      <c r="H74" s="422" t="n">
        <v>3</v>
      </c>
      <c r="I74" s="422" t="inlineStr">
        <is>
          <t>2014111_Comercial.Basico_2</t>
        </is>
      </c>
      <c r="J74" s="422" t="n">
        <v>70</v>
      </c>
      <c r="K74" s="423" t="n">
        <v>1038900</v>
      </c>
      <c r="L74" s="422" t="inlineStr">
        <is>
          <t>Baja</t>
        </is>
      </c>
      <c r="M74" s="422" t="inlineStr">
        <is>
          <t>CLASIFICADA</t>
        </is>
      </c>
      <c r="N74" s="422" t="inlineStr">
        <is>
          <t>Casa de maquinaria/taller en mampostería con cubierta metálica.</t>
        </is>
      </c>
      <c r="O74" s="422" t="inlineStr"/>
      <c r="P74" s="424" t="inlineStr">
        <is>
          <t>DEP LAS MERCEDES (1)</t>
        </is>
      </c>
      <c r="Q74" s="422" t="n">
        <v>14</v>
      </c>
    </row>
    <row r="75">
      <c r="A75" s="422" t="inlineStr">
        <is>
          <t>LAS MERCEDES</t>
        </is>
      </c>
      <c r="B75" s="422" t="n">
        <v>11</v>
      </c>
      <c r="C75" s="422" t="inlineStr">
        <is>
          <t>Cuarto de báscula</t>
        </is>
      </c>
      <c r="D75" s="421" t="n"/>
      <c r="E75" s="422" t="n">
        <v>33</v>
      </c>
      <c r="F75" s="422" t="n">
        <v>70</v>
      </c>
      <c r="G75" s="422" t="inlineStr">
        <is>
          <t>Regular</t>
        </is>
      </c>
      <c r="H75" s="422" t="n">
        <v>3</v>
      </c>
      <c r="I75" s="422" t="inlineStr">
        <is>
          <t>1004113_Residencial.Tipo_3_Menos</t>
        </is>
      </c>
      <c r="J75" s="422" t="n">
        <v>100</v>
      </c>
      <c r="K75" s="423" t="n">
        <v>1014000</v>
      </c>
      <c r="L75" s="422" t="inlineStr">
        <is>
          <t>Baja</t>
        </is>
      </c>
      <c r="M75" s="422" t="inlineStr">
        <is>
          <t>CLASIFICADA</t>
        </is>
      </c>
      <c r="N75" s="422" t="inlineStr">
        <is>
          <t>Edificación de 2 niveles con torre adosada; revisar tipología.</t>
        </is>
      </c>
      <c r="O75" s="422" t="inlineStr">
        <is>
          <t>Vida útil del archivo (70) distinta a la del catálogo (100); se respetó el archivo. | Área vacía en el archivo (ver croquis en "levantamiento en campo").</t>
        </is>
      </c>
      <c r="P75" s="424" t="inlineStr">
        <is>
          <t>DEP LAS MERCEDES (2)</t>
        </is>
      </c>
      <c r="Q75" s="422" t="n">
        <v>5</v>
      </c>
    </row>
    <row r="76">
      <c r="A76" s="422" t="inlineStr">
        <is>
          <t>LAS MERCEDES</t>
        </is>
      </c>
      <c r="B76" s="422" t="n">
        <v>12</v>
      </c>
      <c r="C76" s="422" t="inlineStr">
        <is>
          <t>Portería</t>
        </is>
      </c>
      <c r="D76" s="421" t="n"/>
      <c r="E76" s="422" t="n">
        <v>23</v>
      </c>
      <c r="F76" s="422" t="n">
        <v>70</v>
      </c>
      <c r="G76" s="422" t="inlineStr">
        <is>
          <t>Regular</t>
        </is>
      </c>
      <c r="H76" s="422" t="n">
        <v>3</v>
      </c>
      <c r="I76" s="422" t="inlineStr">
        <is>
          <t>1004122_Residencial.Tipo_2</t>
        </is>
      </c>
      <c r="J76" s="422" t="n">
        <v>70</v>
      </c>
      <c r="K76" s="423" t="n">
        <v>799500</v>
      </c>
      <c r="L76" s="422" t="inlineStr">
        <is>
          <t>Baja</t>
        </is>
      </c>
      <c r="M76" s="422" t="inlineStr">
        <is>
          <t>CLASIFICADA</t>
        </is>
      </c>
      <c r="N76" s="422" t="inlineStr">
        <is>
          <t>Estructura liviana/prefabricada tipo caseta; revisar tipología.</t>
        </is>
      </c>
      <c r="O76" s="422" t="inlineStr">
        <is>
          <t>Área vacía en el archivo (ver croquis en "levantamiento en campo").</t>
        </is>
      </c>
      <c r="P76" s="424" t="inlineStr">
        <is>
          <t>DEP LAS MERCEDES (2)</t>
        </is>
      </c>
      <c r="Q76" s="422" t="n">
        <v>6</v>
      </c>
    </row>
    <row r="77">
      <c r="A77" s="413" t="inlineStr">
        <is>
          <t>LAS MERCEDES</t>
        </is>
      </c>
      <c r="B77" s="413" t="n">
        <v>13</v>
      </c>
      <c r="C77" s="413" t="inlineStr">
        <is>
          <t>Puesto de salud</t>
        </is>
      </c>
      <c r="D77" s="421" t="n"/>
      <c r="E77" s="413" t="n">
        <v>16</v>
      </c>
      <c r="F77" s="413" t="n">
        <v>70</v>
      </c>
      <c r="G77" s="413" t="inlineStr">
        <is>
          <t>Bueno</t>
        </is>
      </c>
      <c r="H77" s="413" t="n">
        <v>4</v>
      </c>
      <c r="I77" s="413" t="inlineStr">
        <is>
          <t>7011121_Institucional.Salud_1</t>
        </is>
      </c>
      <c r="J77" s="413" t="n">
        <v>70</v>
      </c>
      <c r="K77" s="415" t="n">
        <v>1597200</v>
      </c>
      <c r="L77" s="413" t="inlineStr">
        <is>
          <t>Media</t>
        </is>
      </c>
      <c r="M77" s="413" t="inlineStr">
        <is>
          <t>CLASIFICADA</t>
        </is>
      </c>
      <c r="N77" s="413" t="inlineStr">
        <is>
          <t>Puesto de salud de primer nivel, un nivel, con rampa.</t>
        </is>
      </c>
      <c r="O77" s="413" t="inlineStr">
        <is>
          <t>Estado: el texto dice 'Bueno' (2) pero la calificación numérica es 4; se usó la numérica del archivo. | Área vacía en el archivo (ver croquis en "levantamiento en campo").</t>
        </is>
      </c>
      <c r="P77" s="416" t="inlineStr">
        <is>
          <t>DEP LAS MERCEDES (2)</t>
        </is>
      </c>
      <c r="Q77" s="413" t="n">
        <v>7</v>
      </c>
    </row>
    <row r="78">
      <c r="A78" s="413" t="inlineStr">
        <is>
          <t>LAS MERCEDES</t>
        </is>
      </c>
      <c r="B78" s="413" t="n">
        <v>14</v>
      </c>
      <c r="C78" s="413" t="inlineStr">
        <is>
          <t>Taller</t>
        </is>
      </c>
      <c r="D78" s="421" t="n"/>
      <c r="E78" s="413" t="n">
        <v>41</v>
      </c>
      <c r="F78" s="413" t="n">
        <v>70</v>
      </c>
      <c r="G78" s="413" t="inlineStr">
        <is>
          <t>Regular</t>
        </is>
      </c>
      <c r="H78" s="413" t="n">
        <v>3</v>
      </c>
      <c r="I78" s="413" t="inlineStr">
        <is>
          <t>Anexos.Ramadas_Cobertizos_Caneyes_Media_Tipo_60</t>
        </is>
      </c>
      <c r="J78" s="413" t="n">
        <v>30</v>
      </c>
      <c r="K78" s="415" t="n">
        <v>363000</v>
      </c>
      <c r="L78" s="413" t="inlineStr">
        <is>
          <t>Media</t>
        </is>
      </c>
      <c r="M78" s="413" t="inlineStr">
        <is>
          <t>CLASIFICADA</t>
        </is>
      </c>
      <c r="N78" s="413" t="inlineStr">
        <is>
          <t>Estructura abierta con cubierta metálica y cerramiento parcial en malla.</t>
        </is>
      </c>
      <c r="O78" s="413" t="inlineStr">
        <is>
          <t>Vida útil del archivo (70) distinta a la del catálogo (30); se respetó el archivo. | Área vacía en el archivo (ver croquis en "levantamiento en campo").</t>
        </is>
      </c>
      <c r="P78" s="416" t="inlineStr">
        <is>
          <t>DEP LAS MERCEDES (2)</t>
        </is>
      </c>
      <c r="Q78" s="413" t="n">
        <v>8</v>
      </c>
    </row>
    <row r="79">
      <c r="A79" s="417" t="inlineStr">
        <is>
          <t>LAS MERCEDES</t>
        </is>
      </c>
      <c r="B79" s="417" t="n">
        <v>15</v>
      </c>
      <c r="C79" s="417" t="inlineStr">
        <is>
          <t>Tanque combustible</t>
        </is>
      </c>
      <c r="D79" s="421" t="n"/>
      <c r="E79" s="417" t="n">
        <v>21</v>
      </c>
      <c r="F79" s="417" t="n">
        <v>70</v>
      </c>
      <c r="G79" s="417" t="inlineStr">
        <is>
          <t>Bueno</t>
        </is>
      </c>
      <c r="H79" s="417" t="n">
        <v>4</v>
      </c>
      <c r="I79" s="417" t="inlineStr">
        <is>
          <t>SIN CLASIFICAR</t>
        </is>
      </c>
      <c r="J79" s="417" t="inlineStr">
        <is>
          <t>—</t>
        </is>
      </c>
      <c r="K79" s="419" t="n"/>
      <c r="L79" s="417" t="inlineStr">
        <is>
          <t>—</t>
        </is>
      </c>
      <c r="M79" s="417" t="inlineStr">
        <is>
          <t>SIN CLASIFICAR</t>
        </is>
      </c>
      <c r="N79" s="417" t="inlineStr">
        <is>
          <t>Tanques de combustible elevados con contención: instalación sin tipología directa.</t>
        </is>
      </c>
      <c r="O79" s="417" t="inlineStr">
        <is>
          <t>Estado: el texto dice 'Bueno' (2) pero la calificación numérica es 4; se usó la numérica del archivo. | Área vacía en el archivo (ver croquis en "levantamiento en campo"). | Valor de reposición pendiente: digitar presupuesto propio.</t>
        </is>
      </c>
      <c r="P79" s="420" t="inlineStr">
        <is>
          <t>DEP LAS MERCEDES (2)</t>
        </is>
      </c>
      <c r="Q79" s="417" t="n">
        <v>9</v>
      </c>
    </row>
    <row r="80">
      <c r="A80" s="413" t="inlineStr">
        <is>
          <t>VERSALLES 1</t>
        </is>
      </c>
      <c r="B80" s="413" t="n">
        <v>1</v>
      </c>
      <c r="C80" s="413" t="inlineStr">
        <is>
          <t>Casa 1</t>
        </is>
      </c>
      <c r="D80" s="414" t="n">
        <v>200.7</v>
      </c>
      <c r="E80" s="413" t="n">
        <v>30</v>
      </c>
      <c r="F80" s="413" t="n">
        <v>70</v>
      </c>
      <c r="G80" s="413" t="inlineStr">
        <is>
          <t>Regular</t>
        </is>
      </c>
      <c r="H80" s="413" t="n">
        <v>3</v>
      </c>
      <c r="I80" s="413" t="inlineStr">
        <is>
          <t>1004113_Residencial.Tipo_3_Menos</t>
        </is>
      </c>
      <c r="J80" s="413" t="n">
        <v>100</v>
      </c>
      <c r="K80" s="415" t="n">
        <v>1014000</v>
      </c>
      <c r="L80" s="413" t="inlineStr">
        <is>
          <t>Media</t>
        </is>
      </c>
      <c r="M80" s="413" t="inlineStr">
        <is>
          <t>CLASIFICADA</t>
        </is>
      </c>
      <c r="N80" s="413" t="inlineStr">
        <is>
          <t>Mampostería de bloque, revoque y pintura, piso concreto afinado.</t>
        </is>
      </c>
      <c r="O80" s="413" t="inlineStr">
        <is>
          <t>Vida útil del archivo (70) distinta a la del catálogo (100); se respetó el archivo.</t>
        </is>
      </c>
      <c r="P80" s="416" t="inlineStr">
        <is>
          <t>DEP VERSALLES 1</t>
        </is>
      </c>
      <c r="Q80" s="413" t="n">
        <v>5</v>
      </c>
    </row>
    <row r="81">
      <c r="A81" s="413" t="inlineStr">
        <is>
          <t>VERSALLES 1</t>
        </is>
      </c>
      <c r="B81" s="413" t="n">
        <v>2</v>
      </c>
      <c r="C81" s="413" t="inlineStr">
        <is>
          <t>Casa 2</t>
        </is>
      </c>
      <c r="D81" s="414" t="n">
        <v>58.2</v>
      </c>
      <c r="E81" s="413" t="n">
        <v>30</v>
      </c>
      <c r="F81" s="413" t="n">
        <v>70</v>
      </c>
      <c r="G81" s="413" t="inlineStr">
        <is>
          <t>Regular</t>
        </is>
      </c>
      <c r="H81" s="413" t="n">
        <v>3</v>
      </c>
      <c r="I81" s="413" t="inlineStr">
        <is>
          <t>1004113_Residencial.Tipo_3_Menos</t>
        </is>
      </c>
      <c r="J81" s="413" t="n">
        <v>100</v>
      </c>
      <c r="K81" s="415" t="n">
        <v>1014000</v>
      </c>
      <c r="L81" s="413" t="inlineStr">
        <is>
          <t>Media</t>
        </is>
      </c>
      <c r="M81" s="413" t="inlineStr">
        <is>
          <t>CLASIFICADA</t>
        </is>
      </c>
      <c r="N81" s="413" t="inlineStr">
        <is>
          <t>Mampostería sencilla, abandonada (el deterioro se refleja en el estado).</t>
        </is>
      </c>
      <c r="O81" s="413" t="inlineStr">
        <is>
          <t>Vida útil del archivo (70) distinta a la del catálogo (100); se respetó el archivo.</t>
        </is>
      </c>
      <c r="P81" s="416" t="inlineStr">
        <is>
          <t>DEP VERSALLES 1</t>
        </is>
      </c>
      <c r="Q81" s="413" t="n">
        <v>6</v>
      </c>
    </row>
    <row r="83">
      <c r="A83" s="426" t="inlineStr">
        <is>
          <t>Colores: rosado = sin clasificar (presupuesto propio) · amarillo = clasificación de confianza baja (revisar) · naranja = dato faltante o inconsistente.</t>
        </is>
      </c>
    </row>
  </sheetData>
  <autoFilter ref="A3:Q81"/>
  <hyperlinks>
    <hyperlink xmlns:r="http://schemas.openxmlformats.org/officeDocument/2006/relationships" ref="P4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  <hyperlink xmlns:r="http://schemas.openxmlformats.org/officeDocument/2006/relationships" ref="P10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  <hyperlink xmlns:r="http://schemas.openxmlformats.org/officeDocument/2006/relationships" ref="P14" r:id="rId11"/>
    <hyperlink xmlns:r="http://schemas.openxmlformats.org/officeDocument/2006/relationships" ref="P15" r:id="rId12"/>
    <hyperlink xmlns:r="http://schemas.openxmlformats.org/officeDocument/2006/relationships" ref="P16" r:id="rId13"/>
    <hyperlink xmlns:r="http://schemas.openxmlformats.org/officeDocument/2006/relationships" ref="P17" r:id="rId14"/>
    <hyperlink xmlns:r="http://schemas.openxmlformats.org/officeDocument/2006/relationships" ref="P18" r:id="rId15"/>
    <hyperlink xmlns:r="http://schemas.openxmlformats.org/officeDocument/2006/relationships" ref="P19" r:id="rId16"/>
    <hyperlink xmlns:r="http://schemas.openxmlformats.org/officeDocument/2006/relationships" ref="P20" r:id="rId17"/>
    <hyperlink xmlns:r="http://schemas.openxmlformats.org/officeDocument/2006/relationships" ref="P21" r:id="rId18"/>
    <hyperlink xmlns:r="http://schemas.openxmlformats.org/officeDocument/2006/relationships" ref="P22" r:id="rId19"/>
    <hyperlink xmlns:r="http://schemas.openxmlformats.org/officeDocument/2006/relationships" ref="P23" r:id="rId20"/>
    <hyperlink xmlns:r="http://schemas.openxmlformats.org/officeDocument/2006/relationships" ref="P24" r:id="rId21"/>
    <hyperlink xmlns:r="http://schemas.openxmlformats.org/officeDocument/2006/relationships" ref="P25" r:id="rId22"/>
    <hyperlink xmlns:r="http://schemas.openxmlformats.org/officeDocument/2006/relationships" ref="P26" r:id="rId23"/>
    <hyperlink xmlns:r="http://schemas.openxmlformats.org/officeDocument/2006/relationships" ref="P27" r:id="rId24"/>
    <hyperlink xmlns:r="http://schemas.openxmlformats.org/officeDocument/2006/relationships" ref="P28" r:id="rId25"/>
    <hyperlink xmlns:r="http://schemas.openxmlformats.org/officeDocument/2006/relationships" ref="P29" r:id="rId26"/>
    <hyperlink xmlns:r="http://schemas.openxmlformats.org/officeDocument/2006/relationships" ref="P30" r:id="rId27"/>
    <hyperlink xmlns:r="http://schemas.openxmlformats.org/officeDocument/2006/relationships" ref="P31" r:id="rId28"/>
    <hyperlink xmlns:r="http://schemas.openxmlformats.org/officeDocument/2006/relationships" ref="P32" r:id="rId29"/>
    <hyperlink xmlns:r="http://schemas.openxmlformats.org/officeDocument/2006/relationships" ref="P33" r:id="rId30"/>
    <hyperlink xmlns:r="http://schemas.openxmlformats.org/officeDocument/2006/relationships" ref="P34" r:id="rId31"/>
    <hyperlink xmlns:r="http://schemas.openxmlformats.org/officeDocument/2006/relationships" ref="P35" r:id="rId32"/>
    <hyperlink xmlns:r="http://schemas.openxmlformats.org/officeDocument/2006/relationships" ref="P36" r:id="rId33"/>
    <hyperlink xmlns:r="http://schemas.openxmlformats.org/officeDocument/2006/relationships" ref="P37" r:id="rId34"/>
    <hyperlink xmlns:r="http://schemas.openxmlformats.org/officeDocument/2006/relationships" ref="P38" r:id="rId35"/>
    <hyperlink xmlns:r="http://schemas.openxmlformats.org/officeDocument/2006/relationships" ref="P39" r:id="rId36"/>
    <hyperlink xmlns:r="http://schemas.openxmlformats.org/officeDocument/2006/relationships" ref="P40" r:id="rId37"/>
    <hyperlink xmlns:r="http://schemas.openxmlformats.org/officeDocument/2006/relationships" ref="P41" r:id="rId38"/>
    <hyperlink xmlns:r="http://schemas.openxmlformats.org/officeDocument/2006/relationships" ref="P42" r:id="rId39"/>
    <hyperlink xmlns:r="http://schemas.openxmlformats.org/officeDocument/2006/relationships" ref="P43" r:id="rId40"/>
    <hyperlink xmlns:r="http://schemas.openxmlformats.org/officeDocument/2006/relationships" ref="P44" r:id="rId41"/>
    <hyperlink xmlns:r="http://schemas.openxmlformats.org/officeDocument/2006/relationships" ref="P45" r:id="rId42"/>
    <hyperlink xmlns:r="http://schemas.openxmlformats.org/officeDocument/2006/relationships" ref="P46" r:id="rId43"/>
    <hyperlink xmlns:r="http://schemas.openxmlformats.org/officeDocument/2006/relationships" ref="P47" r:id="rId44"/>
    <hyperlink xmlns:r="http://schemas.openxmlformats.org/officeDocument/2006/relationships" ref="P48" r:id="rId45"/>
    <hyperlink xmlns:r="http://schemas.openxmlformats.org/officeDocument/2006/relationships" ref="P49" r:id="rId46"/>
    <hyperlink xmlns:r="http://schemas.openxmlformats.org/officeDocument/2006/relationships" ref="P50" r:id="rId47"/>
    <hyperlink xmlns:r="http://schemas.openxmlformats.org/officeDocument/2006/relationships" ref="P51" r:id="rId48"/>
    <hyperlink xmlns:r="http://schemas.openxmlformats.org/officeDocument/2006/relationships" ref="P52" r:id="rId49"/>
    <hyperlink xmlns:r="http://schemas.openxmlformats.org/officeDocument/2006/relationships" ref="P53" r:id="rId50"/>
    <hyperlink xmlns:r="http://schemas.openxmlformats.org/officeDocument/2006/relationships" ref="P54" r:id="rId51"/>
    <hyperlink xmlns:r="http://schemas.openxmlformats.org/officeDocument/2006/relationships" ref="P55" r:id="rId52"/>
    <hyperlink xmlns:r="http://schemas.openxmlformats.org/officeDocument/2006/relationships" ref="P56" r:id="rId53"/>
    <hyperlink xmlns:r="http://schemas.openxmlformats.org/officeDocument/2006/relationships" ref="P57" r:id="rId54"/>
    <hyperlink xmlns:r="http://schemas.openxmlformats.org/officeDocument/2006/relationships" ref="P58" r:id="rId55"/>
    <hyperlink xmlns:r="http://schemas.openxmlformats.org/officeDocument/2006/relationships" ref="P59" r:id="rId56"/>
    <hyperlink xmlns:r="http://schemas.openxmlformats.org/officeDocument/2006/relationships" ref="P60" r:id="rId57"/>
    <hyperlink xmlns:r="http://schemas.openxmlformats.org/officeDocument/2006/relationships" ref="P61" r:id="rId58"/>
    <hyperlink xmlns:r="http://schemas.openxmlformats.org/officeDocument/2006/relationships" ref="P62" r:id="rId59"/>
    <hyperlink xmlns:r="http://schemas.openxmlformats.org/officeDocument/2006/relationships" ref="P63" r:id="rId60"/>
    <hyperlink xmlns:r="http://schemas.openxmlformats.org/officeDocument/2006/relationships" ref="P64" r:id="rId61"/>
    <hyperlink xmlns:r="http://schemas.openxmlformats.org/officeDocument/2006/relationships" ref="P65" r:id="rId62"/>
    <hyperlink xmlns:r="http://schemas.openxmlformats.org/officeDocument/2006/relationships" ref="P66" r:id="rId63"/>
    <hyperlink xmlns:r="http://schemas.openxmlformats.org/officeDocument/2006/relationships" ref="P67" r:id="rId64"/>
    <hyperlink xmlns:r="http://schemas.openxmlformats.org/officeDocument/2006/relationships" ref="P68" r:id="rId65"/>
    <hyperlink xmlns:r="http://schemas.openxmlformats.org/officeDocument/2006/relationships" ref="P69" r:id="rId66"/>
    <hyperlink xmlns:r="http://schemas.openxmlformats.org/officeDocument/2006/relationships" ref="P70" r:id="rId67"/>
    <hyperlink xmlns:r="http://schemas.openxmlformats.org/officeDocument/2006/relationships" ref="P71" r:id="rId68"/>
    <hyperlink xmlns:r="http://schemas.openxmlformats.org/officeDocument/2006/relationships" ref="P72" r:id="rId69"/>
    <hyperlink xmlns:r="http://schemas.openxmlformats.org/officeDocument/2006/relationships" ref="P73" r:id="rId70"/>
    <hyperlink xmlns:r="http://schemas.openxmlformats.org/officeDocument/2006/relationships" ref="P74" r:id="rId71"/>
    <hyperlink xmlns:r="http://schemas.openxmlformats.org/officeDocument/2006/relationships" ref="P75" r:id="rId72"/>
    <hyperlink xmlns:r="http://schemas.openxmlformats.org/officeDocument/2006/relationships" ref="P76" r:id="rId73"/>
    <hyperlink xmlns:r="http://schemas.openxmlformats.org/officeDocument/2006/relationships" ref="P77" r:id="rId74"/>
    <hyperlink xmlns:r="http://schemas.openxmlformats.org/officeDocument/2006/relationships" ref="P78" r:id="rId75"/>
    <hyperlink xmlns:r="http://schemas.openxmlformats.org/officeDocument/2006/relationships" ref="P79" r:id="rId76"/>
    <hyperlink xmlns:r="http://schemas.openxmlformats.org/officeDocument/2006/relationships" ref="P80" r:id="rId77"/>
    <hyperlink xmlns:r="http://schemas.openxmlformats.org/officeDocument/2006/relationships" ref="P81" r:id="rId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288" min="1" max="1"/>
    <col width="5" customWidth="1" style="288" min="2" max="2"/>
    <col width="26" customWidth="1" style="288" min="3" max="3"/>
    <col width="10" customWidth="1" style="288" min="4" max="4"/>
    <col width="6" customWidth="1" style="288" min="5" max="5"/>
    <col width="10" customWidth="1" style="288" min="6" max="6"/>
    <col width="7" customWidth="1" style="288" min="7" max="7"/>
    <col width="70" customWidth="1" style="288" min="8" max="8"/>
    <col width="34" customWidth="1" style="288" min="9" max="9"/>
    <col width="22" customWidth="1" style="288" min="10" max="10"/>
  </cols>
  <sheetData>
    <row r="1">
      <c r="A1" s="404" t="inlineStr">
        <is>
          <t>CONSTRUCCIONES SIN TIPOLOGÍA EN EL CATÁLOGO – PENDIENTES DE PRESUPUESTO PROPIO</t>
        </is>
      </c>
    </row>
    <row r="3">
      <c r="A3" s="405" t="inlineStr">
        <is>
          <t>Predio</t>
        </is>
      </c>
      <c r="B3" s="405" t="inlineStr">
        <is>
          <t>Nº</t>
        </is>
      </c>
      <c r="C3" s="405" t="inlineStr">
        <is>
          <t>Ítem</t>
        </is>
      </c>
      <c r="D3" s="405" t="inlineStr">
        <is>
          <t>Área (m²)</t>
        </is>
      </c>
      <c r="E3" s="405" t="inlineStr">
        <is>
          <t>Edad</t>
        </is>
      </c>
      <c r="F3" s="405" t="inlineStr">
        <is>
          <t>Vida útil provisional</t>
        </is>
      </c>
      <c r="G3" s="405" t="inlineStr">
        <is>
          <t>Calif.</t>
        </is>
      </c>
      <c r="H3" s="405" t="inlineStr">
        <is>
          <t>Motivo</t>
        </is>
      </c>
      <c r="I3" s="405" t="inlineStr">
        <is>
          <t>Dónde digitar el valor de reposición ($/m²)</t>
        </is>
      </c>
      <c r="J3" s="405" t="inlineStr">
        <is>
          <t>Presupuesto propio $/m² (referencia)</t>
        </is>
      </c>
    </row>
    <row r="4">
      <c r="A4" s="413" t="inlineStr">
        <is>
          <t>PORCIÓN 1-2-3</t>
        </is>
      </c>
      <c r="B4" s="413" t="n">
        <v>3</v>
      </c>
      <c r="C4" s="413" t="inlineStr">
        <is>
          <t>Caseta de Fertilizantes</t>
        </is>
      </c>
      <c r="D4" s="413">
        <f>4*4</f>
        <v/>
      </c>
      <c r="E4" s="413" t="n">
        <v>40</v>
      </c>
      <c r="F4" s="413" t="n">
        <v>70</v>
      </c>
      <c r="G4" s="413" t="n">
        <v>3</v>
      </c>
      <c r="H4" s="413" t="inlineStr">
        <is>
          <t>Instalación/equipo o caseta en malla: sin tipología directa en el catálogo (requiere presupuesto propio). Murete + malla eslabonada + cubierta zinc.</t>
        </is>
      </c>
      <c r="I4" s="416" t="inlineStr">
        <is>
          <t>'DEP PORCIÓN 1-2-3'!F7</t>
        </is>
      </c>
      <c r="J4" s="423" t="n"/>
    </row>
    <row r="5">
      <c r="A5" s="413" t="inlineStr">
        <is>
          <t>PORCIÓN 1-2-3</t>
        </is>
      </c>
      <c r="B5" s="413" t="n">
        <v>6</v>
      </c>
      <c r="C5" s="413" t="inlineStr">
        <is>
          <t>Planta agua potable</t>
        </is>
      </c>
      <c r="D5" s="413">
        <f>2.2*3</f>
        <v/>
      </c>
      <c r="E5" s="413" t="n">
        <v>45</v>
      </c>
      <c r="F5" s="413" t="n">
        <v>70</v>
      </c>
      <c r="G5" s="413" t="n">
        <v>3</v>
      </c>
      <c r="H5" s="413" t="inlineStr">
        <is>
          <t>Instalación/equipo o caseta en malla: sin tipología directa en el catálogo (requiere presupuesto propio). Planta de agua potable.</t>
        </is>
      </c>
      <c r="I5" s="416" t="inlineStr">
        <is>
          <t>'DEP PORCIÓN 1-2-3'!F10</t>
        </is>
      </c>
      <c r="J5" s="423" t="n"/>
    </row>
    <row r="6">
      <c r="A6" s="413" t="inlineStr">
        <is>
          <t>PORCIÓN 1-2-3</t>
        </is>
      </c>
      <c r="B6" s="413" t="n">
        <v>7</v>
      </c>
      <c r="C6" s="413" t="inlineStr">
        <is>
          <t>Caseta Planta  electrica</t>
        </is>
      </c>
      <c r="D6" s="413">
        <f>2.5*2.75</f>
        <v/>
      </c>
      <c r="E6" s="413" t="n">
        <v>40</v>
      </c>
      <c r="F6" s="413" t="n">
        <v>70</v>
      </c>
      <c r="G6" s="413" t="n">
        <v>3</v>
      </c>
      <c r="H6" s="413" t="inlineStr">
        <is>
          <t>Instalación/equipo o caseta en malla: sin tipología directa en el catálogo (requiere presupuesto propio). Caseta de planta eléctrica.</t>
        </is>
      </c>
      <c r="I6" s="416" t="inlineStr">
        <is>
          <t>'DEP PORCIÓN 1-2-3'!F11</t>
        </is>
      </c>
      <c r="J6" s="423" t="n"/>
    </row>
    <row r="7">
      <c r="A7" s="413" t="inlineStr">
        <is>
          <t>PORCIÓN 1-2-3</t>
        </is>
      </c>
      <c r="B7" s="413" t="n">
        <v>8</v>
      </c>
      <c r="C7" s="413" t="inlineStr">
        <is>
          <t>Ramada Aceite</t>
        </is>
      </c>
      <c r="D7" s="413" t="n">
        <v>28.88</v>
      </c>
      <c r="E7" s="413" t="n">
        <v>40</v>
      </c>
      <c r="F7" s="413" t="n">
        <v>70</v>
      </c>
      <c r="G7" s="413" t="n">
        <v>3</v>
      </c>
      <c r="H7" s="413" t="inlineStr">
        <is>
          <t>Instalación/equipo o caseta en malla: sin tipología directa en el catálogo (requiere presupuesto propio). Ramada de aceite con cerramiento en malla.</t>
        </is>
      </c>
      <c r="I7" s="416" t="inlineStr">
        <is>
          <t>'DEP PORCIÓN 1-2-3'!F12</t>
        </is>
      </c>
      <c r="J7" s="423" t="n"/>
    </row>
    <row r="8">
      <c r="A8" s="413" t="inlineStr">
        <is>
          <t>PORCIÓN 1-2-3</t>
        </is>
      </c>
      <c r="B8" s="413" t="n">
        <v>9</v>
      </c>
      <c r="C8" s="413" t="inlineStr">
        <is>
          <t>Caseta de desinfección</t>
        </is>
      </c>
      <c r="D8" s="413">
        <f>8.1*2.5</f>
        <v/>
      </c>
      <c r="E8" s="413" t="n">
        <v>40</v>
      </c>
      <c r="F8" s="413" t="n">
        <v>70</v>
      </c>
      <c r="G8" s="413" t="n">
        <v>3</v>
      </c>
      <c r="H8" s="413" t="inlineStr">
        <is>
          <t>Pozetas de desinfección bajo cubierta: sin tipología directa (requiere presupuesto propio).</t>
        </is>
      </c>
      <c r="I8" s="416" t="inlineStr">
        <is>
          <t>'DEP PORCIÓN 1-2-3'!F13</t>
        </is>
      </c>
      <c r="J8" s="423" t="n"/>
    </row>
    <row r="9">
      <c r="A9" s="413" t="inlineStr">
        <is>
          <t>CANCÚN</t>
        </is>
      </c>
      <c r="B9" s="413" t="n">
        <v>6</v>
      </c>
      <c r="C9" s="413" t="inlineStr">
        <is>
          <t>Planta agua potable</t>
        </is>
      </c>
      <c r="D9" s="413" t="n">
        <v>21</v>
      </c>
      <c r="E9" s="413" t="n">
        <v>15</v>
      </c>
      <c r="F9" s="413" t="n">
        <v>70</v>
      </c>
      <c r="G9" s="413" t="n">
        <v>4</v>
      </c>
      <c r="H9" s="413" t="inlineStr">
        <is>
          <t>Instalación/equipo o caseta en malla: sin tipología directa en el catálogo (requiere presupuesto propio). Planta de agua potable.</t>
        </is>
      </c>
      <c r="I9" s="416" t="inlineStr">
        <is>
          <t>'DEP CANCÚN (1)'!F10</t>
        </is>
      </c>
      <c r="J9" s="423" t="n"/>
    </row>
    <row r="10">
      <c r="A10" s="413" t="inlineStr">
        <is>
          <t>CANCÚN</t>
        </is>
      </c>
      <c r="B10" s="413" t="n">
        <v>9</v>
      </c>
      <c r="C10" s="413" t="inlineStr">
        <is>
          <t>Caseta de desinfección</t>
        </is>
      </c>
      <c r="D10" s="427" t="n"/>
      <c r="E10" s="413" t="n">
        <v>10</v>
      </c>
      <c r="F10" s="413" t="n">
        <v>70</v>
      </c>
      <c r="G10" s="413" t="n">
        <v>3</v>
      </c>
      <c r="H10" s="413" t="inlineStr">
        <is>
          <t>Pozetas de desinfección bajo cubierta: sin tipología directa (requiere presupuesto propio).</t>
        </is>
      </c>
      <c r="I10" s="416" t="inlineStr">
        <is>
          <t>'DEP CANCÚN (1)'!F13</t>
        </is>
      </c>
      <c r="J10" s="423" t="n"/>
    </row>
    <row r="11">
      <c r="A11" s="413" t="inlineStr">
        <is>
          <t>CANCÚN</t>
        </is>
      </c>
      <c r="B11" s="413" t="n">
        <v>10</v>
      </c>
      <c r="C11" s="413" t="inlineStr">
        <is>
          <t>Enramada Combustible</t>
        </is>
      </c>
      <c r="D11" s="413" t="n">
        <v>51</v>
      </c>
      <c r="E11" s="413" t="n">
        <v>13</v>
      </c>
      <c r="F11" s="413" t="n">
        <v>70</v>
      </c>
      <c r="G11" s="413" t="n">
        <v>3</v>
      </c>
      <c r="H11" s="413" t="inlineStr">
        <is>
          <t>Instalación/equipo o caseta en malla: sin tipología directa en el catálogo (requiere presupuesto propio). Enramada de combustible (contención/malla).</t>
        </is>
      </c>
      <c r="I11" s="416" t="inlineStr">
        <is>
          <t>'DEP CANCÚN (1)'!F14</t>
        </is>
      </c>
      <c r="J11" s="423" t="n"/>
    </row>
    <row r="12">
      <c r="A12" s="413" t="inlineStr">
        <is>
          <t>CARI CARI</t>
        </is>
      </c>
      <c r="B12" s="413" t="n">
        <v>4</v>
      </c>
      <c r="C12" s="413" t="inlineStr">
        <is>
          <t>Baño - Tanque</t>
        </is>
      </c>
      <c r="D12" s="413" t="n">
        <v>21.6</v>
      </c>
      <c r="E12" s="413" t="n">
        <v>30</v>
      </c>
      <c r="F12" s="413" t="n">
        <v>70</v>
      </c>
      <c r="G12" s="413" t="n">
        <v>4</v>
      </c>
      <c r="H12" s="413" t="inlineStr">
        <is>
          <t>Baño combinado con tanque elevado: sin tipología directa (requiere presupuesto propio).</t>
        </is>
      </c>
      <c r="I12" s="416" t="inlineStr">
        <is>
          <t>'DEP CARI CARI'!F8</t>
        </is>
      </c>
      <c r="J12" s="423" t="n"/>
    </row>
    <row r="13">
      <c r="A13" s="413" t="inlineStr">
        <is>
          <t>EL CORUAL</t>
        </is>
      </c>
      <c r="B13" s="413" t="n">
        <v>3</v>
      </c>
      <c r="C13" s="413" t="inlineStr">
        <is>
          <t>Bomba ACPM</t>
        </is>
      </c>
      <c r="D13" s="427" t="n"/>
      <c r="E13" s="413" t="n">
        <v>35</v>
      </c>
      <c r="F13" s="413" t="n">
        <v>70</v>
      </c>
      <c r="G13" s="413" t="n">
        <v>3.5</v>
      </c>
      <c r="H13" s="413" t="inlineStr">
        <is>
          <t>Tanque de ACPM sobre base en concreto: instalación sin tipología directa.</t>
        </is>
      </c>
      <c r="I13" s="416" t="inlineStr">
        <is>
          <t>'DEP EL CORUAL (1)'!F8</t>
        </is>
      </c>
      <c r="J13" s="423" t="n"/>
    </row>
    <row r="14">
      <c r="A14" s="413" t="inlineStr">
        <is>
          <t>EL CORUAL</t>
        </is>
      </c>
      <c r="B14" s="413" t="n">
        <v>4</v>
      </c>
      <c r="C14" s="413" t="inlineStr">
        <is>
          <t>Bomba Aceite</t>
        </is>
      </c>
      <c r="D14" s="427" t="n"/>
      <c r="E14" s="413" t="n">
        <v>25</v>
      </c>
      <c r="F14" s="413" t="n">
        <v>70</v>
      </c>
      <c r="G14" s="413" t="n">
        <v>4</v>
      </c>
      <c r="H14" s="413" t="inlineStr">
        <is>
          <t>Tanques de aceite sobre plataforma: instalación sin tipología directa.</t>
        </is>
      </c>
      <c r="I14" s="416" t="inlineStr">
        <is>
          <t>'DEP EL CORUAL (1)'!F9</t>
        </is>
      </c>
      <c r="J14" s="423" t="n"/>
    </row>
    <row r="15">
      <c r="A15" s="413" t="inlineStr">
        <is>
          <t>EL CORUAL</t>
        </is>
      </c>
      <c r="B15" s="413" t="n">
        <v>5</v>
      </c>
      <c r="C15" s="413" t="inlineStr">
        <is>
          <t>Cable vía</t>
        </is>
      </c>
      <c r="D15" s="427" t="n"/>
      <c r="E15" s="413" t="n">
        <v>35</v>
      </c>
      <c r="F15" s="413" t="n">
        <v>70</v>
      </c>
      <c r="G15" s="413" t="n">
        <v>3.5</v>
      </c>
      <c r="H15" s="413" t="inlineStr">
        <is>
          <t>Cable vía (sistema de transporte de racimos): sin tipología directa.</t>
        </is>
      </c>
      <c r="I15" s="416" t="inlineStr">
        <is>
          <t>'DEP EL CORUAL (1)'!F10</t>
        </is>
      </c>
      <c r="J15" s="423" t="n"/>
    </row>
    <row r="16">
      <c r="A16" s="413" t="inlineStr">
        <is>
          <t>EL CORUAL</t>
        </is>
      </c>
      <c r="B16" s="413" t="n">
        <v>11</v>
      </c>
      <c r="C16" s="413" t="inlineStr">
        <is>
          <t>Máquina de bombeo</t>
        </is>
      </c>
      <c r="D16" s="427" t="n"/>
      <c r="E16" s="413" t="n">
        <v>28</v>
      </c>
      <c r="F16" s="413" t="n">
        <v>70</v>
      </c>
      <c r="G16" s="413" t="n">
        <v>3</v>
      </c>
      <c r="H16" s="413" t="inlineStr">
        <is>
          <t>Casa de bombeo con equipos: instalación sin tipología directa.</t>
        </is>
      </c>
      <c r="I16" s="416" t="inlineStr">
        <is>
          <t>'DEP EL CORUAL (2)'!F5</t>
        </is>
      </c>
      <c r="J16" s="423" t="n"/>
    </row>
    <row r="17">
      <c r="A17" s="413" t="inlineStr">
        <is>
          <t>LAS MERCEDES</t>
        </is>
      </c>
      <c r="B17" s="413" t="n">
        <v>4</v>
      </c>
      <c r="C17" s="413" t="inlineStr">
        <is>
          <t>Zona de lavado</t>
        </is>
      </c>
      <c r="D17" s="427" t="n"/>
      <c r="E17" s="413" t="n">
        <v>19</v>
      </c>
      <c r="F17" s="413" t="n">
        <v>50</v>
      </c>
      <c r="G17" s="413" t="n">
        <v>3</v>
      </c>
      <c r="H17" s="413" t="inlineStr">
        <is>
          <t>Zona de lavado/agroquímicos con cerramiento en malla y ducha de emergencia: sin tipología directa.</t>
        </is>
      </c>
      <c r="I17" s="416" t="inlineStr">
        <is>
          <t>'DEP LAS MERCEDES (1)'!F8</t>
        </is>
      </c>
      <c r="J17" s="423" t="n"/>
    </row>
    <row r="18">
      <c r="A18" s="413" t="inlineStr">
        <is>
          <t>LAS MERCEDES</t>
        </is>
      </c>
      <c r="B18" s="413" t="n">
        <v>15</v>
      </c>
      <c r="C18" s="413" t="inlineStr">
        <is>
          <t>Tanque combustible</t>
        </is>
      </c>
      <c r="D18" s="427" t="n"/>
      <c r="E18" s="413" t="n">
        <v>21</v>
      </c>
      <c r="F18" s="413" t="n">
        <v>70</v>
      </c>
      <c r="G18" s="413" t="n">
        <v>4</v>
      </c>
      <c r="H18" s="413" t="inlineStr">
        <is>
          <t>Tanques de combustible elevados con contención: instalación sin tipología directa.</t>
        </is>
      </c>
      <c r="I18" s="416" t="inlineStr">
        <is>
          <t>'DEP LAS MERCEDES (2)'!F9</t>
        </is>
      </c>
      <c r="J18" s="423" t="n"/>
    </row>
  </sheetData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tabSelected="0" workbookViewId="0">
      <selection activeCell="A1" sqref="A1"/>
    </sheetView>
  </sheetViews>
  <sheetFormatPr baseColWidth="8" defaultRowHeight="15"/>
  <cols>
    <col width="150" customWidth="1" style="288" min="1" max="1"/>
  </cols>
  <sheetData>
    <row r="1">
      <c r="A1" s="428" t="inlineStr">
        <is>
          <t>CRITERIOS APLICADOS</t>
        </is>
      </c>
    </row>
    <row r="2">
      <c r="A2" s="380" t="inlineStr">
        <is>
          <t>1. Valores de reposición: Catálogo IGAC de Tipologías Constructivas (vigencia oct-2025 a oct-2026), columna REGIÓN NORTE (incluye Magdalena y Atlántico). Unidad: $/m².</t>
        </is>
      </c>
    </row>
    <row r="3">
      <c r="A3" s="380" t="inlineStr">
        <is>
          <t>2. Depreciación: método Ross-Heidecke del formato rural (hojas DEP = copia de DEPRECIACIÓN; hojas LIQ = copia de LIQUIDACIÓN). No se modificó ninguna fórmula; solo se cargaron los datos azules (edad, vida útil, calificación, valor de reposición y área).</t>
        </is>
      </c>
    </row>
    <row r="4">
      <c r="A4" s="380" t="inlineStr">
        <is>
          <t>3. Edad, vida útil, estado y área provienen del Excel de construcciones. Si la vida útil estaba vacía se tomó la del catálogo; si esa resultaba ≤ edad se usó 70 (criterio del archivo) y se marcó en amarillo.</t>
        </is>
      </c>
    </row>
    <row r="5">
      <c r="A5" s="380" t="inlineStr">
        <is>
          <t>4. Estado: el archivo trae texto (Bueno, Regular…) y número. Donde no coinciden se usó el NÚMERO del archivo y se marcó en naranja (ver hoja CLASIFICACIÓN, columna Alertas). Conviene revisarlos: un "Bueno" con 4 deprecia ~50 %.</t>
        </is>
      </c>
    </row>
    <row r="6">
      <c r="A6" s="380" t="inlineStr">
        <is>
          <t>5. Áreas vacías: en el archivo de construcciones varias áreas no están digitadas (probablemente solo en los croquis de "levantamiento en campo"). Quedaron en blanco (naranja) y aportan $0.</t>
        </is>
      </c>
    </row>
    <row r="7">
      <c r="A7" s="380" t="inlineStr">
        <is>
          <t>6. Construcciones sin clasificar (rosado): valor de reposición vacío para que digite su presupuesto propio (columna F de la hoja DEP; ver hoja SIN CLASIFICAR). Mientras estén vacías aportan $0.</t>
        </is>
      </c>
    </row>
    <row r="8">
      <c r="A8" s="380" t="inlineStr">
        <is>
          <t>7. Construcción principal = primera fila de cada hoja. En EL CORUAL se puso "La casona" y en LAS MERCEDES "Oficinas" en primer lugar; en los demás predios se respetó el orden del archivo.</t>
        </is>
      </c>
    </row>
    <row r="9">
      <c r="A9" s="380" t="inlineStr">
        <is>
          <t>8. El formato admite 10 construcciones por hoja: CANCÚN, EL CORUAL y LAS MERCEDES se dividen en dos hojas (1) y (2). En la hoja (2) la superficie de terreno queda en 0.</t>
        </is>
      </c>
    </row>
    <row r="10">
      <c r="A10" s="380" t="inlineStr">
        <is>
          <t>9. TERRENO: no hay datos de terreno en el archivo de construcciones; la superficie (Ha) quedó en 0 y el valor por Ha lo toma de la hoja MERCADO RURAL (celda H24, hoja de apoyo) o se digita en E5 de cada LIQ.</t>
        </is>
      </c>
    </row>
    <row r="11">
      <c r="A11" s="380" t="inlineStr">
        <is>
          <t>10. Hoja AUX_COMBINACIONES (oculta) y MERCADO RURAL son hojas de apoyo mínimas para que las fórmulas de vínculo del formato no den error.</t>
        </is>
      </c>
    </row>
    <row r="12">
      <c r="A12" s="380" t="inlineStr">
        <is>
          <t>11. Columnas V:W de cada hoja DEP (tipología y confianza) son informativas y están fuera del rango de las fórmulas.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LÍBANO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Casa Principal</t>
        </is>
      </c>
      <c r="C5" s="56" t="n">
        <v>30</v>
      </c>
      <c r="D5" s="56" t="n">
        <v>70</v>
      </c>
      <c r="E5" s="436" t="n">
        <v>2</v>
      </c>
      <c r="F5" s="58" t="n">
        <v>1131400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 t="n">
        <v>96.88</v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1014113_Residencial.Tipo_3</t>
        </is>
      </c>
      <c r="W5" s="438" t="inlineStr">
        <is>
          <t>Alta</t>
        </is>
      </c>
    </row>
    <row r="6" ht="21" customHeight="1" s="288">
      <c r="A6" s="54" t="n"/>
      <c r="B6" s="55" t="inlineStr">
        <is>
          <t>Casa Mayordomo</t>
        </is>
      </c>
      <c r="C6" s="56" t="n">
        <v>30</v>
      </c>
      <c r="D6" s="56" t="n">
        <v>70</v>
      </c>
      <c r="E6" s="436" t="n">
        <v>3</v>
      </c>
      <c r="F6" s="58" t="n">
        <v>1014000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 t="n">
        <v>59.29</v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1004113_Residencial.Tipo_3_Menos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Casa pequeña</t>
        </is>
      </c>
      <c r="C7" s="56" t="n">
        <v>25</v>
      </c>
      <c r="D7" s="56" t="n">
        <v>70</v>
      </c>
      <c r="E7" s="436" t="n">
        <v>3</v>
      </c>
      <c r="F7" s="58" t="n">
        <v>1014000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>
        <v>69.97</v>
      </c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1004113_Residencial.Tipo_3_Menos</t>
        </is>
      </c>
      <c r="W7" s="438" t="inlineStr">
        <is>
          <t>Media</t>
        </is>
      </c>
    </row>
    <row r="8" ht="21" customHeight="1" s="288">
      <c r="A8" s="54" t="n"/>
      <c r="B8" s="55" t="inlineStr">
        <is>
          <t>Bodega principal</t>
        </is>
      </c>
      <c r="C8" s="56" t="n">
        <v>30</v>
      </c>
      <c r="D8" s="56" t="n">
        <v>70</v>
      </c>
      <c r="E8" s="436" t="n">
        <v>3.5</v>
      </c>
      <c r="F8" s="58" t="n">
        <v>1226000</v>
      </c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>
        <v>72</v>
      </c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3001121_Industrial.Liviana_2</t>
        </is>
      </c>
      <c r="W8" s="438" t="inlineStr">
        <is>
          <t>Media</t>
        </is>
      </c>
    </row>
    <row r="9" ht="21" customHeight="1" s="288">
      <c r="A9" s="54" t="n"/>
      <c r="B9" s="55" t="inlineStr">
        <is>
          <t>Cuarto útil</t>
        </is>
      </c>
      <c r="C9" s="56" t="n">
        <v>30</v>
      </c>
      <c r="D9" s="56" t="n">
        <v>70</v>
      </c>
      <c r="E9" s="436" t="n">
        <v>3.5</v>
      </c>
      <c r="F9" s="58" t="n">
        <v>767900</v>
      </c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 t="n">
        <v>9</v>
      </c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Anexos.Depósitos_1</t>
        </is>
      </c>
      <c r="W9" s="438" t="inlineStr">
        <is>
          <t>Media</t>
        </is>
      </c>
    </row>
    <row r="10" ht="21" customHeight="1" s="288">
      <c r="A10" s="54" t="n"/>
      <c r="B10" s="55" t="inlineStr">
        <is>
          <t>Bodega auxiliar</t>
        </is>
      </c>
      <c r="C10" s="56" t="n">
        <v>30</v>
      </c>
      <c r="D10" s="56" t="n">
        <v>50</v>
      </c>
      <c r="E10" s="436" t="n">
        <v>3.5</v>
      </c>
      <c r="F10" s="58" t="n">
        <v>767900</v>
      </c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>
        <v>8.32</v>
      </c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  <c r="V10" s="438" t="inlineStr">
        <is>
          <t>Anexos.Depósitos_1</t>
        </is>
      </c>
      <c r="W10" s="438" t="inlineStr">
        <is>
          <t>Media</t>
        </is>
      </c>
    </row>
    <row r="11" ht="21" customHeight="1" s="288">
      <c r="A11" s="54" t="n"/>
      <c r="B11" s="55" t="n"/>
      <c r="C11" s="56" t="n"/>
      <c r="D11" s="56" t="n"/>
      <c r="E11" s="436" t="n"/>
      <c r="F11" s="58" t="n"/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</row>
    <row r="12" ht="21" customHeight="1" s="288">
      <c r="A12" s="54" t="n"/>
      <c r="B12" s="55" t="n"/>
      <c r="C12" s="56" t="n"/>
      <c r="D12" s="56" t="n"/>
      <c r="E12" s="436" t="n"/>
      <c r="F12" s="58" t="n"/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/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</row>
    <row r="13" ht="21" customHeight="1" s="288">
      <c r="A13" s="54" t="n"/>
      <c r="B13" s="55" t="n"/>
      <c r="C13" s="56" t="n"/>
      <c r="D13" s="56" t="n"/>
      <c r="E13" s="436" t="n"/>
      <c r="F13" s="58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LÍBANO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LÍBANO'!$B$5:$B$14,MATCH(1,'DEP LÍBANO'!$Q$5:$Q$14,0))),"")</f>
        <v/>
      </c>
      <c r="C8" s="130">
        <f>IF(B8="","","m²")</f>
        <v/>
      </c>
      <c r="D8" s="127">
        <f>IF(B8="","",INDEX('DEP LÍBANO'!$O$5:$O$14,MATCH(1,'DEP LÍBANO'!$Q$5:$Q$14,0)))</f>
        <v/>
      </c>
      <c r="E8" s="70">
        <f>IF(B8="","",INDEX('DEP LÍBANO'!$N$5:$N$14,MATCH(1,'DEP LÍBANO'!$Q$5:$Q$14,0)))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LÍBANO'!$B$5:$B$14,MATCH((ROWS($B$12:$B12)+1),'DEP LÍBANO'!$Q$5:$Q$14,0))),"")</f>
        <v/>
      </c>
      <c r="C12" s="130">
        <f>IF(B12="","","m²")</f>
        <v/>
      </c>
      <c r="D12" s="127">
        <f>IF(B12="","",INDEX('DEP LÍBANO'!$O$5:$O$14,MATCH((ROWS($B$12:$B12)+1),'DEP LÍBANO'!$Q$5:$Q$14,0)))</f>
        <v/>
      </c>
      <c r="E12" s="70">
        <f>IF(B12="","",INDEX('DEP LÍBANO'!$N$5:$N$14,MATCH((ROWS($B$12:$B12)+1),'DEP LÍBANO'!$Q$5:$Q$14,0)))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LÍBANO'!$B$5:$B$14,MATCH((ROWS($B$12:$B13)+1),'DEP LÍBANO'!$Q$5:$Q$14,0))),"")</f>
        <v/>
      </c>
      <c r="C13" s="130">
        <f>IF(B13="","","m²")</f>
        <v/>
      </c>
      <c r="D13" s="127">
        <f>IF(B13="","",INDEX('DEP LÍBANO'!$O$5:$O$14,MATCH((ROWS($B$12:$B13)+1),'DEP LÍBANO'!$Q$5:$Q$14,0)))</f>
        <v/>
      </c>
      <c r="E13" s="70">
        <f>IF(B13="","",INDEX('DEP LÍBANO'!$N$5:$N$14,MATCH((ROWS($B$12:$B13)+1),'DEP LÍBANO'!$Q$5:$Q$14,0)))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LÍBANO'!$B$5:$B$14,MATCH((ROWS($B$12:$B14)+1),'DEP LÍBANO'!$Q$5:$Q$14,0))),"")</f>
        <v/>
      </c>
      <c r="C14" s="130">
        <f>IF(B14="","","m²")</f>
        <v/>
      </c>
      <c r="D14" s="127">
        <f>IF(B14="","",INDEX('DEP LÍBANO'!$O$5:$O$14,MATCH((ROWS($B$12:$B14)+1),'DEP LÍBANO'!$Q$5:$Q$14,0)))</f>
        <v/>
      </c>
      <c r="E14" s="70">
        <f>IF(B14="","",INDEX('DEP LÍBANO'!$N$5:$N$14,MATCH((ROWS($B$12:$B14)+1),'DEP LÍBANO'!$Q$5:$Q$14,0)))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LÍBANO'!$B$5:$B$14,MATCH((ROWS($B$12:$B15)+1),'DEP LÍBANO'!$Q$5:$Q$14,0))),"")</f>
        <v/>
      </c>
      <c r="C15" s="130">
        <f>IF(B15="","","m²")</f>
        <v/>
      </c>
      <c r="D15" s="127">
        <f>IF(B15="","",INDEX('DEP LÍBANO'!$O$5:$O$14,MATCH((ROWS($B$12:$B15)+1),'DEP LÍBANO'!$Q$5:$Q$14,0)))</f>
        <v/>
      </c>
      <c r="E15" s="70">
        <f>IF(B15="","",INDEX('DEP LÍBANO'!$N$5:$N$14,MATCH((ROWS($B$12:$B15)+1),'DEP LÍBANO'!$Q$5:$Q$14,0)))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LÍBANO'!$B$5:$B$14,MATCH((ROWS($B$12:$B16)+1),'DEP LÍBANO'!$Q$5:$Q$14,0))),"")</f>
        <v/>
      </c>
      <c r="C16" s="130">
        <f>IF(B16="","","m²")</f>
        <v/>
      </c>
      <c r="D16" s="127">
        <f>IF(B16="","",INDEX('DEP LÍBANO'!$O$5:$O$14,MATCH((ROWS($B$12:$B16)+1),'DEP LÍBANO'!$Q$5:$Q$14,0)))</f>
        <v/>
      </c>
      <c r="E16" s="70">
        <f>IF(B16="","",INDEX('DEP LÍBANO'!$N$5:$N$14,MATCH((ROWS($B$12:$B16)+1),'DEP LÍBANO'!$Q$5:$Q$14,0)))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LÍBANO'!$B$5:$B$14,MATCH((ROWS($B$12:$B17)+1),'DEP LÍBANO'!$Q$5:$Q$14,0))),"")</f>
        <v/>
      </c>
      <c r="C17" s="131">
        <f>IF(B17="","","m²")</f>
        <v/>
      </c>
      <c r="D17" s="128">
        <f>IF(B17="","",INDEX('DEP LÍBANO'!$O$5:$O$14,MATCH((ROWS($B$12:$B17)+1),'DEP LÍBANO'!$Q$5:$Q$14,0)))</f>
        <v/>
      </c>
      <c r="E17" s="129">
        <f>IF(B17="","",INDEX('DEP LÍBANO'!$N$5:$N$14,MATCH((ROWS($B$12:$B17)+1),'DEP LÍBANO'!$Q$5:$Q$14,0)))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LÍBANO'!$B$5:$B$14,MATCH((ROWS($B$12:$B18)+1),'DEP LÍBANO'!$Q$5:$Q$14,0))),"")</f>
        <v/>
      </c>
      <c r="C18" s="131">
        <f>IF(B18="","","m²")</f>
        <v/>
      </c>
      <c r="D18" s="128">
        <f>IF(B18="","",INDEX('DEP LÍBANO'!$O$5:$O$14,MATCH((ROWS($B$12:$B18)+1),'DEP LÍBANO'!$Q$5:$Q$14,0)))</f>
        <v/>
      </c>
      <c r="E18" s="129">
        <f>IF(B18="","",INDEX('DEP LÍBANO'!$N$5:$N$14,MATCH((ROWS($B$12:$B18)+1),'DEP LÍBANO'!$Q$5:$Q$14,0)))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LÍBANO'!$B$5:$B$14,MATCH((ROWS($B$12:$B19)+1),'DEP LÍBANO'!$Q$5:$Q$14,0))),"")</f>
        <v/>
      </c>
      <c r="C19" s="131">
        <f>IF(B19="","","m²")</f>
        <v/>
      </c>
      <c r="D19" s="128">
        <f>IF(B19="","",INDEX('DEP LÍBANO'!$O$5:$O$14,MATCH((ROWS($B$12:$B19)+1),'DEP LÍBANO'!$Q$5:$Q$14,0)))</f>
        <v/>
      </c>
      <c r="E19" s="129">
        <f>IF(B19="","",INDEX('DEP LÍBANO'!$N$5:$N$14,MATCH((ROWS($B$12:$B19)+1),'DEP LÍBANO'!$Q$5:$Q$14,0)))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LÍBANO'!$B$5:$B$14,MATCH((ROWS($B$12:$B20)+1),'DEP LÍBANO'!$Q$5:$Q$14,0))),"")</f>
        <v/>
      </c>
      <c r="C20" s="131">
        <f>IF(B20="","","m²")</f>
        <v/>
      </c>
      <c r="D20" s="128">
        <f>IF(B20="","",INDEX('DEP LÍBANO'!$O$5:$O$14,MATCH((ROWS($B$12:$B20)+1),'DEP LÍBANO'!$Q$5:$Q$14,0)))</f>
        <v/>
      </c>
      <c r="E20" s="129">
        <f>IF(B20="","",INDEX('DEP LÍBANO'!$N$5:$N$14,MATCH((ROWS($B$12:$B20)+1),'DEP LÍBANO'!$Q$5:$Q$14,0)))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PORCION 1-2-3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Casa Principal</t>
        </is>
      </c>
      <c r="C5" s="56" t="n">
        <v>45</v>
      </c>
      <c r="D5" s="56" t="n">
        <v>70</v>
      </c>
      <c r="E5" s="450" t="n">
        <v>3.5</v>
      </c>
      <c r="F5" s="58" t="n">
        <v>1014000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>
        <f>12*21</f>
        <v/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1004113_Residencial.Tipo_3_Menos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Caseta de Porteria</t>
        </is>
      </c>
      <c r="C6" s="56" t="n">
        <v>40</v>
      </c>
      <c r="D6" s="56" t="n">
        <v>70</v>
      </c>
      <c r="E6" s="450" t="n">
        <v>3.5</v>
      </c>
      <c r="F6" s="58" t="n">
        <v>1014000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>
        <f>2.6*2.7</f>
        <v/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1004113_Residencial.Tipo_3_Menos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Caseta de Fertilizantes</t>
        </is>
      </c>
      <c r="C7" s="56" t="n">
        <v>40</v>
      </c>
      <c r="D7" s="451" t="n">
        <v>70</v>
      </c>
      <c r="E7" s="436" t="n">
        <v>3</v>
      </c>
      <c r="F7" s="452" t="n"/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>
        <f>4*4</f>
        <v/>
      </c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SIN CLASIFICAR</t>
        </is>
      </c>
      <c r="W7" s="438" t="inlineStr">
        <is>
          <t>—</t>
        </is>
      </c>
    </row>
    <row r="8" ht="21" customHeight="1" s="288">
      <c r="A8" s="54" t="n"/>
      <c r="B8" s="55" t="inlineStr">
        <is>
          <t>Comedor</t>
        </is>
      </c>
      <c r="C8" s="56" t="n">
        <v>30</v>
      </c>
      <c r="D8" s="451" t="n">
        <v>70</v>
      </c>
      <c r="E8" s="436" t="n">
        <v>2</v>
      </c>
      <c r="F8" s="58" t="n">
        <v>912600</v>
      </c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>
        <v>367</v>
      </c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Anexos.Ramadas_Cobertizos_Caneyes_Plus_Tipo_80</t>
        </is>
      </c>
      <c r="W8" s="438" t="inlineStr">
        <is>
          <t>Media</t>
        </is>
      </c>
    </row>
    <row r="9" ht="21" customHeight="1" s="288">
      <c r="A9" s="54" t="n"/>
      <c r="B9" s="55" t="inlineStr">
        <is>
          <t>Empacadora</t>
        </is>
      </c>
      <c r="C9" s="56" t="n">
        <v>45</v>
      </c>
      <c r="D9" s="56" t="n">
        <v>70</v>
      </c>
      <c r="E9" s="436" t="n">
        <v>2</v>
      </c>
      <c r="F9" s="58" t="n">
        <v>680600</v>
      </c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 t="n">
        <v>297</v>
      </c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Anexos.Beneficiaderos_Medio_Tipo_60</t>
        </is>
      </c>
      <c r="W9" s="438" t="inlineStr">
        <is>
          <t>Media</t>
        </is>
      </c>
    </row>
    <row r="10" ht="21" customHeight="1" s="288">
      <c r="A10" s="54" t="n"/>
      <c r="B10" s="55" t="inlineStr">
        <is>
          <t>Planta agua potable</t>
        </is>
      </c>
      <c r="C10" s="56" t="n">
        <v>45</v>
      </c>
      <c r="D10" s="451" t="n">
        <v>70</v>
      </c>
      <c r="E10" s="436" t="n">
        <v>3</v>
      </c>
      <c r="F10" s="452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>
        <f>2.2*3</f>
        <v/>
      </c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  <c r="V10" s="438" t="inlineStr">
        <is>
          <t>SIN CLASIFICAR</t>
        </is>
      </c>
      <c r="W10" s="438" t="inlineStr">
        <is>
          <t>—</t>
        </is>
      </c>
    </row>
    <row r="11" ht="21" customHeight="1" s="288">
      <c r="A11" s="54" t="n"/>
      <c r="B11" s="55" t="inlineStr">
        <is>
          <t>Caseta Planta  electrica</t>
        </is>
      </c>
      <c r="C11" s="56" t="n">
        <v>40</v>
      </c>
      <c r="D11" s="451" t="n">
        <v>70</v>
      </c>
      <c r="E11" s="436" t="n">
        <v>3</v>
      </c>
      <c r="F11" s="452" t="n"/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>
        <f>2.5*2.75</f>
        <v/>
      </c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  <c r="V11" s="438" t="inlineStr">
        <is>
          <t>SIN CLASIFICAR</t>
        </is>
      </c>
      <c r="W11" s="438" t="inlineStr">
        <is>
          <t>—</t>
        </is>
      </c>
    </row>
    <row r="12" ht="21" customHeight="1" s="288">
      <c r="A12" s="54" t="n"/>
      <c r="B12" s="55" t="inlineStr">
        <is>
          <t>Ramada Aceite</t>
        </is>
      </c>
      <c r="C12" s="56" t="n">
        <v>40</v>
      </c>
      <c r="D12" s="451" t="n">
        <v>70</v>
      </c>
      <c r="E12" s="436" t="n">
        <v>3</v>
      </c>
      <c r="F12" s="452" t="n"/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>
        <v>28.88</v>
      </c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  <c r="V12" s="438" t="inlineStr">
        <is>
          <t>SIN CLASIFICAR</t>
        </is>
      </c>
      <c r="W12" s="438" t="inlineStr">
        <is>
          <t>—</t>
        </is>
      </c>
    </row>
    <row r="13" ht="21" customHeight="1" s="288">
      <c r="A13" s="54" t="n"/>
      <c r="B13" s="55" t="inlineStr">
        <is>
          <t>Caseta de desinfección</t>
        </is>
      </c>
      <c r="C13" s="56" t="n">
        <v>40</v>
      </c>
      <c r="D13" s="451" t="n">
        <v>70</v>
      </c>
      <c r="E13" s="436" t="n">
        <v>3</v>
      </c>
      <c r="F13" s="452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>
        <f>8.1*2.5</f>
        <v/>
      </c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  <c r="V13" s="438" t="inlineStr">
        <is>
          <t>SIN CLASIFICAR</t>
        </is>
      </c>
      <c r="W13" s="438" t="inlineStr">
        <is>
          <t>—</t>
        </is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PORCION 1-2-3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PORCIÓN 1-2-3'!$B$5:$B$14,MATCH(1,'DEP PORCIÓN 1-2-3'!$Q$5:$Q$14,0))),"")</f>
        <v/>
      </c>
      <c r="C8" s="130">
        <f>IF(B8="","","m²")</f>
        <v/>
      </c>
      <c r="D8" s="127">
        <f>IF(B8="","",INDEX('DEP PORCIÓN 1-2-3'!$O$5:$O$14,MATCH(1,'DEP PORCIÓN 1-2-3'!$Q$5:$Q$14,0)))</f>
        <v/>
      </c>
      <c r="E8" s="70">
        <f>IF(B8="","",INDEX('DEP PORCIÓN 1-2-3'!$N$5:$N$14,MATCH(1,'DEP PORCIÓN 1-2-3'!$Q$5:$Q$14,0)))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PORCIÓN 1-2-3'!$B$5:$B$14,MATCH((ROWS($B$12:$B12)+1),'DEP PORCIÓN 1-2-3'!$Q$5:$Q$14,0))),"")</f>
        <v/>
      </c>
      <c r="C12" s="130">
        <f>IF(B12="","","m²")</f>
        <v/>
      </c>
      <c r="D12" s="127">
        <f>IF(B12="","",INDEX('DEP PORCIÓN 1-2-3'!$O$5:$O$14,MATCH((ROWS($B$12:$B12)+1),'DEP PORCIÓN 1-2-3'!$Q$5:$Q$14,0)))</f>
        <v/>
      </c>
      <c r="E12" s="70">
        <f>IF(B12="","",INDEX('DEP PORCIÓN 1-2-3'!$N$5:$N$14,MATCH((ROWS($B$12:$B12)+1),'DEP PORCIÓN 1-2-3'!$Q$5:$Q$14,0)))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PORCIÓN 1-2-3'!$B$5:$B$14,MATCH((ROWS($B$12:$B13)+1),'DEP PORCIÓN 1-2-3'!$Q$5:$Q$14,0))),"")</f>
        <v/>
      </c>
      <c r="C13" s="130">
        <f>IF(B13="","","m²")</f>
        <v/>
      </c>
      <c r="D13" s="127">
        <f>IF(B13="","",INDEX('DEP PORCIÓN 1-2-3'!$O$5:$O$14,MATCH((ROWS($B$12:$B13)+1),'DEP PORCIÓN 1-2-3'!$Q$5:$Q$14,0)))</f>
        <v/>
      </c>
      <c r="E13" s="70">
        <f>IF(B13="","",INDEX('DEP PORCIÓN 1-2-3'!$N$5:$N$14,MATCH((ROWS($B$12:$B13)+1),'DEP PORCIÓN 1-2-3'!$Q$5:$Q$14,0)))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PORCIÓN 1-2-3'!$B$5:$B$14,MATCH((ROWS($B$12:$B14)+1),'DEP PORCIÓN 1-2-3'!$Q$5:$Q$14,0))),"")</f>
        <v/>
      </c>
      <c r="C14" s="130">
        <f>IF(B14="","","m²")</f>
        <v/>
      </c>
      <c r="D14" s="127">
        <f>IF(B14="","",INDEX('DEP PORCIÓN 1-2-3'!$O$5:$O$14,MATCH((ROWS($B$12:$B14)+1),'DEP PORCIÓN 1-2-3'!$Q$5:$Q$14,0)))</f>
        <v/>
      </c>
      <c r="E14" s="70">
        <f>IF(B14="","",INDEX('DEP PORCIÓN 1-2-3'!$N$5:$N$14,MATCH((ROWS($B$12:$B14)+1),'DEP PORCIÓN 1-2-3'!$Q$5:$Q$14,0)))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PORCIÓN 1-2-3'!$B$5:$B$14,MATCH((ROWS($B$12:$B15)+1),'DEP PORCIÓN 1-2-3'!$Q$5:$Q$14,0))),"")</f>
        <v/>
      </c>
      <c r="C15" s="130">
        <f>IF(B15="","","m²")</f>
        <v/>
      </c>
      <c r="D15" s="127">
        <f>IF(B15="","",INDEX('DEP PORCIÓN 1-2-3'!$O$5:$O$14,MATCH((ROWS($B$12:$B15)+1),'DEP PORCIÓN 1-2-3'!$Q$5:$Q$14,0)))</f>
        <v/>
      </c>
      <c r="E15" s="70">
        <f>IF(B15="","",INDEX('DEP PORCIÓN 1-2-3'!$N$5:$N$14,MATCH((ROWS($B$12:$B15)+1),'DEP PORCIÓN 1-2-3'!$Q$5:$Q$14,0)))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PORCIÓN 1-2-3'!$B$5:$B$14,MATCH((ROWS($B$12:$B16)+1),'DEP PORCIÓN 1-2-3'!$Q$5:$Q$14,0))),"")</f>
        <v/>
      </c>
      <c r="C16" s="130">
        <f>IF(B16="","","m²")</f>
        <v/>
      </c>
      <c r="D16" s="127">
        <f>IF(B16="","",INDEX('DEP PORCIÓN 1-2-3'!$O$5:$O$14,MATCH((ROWS($B$12:$B16)+1),'DEP PORCIÓN 1-2-3'!$Q$5:$Q$14,0)))</f>
        <v/>
      </c>
      <c r="E16" s="70">
        <f>IF(B16="","",INDEX('DEP PORCIÓN 1-2-3'!$N$5:$N$14,MATCH((ROWS($B$12:$B16)+1),'DEP PORCIÓN 1-2-3'!$Q$5:$Q$14,0)))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PORCIÓN 1-2-3'!$B$5:$B$14,MATCH((ROWS($B$12:$B17)+1),'DEP PORCIÓN 1-2-3'!$Q$5:$Q$14,0))),"")</f>
        <v/>
      </c>
      <c r="C17" s="131">
        <f>IF(B17="","","m²")</f>
        <v/>
      </c>
      <c r="D17" s="128">
        <f>IF(B17="","",INDEX('DEP PORCIÓN 1-2-3'!$O$5:$O$14,MATCH((ROWS($B$12:$B17)+1),'DEP PORCIÓN 1-2-3'!$Q$5:$Q$14,0)))</f>
        <v/>
      </c>
      <c r="E17" s="129">
        <f>IF(B17="","",INDEX('DEP PORCIÓN 1-2-3'!$N$5:$N$14,MATCH((ROWS($B$12:$B17)+1),'DEP PORCIÓN 1-2-3'!$Q$5:$Q$14,0)))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PORCIÓN 1-2-3'!$B$5:$B$14,MATCH((ROWS($B$12:$B18)+1),'DEP PORCIÓN 1-2-3'!$Q$5:$Q$14,0))),"")</f>
        <v/>
      </c>
      <c r="C18" s="131">
        <f>IF(B18="","","m²")</f>
        <v/>
      </c>
      <c r="D18" s="128">
        <f>IF(B18="","",INDEX('DEP PORCIÓN 1-2-3'!$O$5:$O$14,MATCH((ROWS($B$12:$B18)+1),'DEP PORCIÓN 1-2-3'!$Q$5:$Q$14,0)))</f>
        <v/>
      </c>
      <c r="E18" s="129">
        <f>IF(B18="","",INDEX('DEP PORCIÓN 1-2-3'!$N$5:$N$14,MATCH((ROWS($B$12:$B18)+1),'DEP PORCIÓN 1-2-3'!$Q$5:$Q$14,0)))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PORCIÓN 1-2-3'!$B$5:$B$14,MATCH((ROWS($B$12:$B19)+1),'DEP PORCIÓN 1-2-3'!$Q$5:$Q$14,0))),"")</f>
        <v/>
      </c>
      <c r="C19" s="131">
        <f>IF(B19="","","m²")</f>
        <v/>
      </c>
      <c r="D19" s="128">
        <f>IF(B19="","",INDEX('DEP PORCIÓN 1-2-3'!$O$5:$O$14,MATCH((ROWS($B$12:$B19)+1),'DEP PORCIÓN 1-2-3'!$Q$5:$Q$14,0)))</f>
        <v/>
      </c>
      <c r="E19" s="129">
        <f>IF(B19="","",INDEX('DEP PORCIÓN 1-2-3'!$N$5:$N$14,MATCH((ROWS($B$12:$B19)+1),'DEP PORCIÓN 1-2-3'!$Q$5:$Q$14,0)))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PORCIÓN 1-2-3'!$B$5:$B$14,MATCH((ROWS($B$12:$B20)+1),'DEP PORCIÓN 1-2-3'!$Q$5:$Q$14,0))),"")</f>
        <v/>
      </c>
      <c r="C20" s="131">
        <f>IF(B20="","","m²")</f>
        <v/>
      </c>
      <c r="D20" s="128">
        <f>IF(B20="","",INDEX('DEP PORCIÓN 1-2-3'!$O$5:$O$14,MATCH((ROWS($B$12:$B20)+1),'DEP PORCIÓN 1-2-3'!$Q$5:$Q$14,0)))</f>
        <v/>
      </c>
      <c r="E20" s="129">
        <f>IF(B20="","",INDEX('DEP PORCIÓN 1-2-3'!$N$5:$N$14,MATCH((ROWS($B$12:$B20)+1),'DEP PORCIÓN 1-2-3'!$Q$5:$Q$14,0)))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SANTA ISABEL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Casa 1</t>
        </is>
      </c>
      <c r="C5" s="56" t="n">
        <v>30</v>
      </c>
      <c r="D5" s="56" t="n">
        <v>70</v>
      </c>
      <c r="E5" s="436" t="n">
        <v>3</v>
      </c>
      <c r="F5" s="58" t="n">
        <v>1014000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 t="n">
        <v>100</v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1004113_Residencial.Tipo_3_Menos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Casa 2</t>
        </is>
      </c>
      <c r="C6" s="56" t="n">
        <v>30</v>
      </c>
      <c r="D6" s="56" t="n">
        <v>70</v>
      </c>
      <c r="E6" s="436" t="n">
        <v>3</v>
      </c>
      <c r="F6" s="58" t="n">
        <v>1014000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 t="n">
        <v>80</v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1004113_Residencial.Tipo_3_Menos</t>
        </is>
      </c>
      <c r="W6" s="438" t="inlineStr">
        <is>
          <t>Media</t>
        </is>
      </c>
    </row>
    <row r="7" ht="21" customHeight="1" s="288">
      <c r="A7" s="54" t="n"/>
      <c r="B7" s="55" t="n"/>
      <c r="C7" s="56" t="n"/>
      <c r="D7" s="56" t="n"/>
      <c r="E7" s="436" t="n"/>
      <c r="F7" s="58" t="n"/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/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</row>
    <row r="8" ht="21" customHeight="1" s="288">
      <c r="A8" s="54" t="n"/>
      <c r="B8" s="55" t="n"/>
      <c r="C8" s="56" t="n"/>
      <c r="D8" s="56" t="n"/>
      <c r="E8" s="436" t="n"/>
      <c r="F8" s="58" t="n"/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/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</row>
    <row r="9" ht="21" customHeight="1" s="288">
      <c r="A9" s="54" t="n"/>
      <c r="B9" s="55" t="n"/>
      <c r="C9" s="56" t="n"/>
      <c r="D9" s="56" t="n"/>
      <c r="E9" s="436" t="n"/>
      <c r="F9" s="58" t="n"/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</row>
    <row r="10" ht="21" customHeight="1" s="288">
      <c r="A10" s="54" t="n"/>
      <c r="B10" s="55" t="n"/>
      <c r="C10" s="56" t="n"/>
      <c r="D10" s="56" t="n"/>
      <c r="E10" s="436" t="n"/>
      <c r="F10" s="58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/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</row>
    <row r="11" ht="21" customHeight="1" s="288">
      <c r="A11" s="54" t="n"/>
      <c r="B11" s="55" t="n"/>
      <c r="C11" s="56" t="n"/>
      <c r="D11" s="56" t="n"/>
      <c r="E11" s="436" t="n"/>
      <c r="F11" s="58" t="n"/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</row>
    <row r="12" ht="21" customHeight="1" s="288">
      <c r="A12" s="54" t="n"/>
      <c r="B12" s="55" t="n"/>
      <c r="C12" s="56" t="n"/>
      <c r="D12" s="56" t="n"/>
      <c r="E12" s="436" t="n"/>
      <c r="F12" s="58" t="n"/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/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</row>
    <row r="13" ht="21" customHeight="1" s="288">
      <c r="A13" s="54" t="n"/>
      <c r="B13" s="55" t="n"/>
      <c r="C13" s="56" t="n"/>
      <c r="D13" s="56" t="n"/>
      <c r="E13" s="436" t="n"/>
      <c r="F13" s="58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SANTA ISABEL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SANTA ISABEL'!$B$5:$B$14,MATCH(1,'DEP SANTA ISABEL'!$Q$5:$Q$14,0))),"")</f>
        <v/>
      </c>
      <c r="C8" s="130">
        <f>IF(B8="","","m²")</f>
        <v/>
      </c>
      <c r="D8" s="127">
        <f>IF(B8="","",INDEX('DEP SANTA ISABEL'!$O$5:$O$14,MATCH(1,'DEP SANTA ISABEL'!$Q$5:$Q$14,0)))</f>
        <v/>
      </c>
      <c r="E8" s="70">
        <f>IF(B8="","",INDEX('DEP SANTA ISABEL'!$N$5:$N$14,MATCH(1,'DEP SANTA ISABEL'!$Q$5:$Q$14,0)))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SANTA ISABEL'!$B$5:$B$14,MATCH((ROWS($B$12:$B12)+1),'DEP SANTA ISABEL'!$Q$5:$Q$14,0))),"")</f>
        <v/>
      </c>
      <c r="C12" s="130">
        <f>IF(B12="","","m²")</f>
        <v/>
      </c>
      <c r="D12" s="127">
        <f>IF(B12="","",INDEX('DEP SANTA ISABEL'!$O$5:$O$14,MATCH((ROWS($B$12:$B12)+1),'DEP SANTA ISABEL'!$Q$5:$Q$14,0)))</f>
        <v/>
      </c>
      <c r="E12" s="70">
        <f>IF(B12="","",INDEX('DEP SANTA ISABEL'!$N$5:$N$14,MATCH((ROWS($B$12:$B12)+1),'DEP SANTA ISABEL'!$Q$5:$Q$14,0)))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SANTA ISABEL'!$B$5:$B$14,MATCH((ROWS($B$12:$B13)+1),'DEP SANTA ISABEL'!$Q$5:$Q$14,0))),"")</f>
        <v/>
      </c>
      <c r="C13" s="130">
        <f>IF(B13="","","m²")</f>
        <v/>
      </c>
      <c r="D13" s="127">
        <f>IF(B13="","",INDEX('DEP SANTA ISABEL'!$O$5:$O$14,MATCH((ROWS($B$12:$B13)+1),'DEP SANTA ISABEL'!$Q$5:$Q$14,0)))</f>
        <v/>
      </c>
      <c r="E13" s="70">
        <f>IF(B13="","",INDEX('DEP SANTA ISABEL'!$N$5:$N$14,MATCH((ROWS($B$12:$B13)+1),'DEP SANTA ISABEL'!$Q$5:$Q$14,0)))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SANTA ISABEL'!$B$5:$B$14,MATCH((ROWS($B$12:$B14)+1),'DEP SANTA ISABEL'!$Q$5:$Q$14,0))),"")</f>
        <v/>
      </c>
      <c r="C14" s="130">
        <f>IF(B14="","","m²")</f>
        <v/>
      </c>
      <c r="D14" s="127">
        <f>IF(B14="","",INDEX('DEP SANTA ISABEL'!$O$5:$O$14,MATCH((ROWS($B$12:$B14)+1),'DEP SANTA ISABEL'!$Q$5:$Q$14,0)))</f>
        <v/>
      </c>
      <c r="E14" s="70">
        <f>IF(B14="","",INDEX('DEP SANTA ISABEL'!$N$5:$N$14,MATCH((ROWS($B$12:$B14)+1),'DEP SANTA ISABEL'!$Q$5:$Q$14,0)))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SANTA ISABEL'!$B$5:$B$14,MATCH((ROWS($B$12:$B15)+1),'DEP SANTA ISABEL'!$Q$5:$Q$14,0))),"")</f>
        <v/>
      </c>
      <c r="C15" s="130">
        <f>IF(B15="","","m²")</f>
        <v/>
      </c>
      <c r="D15" s="127">
        <f>IF(B15="","",INDEX('DEP SANTA ISABEL'!$O$5:$O$14,MATCH((ROWS($B$12:$B15)+1),'DEP SANTA ISABEL'!$Q$5:$Q$14,0)))</f>
        <v/>
      </c>
      <c r="E15" s="70">
        <f>IF(B15="","",INDEX('DEP SANTA ISABEL'!$N$5:$N$14,MATCH((ROWS($B$12:$B15)+1),'DEP SANTA ISABEL'!$Q$5:$Q$14,0)))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SANTA ISABEL'!$B$5:$B$14,MATCH((ROWS($B$12:$B16)+1),'DEP SANTA ISABEL'!$Q$5:$Q$14,0))),"")</f>
        <v/>
      </c>
      <c r="C16" s="130">
        <f>IF(B16="","","m²")</f>
        <v/>
      </c>
      <c r="D16" s="127">
        <f>IF(B16="","",INDEX('DEP SANTA ISABEL'!$O$5:$O$14,MATCH((ROWS($B$12:$B16)+1),'DEP SANTA ISABEL'!$Q$5:$Q$14,0)))</f>
        <v/>
      </c>
      <c r="E16" s="70">
        <f>IF(B16="","",INDEX('DEP SANTA ISABEL'!$N$5:$N$14,MATCH((ROWS($B$12:$B16)+1),'DEP SANTA ISABEL'!$Q$5:$Q$14,0)))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SANTA ISABEL'!$B$5:$B$14,MATCH((ROWS($B$12:$B17)+1),'DEP SANTA ISABEL'!$Q$5:$Q$14,0))),"")</f>
        <v/>
      </c>
      <c r="C17" s="131">
        <f>IF(B17="","","m²")</f>
        <v/>
      </c>
      <c r="D17" s="128">
        <f>IF(B17="","",INDEX('DEP SANTA ISABEL'!$O$5:$O$14,MATCH((ROWS($B$12:$B17)+1),'DEP SANTA ISABEL'!$Q$5:$Q$14,0)))</f>
        <v/>
      </c>
      <c r="E17" s="129">
        <f>IF(B17="","",INDEX('DEP SANTA ISABEL'!$N$5:$N$14,MATCH((ROWS($B$12:$B17)+1),'DEP SANTA ISABEL'!$Q$5:$Q$14,0)))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SANTA ISABEL'!$B$5:$B$14,MATCH((ROWS($B$12:$B18)+1),'DEP SANTA ISABEL'!$Q$5:$Q$14,0))),"")</f>
        <v/>
      </c>
      <c r="C18" s="131">
        <f>IF(B18="","","m²")</f>
        <v/>
      </c>
      <c r="D18" s="128">
        <f>IF(B18="","",INDEX('DEP SANTA ISABEL'!$O$5:$O$14,MATCH((ROWS($B$12:$B18)+1),'DEP SANTA ISABEL'!$Q$5:$Q$14,0)))</f>
        <v/>
      </c>
      <c r="E18" s="129">
        <f>IF(B18="","",INDEX('DEP SANTA ISABEL'!$N$5:$N$14,MATCH((ROWS($B$12:$B18)+1),'DEP SANTA ISABEL'!$Q$5:$Q$14,0)))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SANTA ISABEL'!$B$5:$B$14,MATCH((ROWS($B$12:$B19)+1),'DEP SANTA ISABEL'!$Q$5:$Q$14,0))),"")</f>
        <v/>
      </c>
      <c r="C19" s="131">
        <f>IF(B19="","","m²")</f>
        <v/>
      </c>
      <c r="D19" s="128">
        <f>IF(B19="","",INDEX('DEP SANTA ISABEL'!$O$5:$O$14,MATCH((ROWS($B$12:$B19)+1),'DEP SANTA ISABEL'!$Q$5:$Q$14,0)))</f>
        <v/>
      </c>
      <c r="E19" s="129">
        <f>IF(B19="","",INDEX('DEP SANTA ISABEL'!$N$5:$N$14,MATCH((ROWS($B$12:$B19)+1),'DEP SANTA ISABEL'!$Q$5:$Q$14,0)))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SANTA ISABEL'!$B$5:$B$14,MATCH((ROWS($B$12:$B20)+1),'DEP SANTA ISABEL'!$Q$5:$Q$14,0))),"")</f>
        <v/>
      </c>
      <c r="C20" s="131">
        <f>IF(B20="","","m²")</f>
        <v/>
      </c>
      <c r="D20" s="128">
        <f>IF(B20="","",INDEX('DEP SANTA ISABEL'!$O$5:$O$14,MATCH((ROWS($B$12:$B20)+1),'DEP SANTA ISABEL'!$Q$5:$Q$14,0)))</f>
        <v/>
      </c>
      <c r="E20" s="129">
        <f>IF(B20="","",INDEX('DEP SANTA ISABEL'!$N$5:$N$14,MATCH((ROWS($B$12:$B20)+1),'DEP SANTA ISABEL'!$Q$5:$Q$14,0)))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CANCÚN – parte 1 de 2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Almacen</t>
        </is>
      </c>
      <c r="C5" s="56" t="n">
        <v>15</v>
      </c>
      <c r="D5" s="56" t="n">
        <v>70</v>
      </c>
      <c r="E5" s="436" t="n">
        <v>3</v>
      </c>
      <c r="F5" s="58" t="n">
        <v>1038900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 t="n">
        <v>148.4</v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2014111_Comercial.Basico_2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Bodega Cartonera</t>
        </is>
      </c>
      <c r="C6" s="56" t="n">
        <v>20</v>
      </c>
      <c r="D6" s="56" t="n">
        <v>70</v>
      </c>
      <c r="E6" s="436" t="n">
        <v>3</v>
      </c>
      <c r="F6" s="58" t="n">
        <v>476900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 t="n">
        <v>253</v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3002311_Industrial.Liviana_1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Portería</t>
        </is>
      </c>
      <c r="C7" s="56" t="n">
        <v>18</v>
      </c>
      <c r="D7" s="451" t="n">
        <v>100</v>
      </c>
      <c r="E7" s="436" t="n">
        <v>3</v>
      </c>
      <c r="F7" s="58" t="n">
        <v>1014000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>
        <v>12.05</v>
      </c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1004113_Residencial.Tipo_3_Menos</t>
        </is>
      </c>
      <c r="W7" s="438" t="inlineStr">
        <is>
          <t>Media</t>
        </is>
      </c>
    </row>
    <row r="8" ht="21" customHeight="1" s="288">
      <c r="A8" s="54" t="n"/>
      <c r="B8" s="55" t="inlineStr">
        <is>
          <t>Comedor</t>
        </is>
      </c>
      <c r="C8" s="56" t="n">
        <v>20</v>
      </c>
      <c r="D8" s="451" t="n">
        <v>70</v>
      </c>
      <c r="E8" s="436" t="n">
        <v>2</v>
      </c>
      <c r="F8" s="58" t="n">
        <v>912600</v>
      </c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>
        <v>202.4</v>
      </c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Anexos.Ramadas_Cobertizos_Caneyes_Plus_Tipo_80</t>
        </is>
      </c>
      <c r="W8" s="438" t="inlineStr">
        <is>
          <t>Media</t>
        </is>
      </c>
    </row>
    <row r="9" ht="21" customHeight="1" s="288">
      <c r="A9" s="54" t="n"/>
      <c r="B9" s="55" t="inlineStr">
        <is>
          <t>Empacadora</t>
        </is>
      </c>
      <c r="C9" s="56" t="n">
        <v>15</v>
      </c>
      <c r="D9" s="56" t="n">
        <v>70</v>
      </c>
      <c r="E9" s="436" t="n">
        <v>2</v>
      </c>
      <c r="F9" s="58" t="n">
        <v>680600</v>
      </c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 t="n">
        <v>350</v>
      </c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Anexos.Beneficiaderos_Medio_Tipo_60</t>
        </is>
      </c>
      <c r="W9" s="438" t="inlineStr">
        <is>
          <t>Media</t>
        </is>
      </c>
    </row>
    <row r="10" ht="21" customHeight="1" s="288">
      <c r="A10" s="54" t="n"/>
      <c r="B10" s="55" t="inlineStr">
        <is>
          <t>Planta agua potable</t>
        </is>
      </c>
      <c r="C10" s="56" t="n">
        <v>15</v>
      </c>
      <c r="D10" s="451" t="n">
        <v>70</v>
      </c>
      <c r="E10" s="450" t="n">
        <v>4</v>
      </c>
      <c r="F10" s="452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>
        <v>21</v>
      </c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  <c r="V10" s="438" t="inlineStr">
        <is>
          <t>SIN CLASIFICAR</t>
        </is>
      </c>
      <c r="W10" s="438" t="inlineStr">
        <is>
          <t>—</t>
        </is>
      </c>
    </row>
    <row r="11" ht="21" customHeight="1" s="288">
      <c r="A11" s="54" t="n"/>
      <c r="B11" s="55" t="inlineStr">
        <is>
          <t>Zona de carga</t>
        </is>
      </c>
      <c r="C11" s="56" t="n">
        <v>12</v>
      </c>
      <c r="D11" s="451" t="n">
        <v>70</v>
      </c>
      <c r="E11" s="436" t="n">
        <v>2</v>
      </c>
      <c r="F11" s="58" t="n">
        <v>912600</v>
      </c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453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  <c r="V11" s="438" t="inlineStr">
        <is>
          <t>Anexos.Ramadas_Cobertizos_Caneyes_Plus_Tipo_80</t>
        </is>
      </c>
      <c r="W11" s="438" t="inlineStr">
        <is>
          <t>Media</t>
        </is>
      </c>
    </row>
    <row r="12" ht="21" customHeight="1" s="288">
      <c r="A12" s="54" t="n"/>
      <c r="B12" s="55" t="inlineStr">
        <is>
          <t>Enramada</t>
        </is>
      </c>
      <c r="C12" s="56" t="n">
        <v>10</v>
      </c>
      <c r="D12" s="451" t="n">
        <v>30</v>
      </c>
      <c r="E12" s="436" t="n">
        <v>3</v>
      </c>
      <c r="F12" s="58" t="n">
        <v>363000</v>
      </c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>
        <v>25</v>
      </c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  <c r="V12" s="438" t="inlineStr">
        <is>
          <t>Anexos.Ramadas_Cobertizos_Caneyes_Media_Tipo_60</t>
        </is>
      </c>
      <c r="W12" s="438" t="inlineStr">
        <is>
          <t>Media</t>
        </is>
      </c>
    </row>
    <row r="13" ht="21" customHeight="1" s="288">
      <c r="A13" s="54" t="n"/>
      <c r="B13" s="55" t="inlineStr">
        <is>
          <t>Caseta de desinfección</t>
        </is>
      </c>
      <c r="C13" s="56" t="n">
        <v>10</v>
      </c>
      <c r="D13" s="451" t="n">
        <v>70</v>
      </c>
      <c r="E13" s="436" t="n">
        <v>3</v>
      </c>
      <c r="F13" s="452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453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  <c r="V13" s="438" t="inlineStr">
        <is>
          <t>SIN CLASIFICAR</t>
        </is>
      </c>
      <c r="W13" s="438" t="inlineStr">
        <is>
          <t>—</t>
        </is>
      </c>
    </row>
    <row r="14" ht="21" customHeight="1" s="288">
      <c r="A14" s="54" t="n"/>
      <c r="B14" s="55" t="inlineStr">
        <is>
          <t>Enramada Combustible</t>
        </is>
      </c>
      <c r="C14" s="56" t="n">
        <v>13</v>
      </c>
      <c r="D14" s="451" t="n">
        <v>70</v>
      </c>
      <c r="E14" s="436" t="n">
        <v>3</v>
      </c>
      <c r="F14" s="452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>
        <v>51</v>
      </c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  <c r="V14" s="438" t="inlineStr">
        <is>
          <t>SIN CLASIFICAR</t>
        </is>
      </c>
      <c r="W14" s="438" t="inlineStr">
        <is>
          <t>—</t>
        </is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CANCÚN – parte 1 de 2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CANCÚN (1)'!$B$5:$B$14,MATCH(1,'DEP CANCÚN (1)'!$Q$5:$Q$14,0))),"")</f>
        <v/>
      </c>
      <c r="C8" s="130">
        <f>IF(B8="","","m²")</f>
        <v/>
      </c>
      <c r="D8" s="127">
        <f>IF(B8="","",INDEX('DEP CANCÚN (1)'!$O$5:$O$14,MATCH(1,'DEP CANCÚN (1)'!$Q$5:$Q$14,0)))</f>
        <v/>
      </c>
      <c r="E8" s="70">
        <f>IF(B8="","",INDEX('DEP CANCÚN (1)'!$N$5:$N$14,MATCH(1,'DEP CANCÚN (1)'!$Q$5:$Q$14,0)))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CANCÚN (1)'!$B$5:$B$14,MATCH((ROWS($B$12:$B12)+1),'DEP CANCÚN (1)'!$Q$5:$Q$14,0))),"")</f>
        <v/>
      </c>
      <c r="C12" s="130">
        <f>IF(B12="","","m²")</f>
        <v/>
      </c>
      <c r="D12" s="127">
        <f>IF(B12="","",INDEX('DEP CANCÚN (1)'!$O$5:$O$14,MATCH((ROWS($B$12:$B12)+1),'DEP CANCÚN (1)'!$Q$5:$Q$14,0)))</f>
        <v/>
      </c>
      <c r="E12" s="70">
        <f>IF(B12="","",INDEX('DEP CANCÚN (1)'!$N$5:$N$14,MATCH((ROWS($B$12:$B12)+1),'DEP CANCÚN (1)'!$Q$5:$Q$14,0)))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CANCÚN (1)'!$B$5:$B$14,MATCH((ROWS($B$12:$B13)+1),'DEP CANCÚN (1)'!$Q$5:$Q$14,0))),"")</f>
        <v/>
      </c>
      <c r="C13" s="130">
        <f>IF(B13="","","m²")</f>
        <v/>
      </c>
      <c r="D13" s="127">
        <f>IF(B13="","",INDEX('DEP CANCÚN (1)'!$O$5:$O$14,MATCH((ROWS($B$12:$B13)+1),'DEP CANCÚN (1)'!$Q$5:$Q$14,0)))</f>
        <v/>
      </c>
      <c r="E13" s="70">
        <f>IF(B13="","",INDEX('DEP CANCÚN (1)'!$N$5:$N$14,MATCH((ROWS($B$12:$B13)+1),'DEP CANCÚN (1)'!$Q$5:$Q$14,0)))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CANCÚN (1)'!$B$5:$B$14,MATCH((ROWS($B$12:$B14)+1),'DEP CANCÚN (1)'!$Q$5:$Q$14,0))),"")</f>
        <v/>
      </c>
      <c r="C14" s="130">
        <f>IF(B14="","","m²")</f>
        <v/>
      </c>
      <c r="D14" s="127">
        <f>IF(B14="","",INDEX('DEP CANCÚN (1)'!$O$5:$O$14,MATCH((ROWS($B$12:$B14)+1),'DEP CANCÚN (1)'!$Q$5:$Q$14,0)))</f>
        <v/>
      </c>
      <c r="E14" s="70">
        <f>IF(B14="","",INDEX('DEP CANCÚN (1)'!$N$5:$N$14,MATCH((ROWS($B$12:$B14)+1),'DEP CANCÚN (1)'!$Q$5:$Q$14,0)))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CANCÚN (1)'!$B$5:$B$14,MATCH((ROWS($B$12:$B15)+1),'DEP CANCÚN (1)'!$Q$5:$Q$14,0))),"")</f>
        <v/>
      </c>
      <c r="C15" s="130">
        <f>IF(B15="","","m²")</f>
        <v/>
      </c>
      <c r="D15" s="127">
        <f>IF(B15="","",INDEX('DEP CANCÚN (1)'!$O$5:$O$14,MATCH((ROWS($B$12:$B15)+1),'DEP CANCÚN (1)'!$Q$5:$Q$14,0)))</f>
        <v/>
      </c>
      <c r="E15" s="70">
        <f>IF(B15="","",INDEX('DEP CANCÚN (1)'!$N$5:$N$14,MATCH((ROWS($B$12:$B15)+1),'DEP CANCÚN (1)'!$Q$5:$Q$14,0)))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CANCÚN (1)'!$B$5:$B$14,MATCH((ROWS($B$12:$B16)+1),'DEP CANCÚN (1)'!$Q$5:$Q$14,0))),"")</f>
        <v/>
      </c>
      <c r="C16" s="130">
        <f>IF(B16="","","m²")</f>
        <v/>
      </c>
      <c r="D16" s="127">
        <f>IF(B16="","",INDEX('DEP CANCÚN (1)'!$O$5:$O$14,MATCH((ROWS($B$12:$B16)+1),'DEP CANCÚN (1)'!$Q$5:$Q$14,0)))</f>
        <v/>
      </c>
      <c r="E16" s="70">
        <f>IF(B16="","",INDEX('DEP CANCÚN (1)'!$N$5:$N$14,MATCH((ROWS($B$12:$B16)+1),'DEP CANCÚN (1)'!$Q$5:$Q$14,0)))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CANCÚN (1)'!$B$5:$B$14,MATCH((ROWS($B$12:$B17)+1),'DEP CANCÚN (1)'!$Q$5:$Q$14,0))),"")</f>
        <v/>
      </c>
      <c r="C17" s="131">
        <f>IF(B17="","","m²")</f>
        <v/>
      </c>
      <c r="D17" s="128">
        <f>IF(B17="","",INDEX('DEP CANCÚN (1)'!$O$5:$O$14,MATCH((ROWS($B$12:$B17)+1),'DEP CANCÚN (1)'!$Q$5:$Q$14,0)))</f>
        <v/>
      </c>
      <c r="E17" s="129">
        <f>IF(B17="","",INDEX('DEP CANCÚN (1)'!$N$5:$N$14,MATCH((ROWS($B$12:$B17)+1),'DEP CANCÚN (1)'!$Q$5:$Q$14,0)))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CANCÚN (1)'!$B$5:$B$14,MATCH((ROWS($B$12:$B18)+1),'DEP CANCÚN (1)'!$Q$5:$Q$14,0))),"")</f>
        <v/>
      </c>
      <c r="C18" s="131">
        <f>IF(B18="","","m²")</f>
        <v/>
      </c>
      <c r="D18" s="128">
        <f>IF(B18="","",INDEX('DEP CANCÚN (1)'!$O$5:$O$14,MATCH((ROWS($B$12:$B18)+1),'DEP CANCÚN (1)'!$Q$5:$Q$14,0)))</f>
        <v/>
      </c>
      <c r="E18" s="129">
        <f>IF(B18="","",INDEX('DEP CANCÚN (1)'!$N$5:$N$14,MATCH((ROWS($B$12:$B18)+1),'DEP CANCÚN (1)'!$Q$5:$Q$14,0)))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CANCÚN (1)'!$B$5:$B$14,MATCH((ROWS($B$12:$B19)+1),'DEP CANCÚN (1)'!$Q$5:$Q$14,0))),"")</f>
        <v/>
      </c>
      <c r="C19" s="131">
        <f>IF(B19="","","m²")</f>
        <v/>
      </c>
      <c r="D19" s="128">
        <f>IF(B19="","",INDEX('DEP CANCÚN (1)'!$O$5:$O$14,MATCH((ROWS($B$12:$B19)+1),'DEP CANCÚN (1)'!$Q$5:$Q$14,0)))</f>
        <v/>
      </c>
      <c r="E19" s="129">
        <f>IF(B19="","",INDEX('DEP CANCÚN (1)'!$N$5:$N$14,MATCH((ROWS($B$12:$B19)+1),'DEP CANCÚN (1)'!$Q$5:$Q$14,0)))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CANCÚN (1)'!$B$5:$B$14,MATCH((ROWS($B$12:$B20)+1),'DEP CANCÚN (1)'!$Q$5:$Q$14,0))),"")</f>
        <v/>
      </c>
      <c r="C20" s="131">
        <f>IF(B20="","","m²")</f>
        <v/>
      </c>
      <c r="D20" s="128">
        <f>IF(B20="","",INDEX('DEP CANCÚN (1)'!$O$5:$O$14,MATCH((ROWS($B$12:$B20)+1),'DEP CANCÚN (1)'!$Q$5:$Q$14,0)))</f>
        <v/>
      </c>
      <c r="E20" s="129">
        <f>IF(B20="","",INDEX('DEP CANCÚN (1)'!$N$5:$N$14,MATCH((ROWS($B$12:$B20)+1),'DEP CANCÚN (1)'!$Q$5:$Q$14,0)))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CANCÚN – parte 2 de 2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Baños</t>
        </is>
      </c>
      <c r="C5" s="56" t="n">
        <v>13</v>
      </c>
      <c r="D5" s="56" t="n">
        <v>70</v>
      </c>
      <c r="E5" s="436" t="n">
        <v>2</v>
      </c>
      <c r="F5" s="58" t="n">
        <v>1241200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454" t="n"/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Anexos.Baños_2</t>
        </is>
      </c>
      <c r="W5" s="438" t="inlineStr">
        <is>
          <t>Media</t>
        </is>
      </c>
    </row>
    <row r="6" ht="21" customHeight="1" s="288">
      <c r="A6" s="54" t="n"/>
      <c r="B6" s="55" t="n"/>
      <c r="C6" s="56" t="n"/>
      <c r="D6" s="56" t="n"/>
      <c r="E6" s="436" t="n"/>
      <c r="F6" s="58" t="n"/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 t="n"/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</row>
    <row r="7" ht="21" customHeight="1" s="288">
      <c r="A7" s="54" t="n"/>
      <c r="B7" s="55" t="n"/>
      <c r="C7" s="56" t="n"/>
      <c r="D7" s="56" t="n"/>
      <c r="E7" s="436" t="n"/>
      <c r="F7" s="58" t="n"/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/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</row>
    <row r="8" ht="21" customHeight="1" s="288">
      <c r="A8" s="54" t="n"/>
      <c r="B8" s="55" t="n"/>
      <c r="C8" s="56" t="n"/>
      <c r="D8" s="56" t="n"/>
      <c r="E8" s="436" t="n"/>
      <c r="F8" s="58" t="n"/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/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</row>
    <row r="9" ht="21" customHeight="1" s="288">
      <c r="A9" s="54" t="n"/>
      <c r="B9" s="55" t="n"/>
      <c r="C9" s="56" t="n"/>
      <c r="D9" s="56" t="n"/>
      <c r="E9" s="436" t="n"/>
      <c r="F9" s="58" t="n"/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</row>
    <row r="10" ht="21" customHeight="1" s="288">
      <c r="A10" s="54" t="n"/>
      <c r="B10" s="55" t="n"/>
      <c r="C10" s="56" t="n"/>
      <c r="D10" s="56" t="n"/>
      <c r="E10" s="436" t="n"/>
      <c r="F10" s="58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/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</row>
    <row r="11" ht="21" customHeight="1" s="288">
      <c r="A11" s="54" t="n"/>
      <c r="B11" s="55" t="n"/>
      <c r="C11" s="56" t="n"/>
      <c r="D11" s="56" t="n"/>
      <c r="E11" s="436" t="n"/>
      <c r="F11" s="58" t="n"/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</row>
    <row r="12" ht="21" customHeight="1" s="288">
      <c r="A12" s="54" t="n"/>
      <c r="B12" s="55" t="n"/>
      <c r="C12" s="56" t="n"/>
      <c r="D12" s="56" t="n"/>
      <c r="E12" s="436" t="n"/>
      <c r="F12" s="58" t="n"/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/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</row>
    <row r="13" ht="21" customHeight="1" s="288">
      <c r="A13" s="54" t="n"/>
      <c r="B13" s="55" t="n"/>
      <c r="C13" s="56" t="n"/>
      <c r="D13" s="56" t="n"/>
      <c r="E13" s="436" t="n"/>
      <c r="F13" s="58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CANCÚN – parte 2 de 2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CONSTRUCCIONES (CONTINUACIÓN DE LA HOJA ANTERIOR)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CANCÚN (2)'!$B$5:$B$14,MATCH(1,'DEP CANCÚN (2)'!$Q$5:$Q$14,0))),"")</f>
        <v/>
      </c>
      <c r="C8" s="130">
        <f>IF(B8="","","m²")</f>
        <v/>
      </c>
      <c r="D8" s="127">
        <f>IF(B8="","",INDEX('DEP CANCÚN (2)'!$O$5:$O$14,MATCH(1,'DEP CANCÚN (2)'!$Q$5:$Q$14,0)))</f>
        <v/>
      </c>
      <c r="E8" s="70">
        <f>IF(B8="","",INDEX('DEP CANCÚN (2)'!$N$5:$N$14,MATCH(1,'DEP CANCÚN (2)'!$Q$5:$Q$14,0)))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CANCÚN (2)'!$B$5:$B$14,MATCH((ROWS($B$12:$B12)+1),'DEP CANCÚN (2)'!$Q$5:$Q$14,0))),"")</f>
        <v/>
      </c>
      <c r="C12" s="130">
        <f>IF(B12="","","m²")</f>
        <v/>
      </c>
      <c r="D12" s="127">
        <f>IF(B12="","",INDEX('DEP CANCÚN (2)'!$O$5:$O$14,MATCH((ROWS($B$12:$B12)+1),'DEP CANCÚN (2)'!$Q$5:$Q$14,0)))</f>
        <v/>
      </c>
      <c r="E12" s="70">
        <f>IF(B12="","",INDEX('DEP CANCÚN (2)'!$N$5:$N$14,MATCH((ROWS($B$12:$B12)+1),'DEP CANCÚN (2)'!$Q$5:$Q$14,0)))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CANCÚN (2)'!$B$5:$B$14,MATCH((ROWS($B$12:$B13)+1),'DEP CANCÚN (2)'!$Q$5:$Q$14,0))),"")</f>
        <v/>
      </c>
      <c r="C13" s="130">
        <f>IF(B13="","","m²")</f>
        <v/>
      </c>
      <c r="D13" s="127">
        <f>IF(B13="","",INDEX('DEP CANCÚN (2)'!$O$5:$O$14,MATCH((ROWS($B$12:$B13)+1),'DEP CANCÚN (2)'!$Q$5:$Q$14,0)))</f>
        <v/>
      </c>
      <c r="E13" s="70">
        <f>IF(B13="","",INDEX('DEP CANCÚN (2)'!$N$5:$N$14,MATCH((ROWS($B$12:$B13)+1),'DEP CANCÚN (2)'!$Q$5:$Q$14,0)))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CANCÚN (2)'!$B$5:$B$14,MATCH((ROWS($B$12:$B14)+1),'DEP CANCÚN (2)'!$Q$5:$Q$14,0))),"")</f>
        <v/>
      </c>
      <c r="C14" s="130">
        <f>IF(B14="","","m²")</f>
        <v/>
      </c>
      <c r="D14" s="127">
        <f>IF(B14="","",INDEX('DEP CANCÚN (2)'!$O$5:$O$14,MATCH((ROWS($B$12:$B14)+1),'DEP CANCÚN (2)'!$Q$5:$Q$14,0)))</f>
        <v/>
      </c>
      <c r="E14" s="70">
        <f>IF(B14="","",INDEX('DEP CANCÚN (2)'!$N$5:$N$14,MATCH((ROWS($B$12:$B14)+1),'DEP CANCÚN (2)'!$Q$5:$Q$14,0)))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CANCÚN (2)'!$B$5:$B$14,MATCH((ROWS($B$12:$B15)+1),'DEP CANCÚN (2)'!$Q$5:$Q$14,0))),"")</f>
        <v/>
      </c>
      <c r="C15" s="130">
        <f>IF(B15="","","m²")</f>
        <v/>
      </c>
      <c r="D15" s="127">
        <f>IF(B15="","",INDEX('DEP CANCÚN (2)'!$O$5:$O$14,MATCH((ROWS($B$12:$B15)+1),'DEP CANCÚN (2)'!$Q$5:$Q$14,0)))</f>
        <v/>
      </c>
      <c r="E15" s="70">
        <f>IF(B15="","",INDEX('DEP CANCÚN (2)'!$N$5:$N$14,MATCH((ROWS($B$12:$B15)+1),'DEP CANCÚN (2)'!$Q$5:$Q$14,0)))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CANCÚN (2)'!$B$5:$B$14,MATCH((ROWS($B$12:$B16)+1),'DEP CANCÚN (2)'!$Q$5:$Q$14,0))),"")</f>
        <v/>
      </c>
      <c r="C16" s="130">
        <f>IF(B16="","","m²")</f>
        <v/>
      </c>
      <c r="D16" s="127">
        <f>IF(B16="","",INDEX('DEP CANCÚN (2)'!$O$5:$O$14,MATCH((ROWS($B$12:$B16)+1),'DEP CANCÚN (2)'!$Q$5:$Q$14,0)))</f>
        <v/>
      </c>
      <c r="E16" s="70">
        <f>IF(B16="","",INDEX('DEP CANCÚN (2)'!$N$5:$N$14,MATCH((ROWS($B$12:$B16)+1),'DEP CANCÚN (2)'!$Q$5:$Q$14,0)))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CANCÚN (2)'!$B$5:$B$14,MATCH((ROWS($B$12:$B17)+1),'DEP CANCÚN (2)'!$Q$5:$Q$14,0))),"")</f>
        <v/>
      </c>
      <c r="C17" s="131">
        <f>IF(B17="","","m²")</f>
        <v/>
      </c>
      <c r="D17" s="128">
        <f>IF(B17="","",INDEX('DEP CANCÚN (2)'!$O$5:$O$14,MATCH((ROWS($B$12:$B17)+1),'DEP CANCÚN (2)'!$Q$5:$Q$14,0)))</f>
        <v/>
      </c>
      <c r="E17" s="129">
        <f>IF(B17="","",INDEX('DEP CANCÚN (2)'!$N$5:$N$14,MATCH((ROWS($B$12:$B17)+1),'DEP CANCÚN (2)'!$Q$5:$Q$14,0)))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CANCÚN (2)'!$B$5:$B$14,MATCH((ROWS($B$12:$B18)+1),'DEP CANCÚN (2)'!$Q$5:$Q$14,0))),"")</f>
        <v/>
      </c>
      <c r="C18" s="131">
        <f>IF(B18="","","m²")</f>
        <v/>
      </c>
      <c r="D18" s="128">
        <f>IF(B18="","",INDEX('DEP CANCÚN (2)'!$O$5:$O$14,MATCH((ROWS($B$12:$B18)+1),'DEP CANCÚN (2)'!$Q$5:$Q$14,0)))</f>
        <v/>
      </c>
      <c r="E18" s="129">
        <f>IF(B18="","",INDEX('DEP CANCÚN (2)'!$N$5:$N$14,MATCH((ROWS($B$12:$B18)+1),'DEP CANCÚN (2)'!$Q$5:$Q$14,0)))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CANCÚN (2)'!$B$5:$B$14,MATCH((ROWS($B$12:$B19)+1),'DEP CANCÚN (2)'!$Q$5:$Q$14,0))),"")</f>
        <v/>
      </c>
      <c r="C19" s="131">
        <f>IF(B19="","","m²")</f>
        <v/>
      </c>
      <c r="D19" s="128">
        <f>IF(B19="","",INDEX('DEP CANCÚN (2)'!$O$5:$O$14,MATCH((ROWS($B$12:$B19)+1),'DEP CANCÚN (2)'!$Q$5:$Q$14,0)))</f>
        <v/>
      </c>
      <c r="E19" s="129">
        <f>IF(B19="","",INDEX('DEP CANCÚN (2)'!$N$5:$N$14,MATCH((ROWS($B$12:$B19)+1),'DEP CANCÚN (2)'!$Q$5:$Q$14,0)))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CANCÚN (2)'!$B$5:$B$14,MATCH((ROWS($B$12:$B20)+1),'DEP CANCÚN (2)'!$Q$5:$Q$14,0))),"")</f>
        <v/>
      </c>
      <c r="C20" s="131">
        <f>IF(B20="","","m²")</f>
        <v/>
      </c>
      <c r="D20" s="128">
        <f>IF(B20="","",INDEX('DEP CANCÚN (2)'!$O$5:$O$14,MATCH((ROWS($B$12:$B20)+1),'DEP CANCÚN (2)'!$Q$5:$Q$14,0)))</f>
        <v/>
      </c>
      <c r="E20" s="129">
        <f>IF(B20="","",INDEX('DEP CANCÚN (2)'!$N$5:$N$14,MATCH((ROWS($B$12:$B20)+1),'DEP CANCÚN (2)'!$Q$5:$Q$14,0)))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CIMARRONA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Casa 1</t>
        </is>
      </c>
      <c r="C5" s="56" t="n">
        <v>47</v>
      </c>
      <c r="D5" s="56" t="n">
        <v>70</v>
      </c>
      <c r="E5" s="436" t="n">
        <v>3.5</v>
      </c>
      <c r="F5" s="58" t="n">
        <v>1131400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 t="n">
        <v>442</v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1014113_Residencial.Tipo_3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Comedor</t>
        </is>
      </c>
      <c r="C6" s="56" t="n">
        <v>45</v>
      </c>
      <c r="D6" s="56" t="n">
        <v>70</v>
      </c>
      <c r="E6" s="436" t="n">
        <v>4</v>
      </c>
      <c r="F6" s="58" t="n">
        <v>1014000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 t="n">
        <v>93.5</v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1004113_Residencial.Tipo_3_Menos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Comedor 2</t>
        </is>
      </c>
      <c r="C7" s="56" t="n">
        <v>35</v>
      </c>
      <c r="D7" s="56" t="n">
        <v>70</v>
      </c>
      <c r="E7" s="436" t="n">
        <v>3</v>
      </c>
      <c r="F7" s="58" t="n">
        <v>912600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>
        <v>160</v>
      </c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Anexos.Ramadas_Cobertizos_Caneyes_Plus_Tipo_80</t>
        </is>
      </c>
      <c r="W7" s="438" t="inlineStr">
        <is>
          <t>Media</t>
        </is>
      </c>
    </row>
    <row r="8" ht="21" customHeight="1" s="288">
      <c r="A8" s="54" t="n"/>
      <c r="B8" s="55" t="inlineStr">
        <is>
          <t>Comedor casa principal</t>
        </is>
      </c>
      <c r="C8" s="56" t="n">
        <v>43</v>
      </c>
      <c r="D8" s="56" t="n">
        <v>70</v>
      </c>
      <c r="E8" s="436" t="n">
        <v>3</v>
      </c>
      <c r="F8" s="58" t="n">
        <v>1014000</v>
      </c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455" t="n"/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1004113_Residencial.Tipo_3_Menos</t>
        </is>
      </c>
      <c r="W8" s="438" t="inlineStr">
        <is>
          <t>Baja</t>
        </is>
      </c>
    </row>
    <row r="9" ht="21" customHeight="1" s="288">
      <c r="A9" s="54" t="n"/>
      <c r="B9" s="55" t="inlineStr">
        <is>
          <t>Empacadora</t>
        </is>
      </c>
      <c r="C9" s="56" t="n">
        <v>45</v>
      </c>
      <c r="D9" s="56" t="n">
        <v>70</v>
      </c>
      <c r="E9" s="436" t="n">
        <v>4</v>
      </c>
      <c r="F9" s="58" t="n">
        <v>476900</v>
      </c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453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3002311_Industrial.Liviana_1</t>
        </is>
      </c>
      <c r="W9" s="438" t="inlineStr">
        <is>
          <t>Media</t>
        </is>
      </c>
    </row>
    <row r="10" ht="21" customHeight="1" s="288">
      <c r="A10" s="54" t="n"/>
      <c r="B10" s="55" t="inlineStr">
        <is>
          <t>Bodega</t>
        </is>
      </c>
      <c r="C10" s="56" t="n">
        <v>39</v>
      </c>
      <c r="D10" s="56" t="n">
        <v>70</v>
      </c>
      <c r="E10" s="436" t="n">
        <v>4</v>
      </c>
      <c r="F10" s="58" t="n">
        <v>767900</v>
      </c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>
        <v>20</v>
      </c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  <c r="V10" s="438" t="inlineStr">
        <is>
          <t>Anexos.Depósitos_1</t>
        </is>
      </c>
      <c r="W10" s="438" t="inlineStr">
        <is>
          <t>Media</t>
        </is>
      </c>
    </row>
    <row r="11" ht="21" customHeight="1" s="288">
      <c r="A11" s="54" t="n"/>
      <c r="B11" s="55" t="inlineStr">
        <is>
          <t>Bodega cartonera</t>
        </is>
      </c>
      <c r="C11" s="56" t="n">
        <v>40</v>
      </c>
      <c r="D11" s="56" t="n">
        <v>50</v>
      </c>
      <c r="E11" s="436" t="n">
        <v>3.5</v>
      </c>
      <c r="F11" s="58" t="n">
        <v>476900</v>
      </c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453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  <c r="V11" s="438" t="inlineStr">
        <is>
          <t>3002311_Industrial.Liviana_1</t>
        </is>
      </c>
      <c r="W11" s="438" t="inlineStr">
        <is>
          <t>Media</t>
        </is>
      </c>
    </row>
    <row r="12" ht="21" customHeight="1" s="288">
      <c r="A12" s="54" t="n"/>
      <c r="B12" s="55" t="inlineStr">
        <is>
          <t>Caseta del gas</t>
        </is>
      </c>
      <c r="C12" s="56" t="n">
        <v>40</v>
      </c>
      <c r="D12" s="451" t="n">
        <v>70</v>
      </c>
      <c r="E12" s="436" t="n">
        <v>3</v>
      </c>
      <c r="F12" s="58" t="n">
        <v>767900</v>
      </c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>
        <v>9</v>
      </c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  <c r="V12" s="438" t="inlineStr">
        <is>
          <t>Anexos.Depósitos_1</t>
        </is>
      </c>
      <c r="W12" s="438" t="inlineStr">
        <is>
          <t>Media</t>
        </is>
      </c>
    </row>
    <row r="13" ht="21" customHeight="1" s="288">
      <c r="A13" s="54" t="n"/>
      <c r="B13" s="55" t="inlineStr">
        <is>
          <t>Comedor empacadora</t>
        </is>
      </c>
      <c r="C13" s="56" t="n">
        <v>40</v>
      </c>
      <c r="D13" s="451" t="n">
        <v>70</v>
      </c>
      <c r="E13" s="436" t="n">
        <v>3</v>
      </c>
      <c r="F13" s="58" t="n">
        <v>363000</v>
      </c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453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  <c r="V13" s="438" t="inlineStr">
        <is>
          <t>Anexos.Ramadas_Cobertizos_Caneyes_Media_Tipo_60</t>
        </is>
      </c>
      <c r="W13" s="438" t="inlineStr">
        <is>
          <t>Media</t>
        </is>
      </c>
    </row>
    <row r="14" ht="21" customHeight="1" s="288">
      <c r="A14" s="54" t="n"/>
      <c r="B14" s="55" t="inlineStr">
        <is>
          <t>Baños</t>
        </is>
      </c>
      <c r="C14" s="56" t="n">
        <v>41</v>
      </c>
      <c r="D14" s="56" t="n">
        <v>70</v>
      </c>
      <c r="E14" s="436" t="n">
        <v>3</v>
      </c>
      <c r="F14" s="58" t="n">
        <v>930700</v>
      </c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453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  <c r="V14" s="438" t="inlineStr">
        <is>
          <t>Anexos.Baños_1</t>
        </is>
      </c>
      <c r="W14" s="438" t="inlineStr">
        <is>
          <t>Baja</t>
        </is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CIMARRONA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CIMARRONA'!$B$5:$B$14,MATCH(1,'DEP CIMARRONA'!$Q$5:$Q$14,0))),"")</f>
        <v/>
      </c>
      <c r="C8" s="130">
        <f>IF(B8="","","m²")</f>
        <v/>
      </c>
      <c r="D8" s="127">
        <f>IF(B8="","",INDEX('DEP CIMARRONA'!$O$5:$O$14,MATCH(1,'DEP CIMARRONA'!$Q$5:$Q$14,0)))</f>
        <v/>
      </c>
      <c r="E8" s="70">
        <f>IF(B8="","",INDEX('DEP CIMARRONA'!$N$5:$N$14,MATCH(1,'DEP CIMARRONA'!$Q$5:$Q$14,0)))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CIMARRONA'!$B$5:$B$14,MATCH((ROWS($B$12:$B12)+1),'DEP CIMARRONA'!$Q$5:$Q$14,0))),"")</f>
        <v/>
      </c>
      <c r="C12" s="130">
        <f>IF(B12="","","m²")</f>
        <v/>
      </c>
      <c r="D12" s="127">
        <f>IF(B12="","",INDEX('DEP CIMARRONA'!$O$5:$O$14,MATCH((ROWS($B$12:$B12)+1),'DEP CIMARRONA'!$Q$5:$Q$14,0)))</f>
        <v/>
      </c>
      <c r="E12" s="70">
        <f>IF(B12="","",INDEX('DEP CIMARRONA'!$N$5:$N$14,MATCH((ROWS($B$12:$B12)+1),'DEP CIMARRONA'!$Q$5:$Q$14,0)))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CIMARRONA'!$B$5:$B$14,MATCH((ROWS($B$12:$B13)+1),'DEP CIMARRONA'!$Q$5:$Q$14,0))),"")</f>
        <v/>
      </c>
      <c r="C13" s="130">
        <f>IF(B13="","","m²")</f>
        <v/>
      </c>
      <c r="D13" s="127">
        <f>IF(B13="","",INDEX('DEP CIMARRONA'!$O$5:$O$14,MATCH((ROWS($B$12:$B13)+1),'DEP CIMARRONA'!$Q$5:$Q$14,0)))</f>
        <v/>
      </c>
      <c r="E13" s="70">
        <f>IF(B13="","",INDEX('DEP CIMARRONA'!$N$5:$N$14,MATCH((ROWS($B$12:$B13)+1),'DEP CIMARRONA'!$Q$5:$Q$14,0)))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CIMARRONA'!$B$5:$B$14,MATCH((ROWS($B$12:$B14)+1),'DEP CIMARRONA'!$Q$5:$Q$14,0))),"")</f>
        <v/>
      </c>
      <c r="C14" s="130">
        <f>IF(B14="","","m²")</f>
        <v/>
      </c>
      <c r="D14" s="127">
        <f>IF(B14="","",INDEX('DEP CIMARRONA'!$O$5:$O$14,MATCH((ROWS($B$12:$B14)+1),'DEP CIMARRONA'!$Q$5:$Q$14,0)))</f>
        <v/>
      </c>
      <c r="E14" s="70">
        <f>IF(B14="","",INDEX('DEP CIMARRONA'!$N$5:$N$14,MATCH((ROWS($B$12:$B14)+1),'DEP CIMARRONA'!$Q$5:$Q$14,0)))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CIMARRONA'!$B$5:$B$14,MATCH((ROWS($B$12:$B15)+1),'DEP CIMARRONA'!$Q$5:$Q$14,0))),"")</f>
        <v/>
      </c>
      <c r="C15" s="130">
        <f>IF(B15="","","m²")</f>
        <v/>
      </c>
      <c r="D15" s="127">
        <f>IF(B15="","",INDEX('DEP CIMARRONA'!$O$5:$O$14,MATCH((ROWS($B$12:$B15)+1),'DEP CIMARRONA'!$Q$5:$Q$14,0)))</f>
        <v/>
      </c>
      <c r="E15" s="70">
        <f>IF(B15="","",INDEX('DEP CIMARRONA'!$N$5:$N$14,MATCH((ROWS($B$12:$B15)+1),'DEP CIMARRONA'!$Q$5:$Q$14,0)))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CIMARRONA'!$B$5:$B$14,MATCH((ROWS($B$12:$B16)+1),'DEP CIMARRONA'!$Q$5:$Q$14,0))),"")</f>
        <v/>
      </c>
      <c r="C16" s="130">
        <f>IF(B16="","","m²")</f>
        <v/>
      </c>
      <c r="D16" s="127">
        <f>IF(B16="","",INDEX('DEP CIMARRONA'!$O$5:$O$14,MATCH((ROWS($B$12:$B16)+1),'DEP CIMARRONA'!$Q$5:$Q$14,0)))</f>
        <v/>
      </c>
      <c r="E16" s="70">
        <f>IF(B16="","",INDEX('DEP CIMARRONA'!$N$5:$N$14,MATCH((ROWS($B$12:$B16)+1),'DEP CIMARRONA'!$Q$5:$Q$14,0)))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CIMARRONA'!$B$5:$B$14,MATCH((ROWS($B$12:$B17)+1),'DEP CIMARRONA'!$Q$5:$Q$14,0))),"")</f>
        <v/>
      </c>
      <c r="C17" s="131">
        <f>IF(B17="","","m²")</f>
        <v/>
      </c>
      <c r="D17" s="128">
        <f>IF(B17="","",INDEX('DEP CIMARRONA'!$O$5:$O$14,MATCH((ROWS($B$12:$B17)+1),'DEP CIMARRONA'!$Q$5:$Q$14,0)))</f>
        <v/>
      </c>
      <c r="E17" s="129">
        <f>IF(B17="","",INDEX('DEP CIMARRONA'!$N$5:$N$14,MATCH((ROWS($B$12:$B17)+1),'DEP CIMARRONA'!$Q$5:$Q$14,0)))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CIMARRONA'!$B$5:$B$14,MATCH((ROWS($B$12:$B18)+1),'DEP CIMARRONA'!$Q$5:$Q$14,0))),"")</f>
        <v/>
      </c>
      <c r="C18" s="131">
        <f>IF(B18="","","m²")</f>
        <v/>
      </c>
      <c r="D18" s="128">
        <f>IF(B18="","",INDEX('DEP CIMARRONA'!$O$5:$O$14,MATCH((ROWS($B$12:$B18)+1),'DEP CIMARRONA'!$Q$5:$Q$14,0)))</f>
        <v/>
      </c>
      <c r="E18" s="129">
        <f>IF(B18="","",INDEX('DEP CIMARRONA'!$N$5:$N$14,MATCH((ROWS($B$12:$B18)+1),'DEP CIMARRONA'!$Q$5:$Q$14,0)))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CIMARRONA'!$B$5:$B$14,MATCH((ROWS($B$12:$B19)+1),'DEP CIMARRONA'!$Q$5:$Q$14,0))),"")</f>
        <v/>
      </c>
      <c r="C19" s="131">
        <f>IF(B19="","","m²")</f>
        <v/>
      </c>
      <c r="D19" s="128">
        <f>IF(B19="","",INDEX('DEP CIMARRONA'!$O$5:$O$14,MATCH((ROWS($B$12:$B19)+1),'DEP CIMARRONA'!$Q$5:$Q$14,0)))</f>
        <v/>
      </c>
      <c r="E19" s="129">
        <f>IF(B19="","",INDEX('DEP CIMARRONA'!$N$5:$N$14,MATCH((ROWS($B$12:$B19)+1),'DEP CIMARRONA'!$Q$5:$Q$14,0)))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CIMARRONA'!$B$5:$B$14,MATCH((ROWS($B$12:$B20)+1),'DEP CIMARRONA'!$Q$5:$Q$14,0))),"")</f>
        <v/>
      </c>
      <c r="C20" s="131">
        <f>IF(B20="","","m²")</f>
        <v/>
      </c>
      <c r="D20" s="128">
        <f>IF(B20="","",INDEX('DEP CIMARRONA'!$O$5:$O$14,MATCH((ROWS($B$12:$B20)+1),'DEP CIMARRONA'!$Q$5:$Q$14,0)))</f>
        <v/>
      </c>
      <c r="E20" s="129">
        <f>IF(B20="","",INDEX('DEP CIMARRONA'!$N$5:$N$14,MATCH((ROWS($B$12:$B20)+1),'DEP CIMARRONA'!$Q$5:$Q$14,0)))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CARI CARI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Casa 1</t>
        </is>
      </c>
      <c r="C5" s="56" t="n">
        <v>45</v>
      </c>
      <c r="D5" s="56" t="n">
        <v>70</v>
      </c>
      <c r="E5" s="436" t="n">
        <v>4</v>
      </c>
      <c r="F5" s="58" t="n">
        <v>1014000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 t="n">
        <v>161.5</v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1004113_Residencial.Tipo_3_Menos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Casa 2</t>
        </is>
      </c>
      <c r="C6" s="56" t="n">
        <v>30</v>
      </c>
      <c r="D6" s="56" t="n">
        <v>70</v>
      </c>
      <c r="E6" s="436" t="n">
        <v>4</v>
      </c>
      <c r="F6" s="58" t="n">
        <v>1014000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 t="n">
        <v>25.5</v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1004113_Residencial.Tipo_3_Menos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Comedor</t>
        </is>
      </c>
      <c r="C7" s="56" t="n">
        <v>30</v>
      </c>
      <c r="D7" s="56" t="n">
        <v>70</v>
      </c>
      <c r="E7" s="436" t="n">
        <v>4</v>
      </c>
      <c r="F7" s="58" t="n">
        <v>605900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>
        <v>75</v>
      </c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Anexos.Kioscos_Medio_Tipo_60</t>
        </is>
      </c>
      <c r="W7" s="438" t="inlineStr">
        <is>
          <t>Baja</t>
        </is>
      </c>
    </row>
    <row r="8" ht="21" customHeight="1" s="288">
      <c r="A8" s="54" t="n"/>
      <c r="B8" s="55" t="inlineStr">
        <is>
          <t>Baño - Tanque</t>
        </is>
      </c>
      <c r="C8" s="56" t="n">
        <v>30</v>
      </c>
      <c r="D8" s="56" t="n">
        <v>70</v>
      </c>
      <c r="E8" s="436" t="n">
        <v>4</v>
      </c>
      <c r="F8" s="452" t="n"/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>
        <v>21.6</v>
      </c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SIN CLASIFICAR</t>
        </is>
      </c>
      <c r="W8" s="438" t="inlineStr">
        <is>
          <t>—</t>
        </is>
      </c>
    </row>
    <row r="9" ht="21" customHeight="1" s="288">
      <c r="A9" s="54" t="n"/>
      <c r="B9" s="55" t="n"/>
      <c r="C9" s="56" t="n"/>
      <c r="D9" s="56" t="n"/>
      <c r="E9" s="436" t="n"/>
      <c r="F9" s="58" t="n"/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</row>
    <row r="10" ht="21" customHeight="1" s="288">
      <c r="A10" s="54" t="n"/>
      <c r="B10" s="55" t="n"/>
      <c r="C10" s="56" t="n"/>
      <c r="D10" s="56" t="n"/>
      <c r="E10" s="436" t="n"/>
      <c r="F10" s="58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/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</row>
    <row r="11" ht="21" customHeight="1" s="288">
      <c r="A11" s="54" t="n"/>
      <c r="B11" s="55" t="n"/>
      <c r="C11" s="56" t="n"/>
      <c r="D11" s="56" t="n"/>
      <c r="E11" s="436" t="n"/>
      <c r="F11" s="58" t="n"/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</row>
    <row r="12" ht="21" customHeight="1" s="288">
      <c r="A12" s="54" t="n"/>
      <c r="B12" s="55" t="n"/>
      <c r="C12" s="56" t="n"/>
      <c r="D12" s="56" t="n"/>
      <c r="E12" s="436" t="n"/>
      <c r="F12" s="58" t="n"/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/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</row>
    <row r="13" ht="21" customHeight="1" s="288">
      <c r="A13" s="54" t="n"/>
      <c r="B13" s="55" t="n"/>
      <c r="C13" s="56" t="n"/>
      <c r="D13" s="56" t="n"/>
      <c r="E13" s="436" t="n"/>
      <c r="F13" s="58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CARI CARI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CARI CARI'!$B$5:$B$14,MATCH(1,'DEP CARI CARI'!$Q$5:$Q$14,0))),"")</f>
        <v/>
      </c>
      <c r="C8" s="130">
        <f>IF(B8="","","m²")</f>
        <v/>
      </c>
      <c r="D8" s="127">
        <f>IF(B8="","",INDEX('DEP CARI CARI'!$O$5:$O$14,MATCH(1,'DEP CARI CARI'!$Q$5:$Q$14,0)))</f>
        <v/>
      </c>
      <c r="E8" s="70">
        <f>IF(B8="","",INDEX('DEP CARI CARI'!$N$5:$N$14,MATCH(1,'DEP CARI CARI'!$Q$5:$Q$14,0)))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CARI CARI'!$B$5:$B$14,MATCH((ROWS($B$12:$B12)+1),'DEP CARI CARI'!$Q$5:$Q$14,0))),"")</f>
        <v/>
      </c>
      <c r="C12" s="130">
        <f>IF(B12="","","m²")</f>
        <v/>
      </c>
      <c r="D12" s="127">
        <f>IF(B12="","",INDEX('DEP CARI CARI'!$O$5:$O$14,MATCH((ROWS($B$12:$B12)+1),'DEP CARI CARI'!$Q$5:$Q$14,0)))</f>
        <v/>
      </c>
      <c r="E12" s="70">
        <f>IF(B12="","",INDEX('DEP CARI CARI'!$N$5:$N$14,MATCH((ROWS($B$12:$B12)+1),'DEP CARI CARI'!$Q$5:$Q$14,0)))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CARI CARI'!$B$5:$B$14,MATCH((ROWS($B$12:$B13)+1),'DEP CARI CARI'!$Q$5:$Q$14,0))),"")</f>
        <v/>
      </c>
      <c r="C13" s="130">
        <f>IF(B13="","","m²")</f>
        <v/>
      </c>
      <c r="D13" s="127">
        <f>IF(B13="","",INDEX('DEP CARI CARI'!$O$5:$O$14,MATCH((ROWS($B$12:$B13)+1),'DEP CARI CARI'!$Q$5:$Q$14,0)))</f>
        <v/>
      </c>
      <c r="E13" s="70">
        <f>IF(B13="","",INDEX('DEP CARI CARI'!$N$5:$N$14,MATCH((ROWS($B$12:$B13)+1),'DEP CARI CARI'!$Q$5:$Q$14,0)))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CARI CARI'!$B$5:$B$14,MATCH((ROWS($B$12:$B14)+1),'DEP CARI CARI'!$Q$5:$Q$14,0))),"")</f>
        <v/>
      </c>
      <c r="C14" s="130">
        <f>IF(B14="","","m²")</f>
        <v/>
      </c>
      <c r="D14" s="127">
        <f>IF(B14="","",INDEX('DEP CARI CARI'!$O$5:$O$14,MATCH((ROWS($B$12:$B14)+1),'DEP CARI CARI'!$Q$5:$Q$14,0)))</f>
        <v/>
      </c>
      <c r="E14" s="70">
        <f>IF(B14="","",INDEX('DEP CARI CARI'!$N$5:$N$14,MATCH((ROWS($B$12:$B14)+1),'DEP CARI CARI'!$Q$5:$Q$14,0)))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CARI CARI'!$B$5:$B$14,MATCH((ROWS($B$12:$B15)+1),'DEP CARI CARI'!$Q$5:$Q$14,0))),"")</f>
        <v/>
      </c>
      <c r="C15" s="130">
        <f>IF(B15="","","m²")</f>
        <v/>
      </c>
      <c r="D15" s="127">
        <f>IF(B15="","",INDEX('DEP CARI CARI'!$O$5:$O$14,MATCH((ROWS($B$12:$B15)+1),'DEP CARI CARI'!$Q$5:$Q$14,0)))</f>
        <v/>
      </c>
      <c r="E15" s="70">
        <f>IF(B15="","",INDEX('DEP CARI CARI'!$N$5:$N$14,MATCH((ROWS($B$12:$B15)+1),'DEP CARI CARI'!$Q$5:$Q$14,0)))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CARI CARI'!$B$5:$B$14,MATCH((ROWS($B$12:$B16)+1),'DEP CARI CARI'!$Q$5:$Q$14,0))),"")</f>
        <v/>
      </c>
      <c r="C16" s="130">
        <f>IF(B16="","","m²")</f>
        <v/>
      </c>
      <c r="D16" s="127">
        <f>IF(B16="","",INDEX('DEP CARI CARI'!$O$5:$O$14,MATCH((ROWS($B$12:$B16)+1),'DEP CARI CARI'!$Q$5:$Q$14,0)))</f>
        <v/>
      </c>
      <c r="E16" s="70">
        <f>IF(B16="","",INDEX('DEP CARI CARI'!$N$5:$N$14,MATCH((ROWS($B$12:$B16)+1),'DEP CARI CARI'!$Q$5:$Q$14,0)))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CARI CARI'!$B$5:$B$14,MATCH((ROWS($B$12:$B17)+1),'DEP CARI CARI'!$Q$5:$Q$14,0))),"")</f>
        <v/>
      </c>
      <c r="C17" s="131">
        <f>IF(B17="","","m²")</f>
        <v/>
      </c>
      <c r="D17" s="128">
        <f>IF(B17="","",INDEX('DEP CARI CARI'!$O$5:$O$14,MATCH((ROWS($B$12:$B17)+1),'DEP CARI CARI'!$Q$5:$Q$14,0)))</f>
        <v/>
      </c>
      <c r="E17" s="129">
        <f>IF(B17="","",INDEX('DEP CARI CARI'!$N$5:$N$14,MATCH((ROWS($B$12:$B17)+1),'DEP CARI CARI'!$Q$5:$Q$14,0)))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CARI CARI'!$B$5:$B$14,MATCH((ROWS($B$12:$B18)+1),'DEP CARI CARI'!$Q$5:$Q$14,0))),"")</f>
        <v/>
      </c>
      <c r="C18" s="131">
        <f>IF(B18="","","m²")</f>
        <v/>
      </c>
      <c r="D18" s="128">
        <f>IF(B18="","",INDEX('DEP CARI CARI'!$O$5:$O$14,MATCH((ROWS($B$12:$B18)+1),'DEP CARI CARI'!$Q$5:$Q$14,0)))</f>
        <v/>
      </c>
      <c r="E18" s="129">
        <f>IF(B18="","",INDEX('DEP CARI CARI'!$N$5:$N$14,MATCH((ROWS($B$12:$B18)+1),'DEP CARI CARI'!$Q$5:$Q$14,0)))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CARI CARI'!$B$5:$B$14,MATCH((ROWS($B$12:$B19)+1),'DEP CARI CARI'!$Q$5:$Q$14,0))),"")</f>
        <v/>
      </c>
      <c r="C19" s="131">
        <f>IF(B19="","","m²")</f>
        <v/>
      </c>
      <c r="D19" s="128">
        <f>IF(B19="","",INDEX('DEP CARI CARI'!$O$5:$O$14,MATCH((ROWS($B$12:$B19)+1),'DEP CARI CARI'!$Q$5:$Q$14,0)))</f>
        <v/>
      </c>
      <c r="E19" s="129">
        <f>IF(B19="","",INDEX('DEP CARI CARI'!$N$5:$N$14,MATCH((ROWS($B$12:$B19)+1),'DEP CARI CARI'!$Q$5:$Q$14,0)))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CARI CARI'!$B$5:$B$14,MATCH((ROWS($B$12:$B20)+1),'DEP CARI CARI'!$Q$5:$Q$14,0))),"")</f>
        <v/>
      </c>
      <c r="C20" s="131">
        <f>IF(B20="","","m²")</f>
        <v/>
      </c>
      <c r="D20" s="128">
        <f>IF(B20="","",INDEX('DEP CARI CARI'!$O$5:$O$14,MATCH((ROWS($B$12:$B20)+1),'DEP CARI CARI'!$Q$5:$Q$14,0)))</f>
        <v/>
      </c>
      <c r="E20" s="129">
        <f>IF(B20="","",INDEX('DEP CARI CARI'!$N$5:$N$14,MATCH((ROWS($B$12:$B20)+1),'DEP CARI CARI'!$Q$5:$Q$14,0)))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EL CORUAL – parte 1 de 2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La casona</t>
        </is>
      </c>
      <c r="C5" s="56" t="n">
        <v>20</v>
      </c>
      <c r="D5" s="56" t="n">
        <v>70</v>
      </c>
      <c r="E5" s="450" t="n">
        <v>4</v>
      </c>
      <c r="F5" s="58" t="n">
        <v>1131400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>
        <f>15*18</f>
        <v/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1014113_Residencial.Tipo_3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Almacén</t>
        </is>
      </c>
      <c r="C6" s="56" t="n">
        <v>35</v>
      </c>
      <c r="D6" s="56" t="n">
        <v>70</v>
      </c>
      <c r="E6" s="436" t="n">
        <v>3</v>
      </c>
      <c r="F6" s="58" t="n">
        <v>1038900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454" t="n"/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2014111_Comercial.Basico_2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Bodega Yumbolos</t>
        </is>
      </c>
      <c r="C7" s="56" t="n">
        <v>30</v>
      </c>
      <c r="D7" s="56" t="n">
        <v>70</v>
      </c>
      <c r="E7" s="436" t="n">
        <v>4</v>
      </c>
      <c r="F7" s="58" t="n">
        <v>363000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456" t="n"/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Anexos.Ramadas_Cobertizos_Caneyes_Media_Tipo_60</t>
        </is>
      </c>
      <c r="W7" s="438" t="inlineStr">
        <is>
          <t>Media</t>
        </is>
      </c>
    </row>
    <row r="8" ht="21" customHeight="1" s="288">
      <c r="A8" s="54" t="n"/>
      <c r="B8" s="55" t="inlineStr">
        <is>
          <t>Bomba ACPM</t>
        </is>
      </c>
      <c r="C8" s="56" t="n">
        <v>35</v>
      </c>
      <c r="D8" s="56" t="n">
        <v>70</v>
      </c>
      <c r="E8" s="436" t="n">
        <v>3.5</v>
      </c>
      <c r="F8" s="452" t="n"/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455" t="n"/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SIN CLASIFICAR</t>
        </is>
      </c>
      <c r="W8" s="438" t="inlineStr">
        <is>
          <t>—</t>
        </is>
      </c>
    </row>
    <row r="9" ht="21" customHeight="1" s="288">
      <c r="A9" s="54" t="n"/>
      <c r="B9" s="55" t="inlineStr">
        <is>
          <t>Bomba Aceite</t>
        </is>
      </c>
      <c r="C9" s="56" t="n">
        <v>25</v>
      </c>
      <c r="D9" s="56" t="n">
        <v>70</v>
      </c>
      <c r="E9" s="450" t="n">
        <v>4</v>
      </c>
      <c r="F9" s="452" t="n"/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453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SIN CLASIFICAR</t>
        </is>
      </c>
      <c r="W9" s="438" t="inlineStr">
        <is>
          <t>—</t>
        </is>
      </c>
    </row>
    <row r="10" ht="21" customHeight="1" s="288">
      <c r="A10" s="54" t="n"/>
      <c r="B10" s="55" t="inlineStr">
        <is>
          <t>Cable vía</t>
        </is>
      </c>
      <c r="C10" s="56" t="n">
        <v>35</v>
      </c>
      <c r="D10" s="56" t="n">
        <v>70</v>
      </c>
      <c r="E10" s="436" t="n">
        <v>3.5</v>
      </c>
      <c r="F10" s="452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453" t="n"/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  <c r="V10" s="438" t="inlineStr">
        <is>
          <t>SIN CLASIFICAR</t>
        </is>
      </c>
      <c r="W10" s="438" t="inlineStr">
        <is>
          <t>—</t>
        </is>
      </c>
    </row>
    <row r="11" ht="21" customHeight="1" s="288">
      <c r="A11" s="54" t="n"/>
      <c r="B11" s="55" t="inlineStr">
        <is>
          <t>Casa</t>
        </is>
      </c>
      <c r="C11" s="56" t="n">
        <v>25</v>
      </c>
      <c r="D11" s="56" t="n">
        <v>70</v>
      </c>
      <c r="E11" s="436" t="n">
        <v>3</v>
      </c>
      <c r="F11" s="58" t="n">
        <v>1014000</v>
      </c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453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  <c r="V11" s="438" t="inlineStr">
        <is>
          <t>1004113_Residencial.Tipo_3_Menos</t>
        </is>
      </c>
      <c r="W11" s="438" t="inlineStr">
        <is>
          <t>Media</t>
        </is>
      </c>
    </row>
    <row r="12" ht="21" customHeight="1" s="288">
      <c r="A12" s="54" t="n"/>
      <c r="B12" s="55" t="inlineStr">
        <is>
          <t>Comedor</t>
        </is>
      </c>
      <c r="C12" s="56" t="n">
        <v>20</v>
      </c>
      <c r="D12" s="56" t="n">
        <v>50</v>
      </c>
      <c r="E12" s="450" t="n">
        <v>4</v>
      </c>
      <c r="F12" s="58" t="n">
        <v>912600</v>
      </c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>
        <v>255</v>
      </c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  <c r="V12" s="438" t="inlineStr">
        <is>
          <t>Anexos.Ramadas_Cobertizos_Caneyes_Plus_Tipo_80</t>
        </is>
      </c>
      <c r="W12" s="438" t="inlineStr">
        <is>
          <t>Alta</t>
        </is>
      </c>
    </row>
    <row r="13" ht="21" customHeight="1" s="288">
      <c r="A13" s="54" t="n"/>
      <c r="B13" s="55" t="inlineStr">
        <is>
          <t>Empacadora</t>
        </is>
      </c>
      <c r="C13" s="56" t="n">
        <v>20</v>
      </c>
      <c r="D13" s="451" t="n">
        <v>100</v>
      </c>
      <c r="E13" s="450" t="n">
        <v>4</v>
      </c>
      <c r="F13" s="58" t="n">
        <v>680600</v>
      </c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>
        <f>22*15</f>
        <v/>
      </c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  <c r="V13" s="438" t="inlineStr">
        <is>
          <t>Anexos.Beneficiaderos_Medio_Tipo_60</t>
        </is>
      </c>
      <c r="W13" s="438" t="inlineStr">
        <is>
          <t>Media</t>
        </is>
      </c>
    </row>
    <row r="14" ht="21" customHeight="1" s="288">
      <c r="A14" s="54" t="n"/>
      <c r="B14" s="55" t="inlineStr">
        <is>
          <t>Kiosko</t>
        </is>
      </c>
      <c r="C14" s="56" t="n">
        <v>15</v>
      </c>
      <c r="D14" s="451" t="n">
        <v>50</v>
      </c>
      <c r="E14" s="450" t="n">
        <v>4</v>
      </c>
      <c r="F14" s="58" t="n">
        <v>409900</v>
      </c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453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  <c r="V14" s="438" t="inlineStr">
        <is>
          <t>Anexos.Kioscos_Sencillo_Tipo_40</t>
        </is>
      </c>
      <c r="W14" s="438" t="inlineStr">
        <is>
          <t>Alta</t>
        </is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EL CORUAL – parte 1 de 2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EL CORUAL (1)'!$B$5:$B$14,MATCH(1,'DEP EL CORUAL (1)'!$Q$5:$Q$14,0))),"")</f>
        <v/>
      </c>
      <c r="C8" s="130">
        <f>IF(B8="","","m²")</f>
        <v/>
      </c>
      <c r="D8" s="127">
        <f>IF(B8="","",INDEX('DEP EL CORUAL (1)'!$O$5:$O$14,MATCH(1,'DEP EL CORUAL (1)'!$Q$5:$Q$14,0)))</f>
        <v/>
      </c>
      <c r="E8" s="70">
        <f>IF(B8="","",INDEX('DEP EL CORUAL (1)'!$N$5:$N$14,MATCH(1,'DEP EL CORUAL (1)'!$Q$5:$Q$14,0)))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EL CORUAL (1)'!$B$5:$B$14,MATCH((ROWS($B$12:$B12)+1),'DEP EL CORUAL (1)'!$Q$5:$Q$14,0))),"")</f>
        <v/>
      </c>
      <c r="C12" s="130">
        <f>IF(B12="","","m²")</f>
        <v/>
      </c>
      <c r="D12" s="127">
        <f>IF(B12="","",INDEX('DEP EL CORUAL (1)'!$O$5:$O$14,MATCH((ROWS($B$12:$B12)+1),'DEP EL CORUAL (1)'!$Q$5:$Q$14,0)))</f>
        <v/>
      </c>
      <c r="E12" s="70">
        <f>IF(B12="","",INDEX('DEP EL CORUAL (1)'!$N$5:$N$14,MATCH((ROWS($B$12:$B12)+1),'DEP EL CORUAL (1)'!$Q$5:$Q$14,0)))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EL CORUAL (1)'!$B$5:$B$14,MATCH((ROWS($B$12:$B13)+1),'DEP EL CORUAL (1)'!$Q$5:$Q$14,0))),"")</f>
        <v/>
      </c>
      <c r="C13" s="130">
        <f>IF(B13="","","m²")</f>
        <v/>
      </c>
      <c r="D13" s="127">
        <f>IF(B13="","",INDEX('DEP EL CORUAL (1)'!$O$5:$O$14,MATCH((ROWS($B$12:$B13)+1),'DEP EL CORUAL (1)'!$Q$5:$Q$14,0)))</f>
        <v/>
      </c>
      <c r="E13" s="70">
        <f>IF(B13="","",INDEX('DEP EL CORUAL (1)'!$N$5:$N$14,MATCH((ROWS($B$12:$B13)+1),'DEP EL CORUAL (1)'!$Q$5:$Q$14,0)))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EL CORUAL (1)'!$B$5:$B$14,MATCH((ROWS($B$12:$B14)+1),'DEP EL CORUAL (1)'!$Q$5:$Q$14,0))),"")</f>
        <v/>
      </c>
      <c r="C14" s="130">
        <f>IF(B14="","","m²")</f>
        <v/>
      </c>
      <c r="D14" s="127">
        <f>IF(B14="","",INDEX('DEP EL CORUAL (1)'!$O$5:$O$14,MATCH((ROWS($B$12:$B14)+1),'DEP EL CORUAL (1)'!$Q$5:$Q$14,0)))</f>
        <v/>
      </c>
      <c r="E14" s="70">
        <f>IF(B14="","",INDEX('DEP EL CORUAL (1)'!$N$5:$N$14,MATCH((ROWS($B$12:$B14)+1),'DEP EL CORUAL (1)'!$Q$5:$Q$14,0)))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EL CORUAL (1)'!$B$5:$B$14,MATCH((ROWS($B$12:$B15)+1),'DEP EL CORUAL (1)'!$Q$5:$Q$14,0))),"")</f>
        <v/>
      </c>
      <c r="C15" s="130">
        <f>IF(B15="","","m²")</f>
        <v/>
      </c>
      <c r="D15" s="127">
        <f>IF(B15="","",INDEX('DEP EL CORUAL (1)'!$O$5:$O$14,MATCH((ROWS($B$12:$B15)+1),'DEP EL CORUAL (1)'!$Q$5:$Q$14,0)))</f>
        <v/>
      </c>
      <c r="E15" s="70">
        <f>IF(B15="","",INDEX('DEP EL CORUAL (1)'!$N$5:$N$14,MATCH((ROWS($B$12:$B15)+1),'DEP EL CORUAL (1)'!$Q$5:$Q$14,0)))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EL CORUAL (1)'!$B$5:$B$14,MATCH((ROWS($B$12:$B16)+1),'DEP EL CORUAL (1)'!$Q$5:$Q$14,0))),"")</f>
        <v/>
      </c>
      <c r="C16" s="130">
        <f>IF(B16="","","m²")</f>
        <v/>
      </c>
      <c r="D16" s="127">
        <f>IF(B16="","",INDEX('DEP EL CORUAL (1)'!$O$5:$O$14,MATCH((ROWS($B$12:$B16)+1),'DEP EL CORUAL (1)'!$Q$5:$Q$14,0)))</f>
        <v/>
      </c>
      <c r="E16" s="70">
        <f>IF(B16="","",INDEX('DEP EL CORUAL (1)'!$N$5:$N$14,MATCH((ROWS($B$12:$B16)+1),'DEP EL CORUAL (1)'!$Q$5:$Q$14,0)))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EL CORUAL (1)'!$B$5:$B$14,MATCH((ROWS($B$12:$B17)+1),'DEP EL CORUAL (1)'!$Q$5:$Q$14,0))),"")</f>
        <v/>
      </c>
      <c r="C17" s="131">
        <f>IF(B17="","","m²")</f>
        <v/>
      </c>
      <c r="D17" s="128">
        <f>IF(B17="","",INDEX('DEP EL CORUAL (1)'!$O$5:$O$14,MATCH((ROWS($B$12:$B17)+1),'DEP EL CORUAL (1)'!$Q$5:$Q$14,0)))</f>
        <v/>
      </c>
      <c r="E17" s="129">
        <f>IF(B17="","",INDEX('DEP EL CORUAL (1)'!$N$5:$N$14,MATCH((ROWS($B$12:$B17)+1),'DEP EL CORUAL (1)'!$Q$5:$Q$14,0)))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EL CORUAL (1)'!$B$5:$B$14,MATCH((ROWS($B$12:$B18)+1),'DEP EL CORUAL (1)'!$Q$5:$Q$14,0))),"")</f>
        <v/>
      </c>
      <c r="C18" s="131">
        <f>IF(B18="","","m²")</f>
        <v/>
      </c>
      <c r="D18" s="128">
        <f>IF(B18="","",INDEX('DEP EL CORUAL (1)'!$O$5:$O$14,MATCH((ROWS($B$12:$B18)+1),'DEP EL CORUAL (1)'!$Q$5:$Q$14,0)))</f>
        <v/>
      </c>
      <c r="E18" s="129">
        <f>IF(B18="","",INDEX('DEP EL CORUAL (1)'!$N$5:$N$14,MATCH((ROWS($B$12:$B18)+1),'DEP EL CORUAL (1)'!$Q$5:$Q$14,0)))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EL CORUAL (1)'!$B$5:$B$14,MATCH((ROWS($B$12:$B19)+1),'DEP EL CORUAL (1)'!$Q$5:$Q$14,0))),"")</f>
        <v/>
      </c>
      <c r="C19" s="131">
        <f>IF(B19="","","m²")</f>
        <v/>
      </c>
      <c r="D19" s="128">
        <f>IF(B19="","",INDEX('DEP EL CORUAL (1)'!$O$5:$O$14,MATCH((ROWS($B$12:$B19)+1),'DEP EL CORUAL (1)'!$Q$5:$Q$14,0)))</f>
        <v/>
      </c>
      <c r="E19" s="129">
        <f>IF(B19="","",INDEX('DEP EL CORUAL (1)'!$N$5:$N$14,MATCH((ROWS($B$12:$B19)+1),'DEP EL CORUAL (1)'!$Q$5:$Q$14,0)))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EL CORUAL (1)'!$B$5:$B$14,MATCH((ROWS($B$12:$B20)+1),'DEP EL CORUAL (1)'!$Q$5:$Q$14,0))),"")</f>
        <v/>
      </c>
      <c r="C20" s="131">
        <f>IF(B20="","","m²")</f>
        <v/>
      </c>
      <c r="D20" s="128">
        <f>IF(B20="","",INDEX('DEP EL CORUAL (1)'!$O$5:$O$14,MATCH((ROWS($B$12:$B20)+1),'DEP EL CORUAL (1)'!$Q$5:$Q$14,0)))</f>
        <v/>
      </c>
      <c r="E20" s="129">
        <f>IF(B20="","",INDEX('DEP EL CORUAL (1)'!$N$5:$N$14,MATCH((ROWS($B$12:$B20)+1),'DEP EL CORUAL (1)'!$Q$5:$Q$14,0)))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EL CORUAL – parte 2 de 2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Máquina de bombeo</t>
        </is>
      </c>
      <c r="C5" s="56" t="n">
        <v>28</v>
      </c>
      <c r="D5" s="56" t="n">
        <v>70</v>
      </c>
      <c r="E5" s="436" t="n">
        <v>3</v>
      </c>
      <c r="F5" s="452" t="n"/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454" t="n"/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SIN CLASIFICAR</t>
        </is>
      </c>
      <c r="W5" s="438" t="inlineStr">
        <is>
          <t>—</t>
        </is>
      </c>
    </row>
    <row r="6" ht="21" customHeight="1" s="288">
      <c r="A6" s="54" t="n"/>
      <c r="B6" s="55" t="inlineStr">
        <is>
          <t>Oficina</t>
        </is>
      </c>
      <c r="C6" s="56" t="n">
        <v>25</v>
      </c>
      <c r="D6" s="56" t="n">
        <v>70</v>
      </c>
      <c r="E6" s="436" t="n">
        <v>3</v>
      </c>
      <c r="F6" s="58" t="n">
        <v>1014000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>
        <f>7.8*9</f>
        <v/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1004113_Residencial.Tipo_3_Menos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Planta de agua potable</t>
        </is>
      </c>
      <c r="C7" s="56" t="n">
        <v>15</v>
      </c>
      <c r="D7" s="56" t="n">
        <v>70</v>
      </c>
      <c r="E7" s="450" t="n">
        <v>4</v>
      </c>
      <c r="F7" s="58" t="n">
        <v>767900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>
        <v>19.2</v>
      </c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Anexos.Depósitos_1</t>
        </is>
      </c>
      <c r="W7" s="438" t="inlineStr">
        <is>
          <t>Baja</t>
        </is>
      </c>
    </row>
    <row r="8" ht="21" customHeight="1" s="288">
      <c r="A8" s="54" t="n"/>
      <c r="B8" s="55" t="inlineStr">
        <is>
          <t>Enramada</t>
        </is>
      </c>
      <c r="C8" s="56" t="n">
        <v>19</v>
      </c>
      <c r="D8" s="56" t="n">
        <v>70</v>
      </c>
      <c r="E8" s="436" t="n">
        <v>3</v>
      </c>
      <c r="F8" s="58" t="n">
        <v>363000</v>
      </c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>
        <v>19.2</v>
      </c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Anexos.Ramadas_Cobertizos_Caneyes_Media_Tipo_60</t>
        </is>
      </c>
      <c r="W8" s="438" t="inlineStr">
        <is>
          <t>Media</t>
        </is>
      </c>
    </row>
    <row r="9" ht="21" customHeight="1" s="288">
      <c r="A9" s="54" t="n"/>
      <c r="B9" s="55" t="inlineStr">
        <is>
          <t>Enramada 2</t>
        </is>
      </c>
      <c r="C9" s="56" t="n">
        <v>25</v>
      </c>
      <c r="D9" s="56" t="n">
        <v>70</v>
      </c>
      <c r="E9" s="436" t="n">
        <v>3</v>
      </c>
      <c r="F9" s="58" t="n">
        <v>363000</v>
      </c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453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Anexos.Ramadas_Cobertizos_Caneyes_Media_Tipo_60</t>
        </is>
      </c>
      <c r="W9" s="438" t="inlineStr">
        <is>
          <t>Media</t>
        </is>
      </c>
    </row>
    <row r="10" ht="21" customHeight="1" s="288">
      <c r="A10" s="54" t="n"/>
      <c r="B10" s="55" t="inlineStr">
        <is>
          <t>Enramada Acopio racimos</t>
        </is>
      </c>
      <c r="C10" s="56" t="n">
        <v>25</v>
      </c>
      <c r="D10" s="56" t="n">
        <v>70</v>
      </c>
      <c r="E10" s="436" t="n">
        <v>3</v>
      </c>
      <c r="F10" s="58" t="n">
        <v>363000</v>
      </c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>
        <v>180</v>
      </c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  <c r="V10" s="438" t="inlineStr">
        <is>
          <t>Anexos.Ramadas_Cobertizos_Caneyes_Media_Tipo_60</t>
        </is>
      </c>
      <c r="W10" s="438" t="inlineStr">
        <is>
          <t>Media</t>
        </is>
      </c>
    </row>
    <row r="11" ht="21" customHeight="1" s="288">
      <c r="A11" s="54" t="n"/>
      <c r="B11" s="55" t="inlineStr">
        <is>
          <t>Emramada parqueadero</t>
        </is>
      </c>
      <c r="C11" s="56" t="n">
        <v>16</v>
      </c>
      <c r="D11" s="56" t="n">
        <v>70</v>
      </c>
      <c r="E11" s="436" t="n">
        <v>3</v>
      </c>
      <c r="F11" s="58" t="n">
        <v>157300</v>
      </c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 t="n">
        <v>50</v>
      </c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  <c r="V11" s="438" t="inlineStr">
        <is>
          <t>Anexos.Ramadas_Cobertizos_Caneyes_Sencilla_Tipo_40</t>
        </is>
      </c>
      <c r="W11" s="438" t="inlineStr">
        <is>
          <t>Media</t>
        </is>
      </c>
    </row>
    <row r="12" ht="21" customHeight="1" s="288">
      <c r="A12" s="54" t="n"/>
      <c r="B12" s="55" t="inlineStr">
        <is>
          <t>Taller</t>
        </is>
      </c>
      <c r="C12" s="56" t="n">
        <v>41</v>
      </c>
      <c r="D12" s="56" t="n">
        <v>70</v>
      </c>
      <c r="E12" s="436" t="n">
        <v>3</v>
      </c>
      <c r="F12" s="58" t="n">
        <v>1038900</v>
      </c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>
        <f>9*4.2</f>
        <v/>
      </c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  <c r="V12" s="438" t="inlineStr">
        <is>
          <t>2014111_Comercial.Basico_2</t>
        </is>
      </c>
      <c r="W12" s="438" t="inlineStr">
        <is>
          <t>Media</t>
        </is>
      </c>
    </row>
    <row r="13" ht="21" customHeight="1" s="288">
      <c r="A13" s="54" t="n"/>
      <c r="B13" s="55" t="inlineStr">
        <is>
          <t>Emramada taller</t>
        </is>
      </c>
      <c r="C13" s="56" t="n">
        <v>17</v>
      </c>
      <c r="D13" s="56" t="n">
        <v>70</v>
      </c>
      <c r="E13" s="436" t="n">
        <v>3.5</v>
      </c>
      <c r="F13" s="58" t="n">
        <v>157300</v>
      </c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>
        <f>6*4</f>
        <v/>
      </c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  <c r="V13" s="438" t="inlineStr">
        <is>
          <t>Anexos.Ramadas_Cobertizos_Caneyes_Sencilla_Tipo_40</t>
        </is>
      </c>
      <c r="W13" s="438" t="inlineStr">
        <is>
          <t>Alta</t>
        </is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EL CORUAL – parte 2 de 2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CONSTRUCCIONES (CONTINUACIÓN DE LA HOJA ANTERIOR)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EL CORUAL (2)'!$B$5:$B$14,MATCH(1,'DEP EL CORUAL (2)'!$Q$5:$Q$14,0))),"")</f>
        <v/>
      </c>
      <c r="C8" s="130">
        <f>IF(B8="","","m²")</f>
        <v/>
      </c>
      <c r="D8" s="127">
        <f>IF(B8="","",INDEX('DEP EL CORUAL (2)'!$O$5:$O$14,MATCH(1,'DEP EL CORUAL (2)'!$Q$5:$Q$14,0)))</f>
        <v/>
      </c>
      <c r="E8" s="70">
        <f>IF(B8="","",INDEX('DEP EL CORUAL (2)'!$N$5:$N$14,MATCH(1,'DEP EL CORUAL (2)'!$Q$5:$Q$14,0)))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EL CORUAL (2)'!$B$5:$B$14,MATCH((ROWS($B$12:$B12)+1),'DEP EL CORUAL (2)'!$Q$5:$Q$14,0))),"")</f>
        <v/>
      </c>
      <c r="C12" s="130">
        <f>IF(B12="","","m²")</f>
        <v/>
      </c>
      <c r="D12" s="127">
        <f>IF(B12="","",INDEX('DEP EL CORUAL (2)'!$O$5:$O$14,MATCH((ROWS($B$12:$B12)+1),'DEP EL CORUAL (2)'!$Q$5:$Q$14,0)))</f>
        <v/>
      </c>
      <c r="E12" s="70">
        <f>IF(B12="","",INDEX('DEP EL CORUAL (2)'!$N$5:$N$14,MATCH((ROWS($B$12:$B12)+1),'DEP EL CORUAL (2)'!$Q$5:$Q$14,0)))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EL CORUAL (2)'!$B$5:$B$14,MATCH((ROWS($B$12:$B13)+1),'DEP EL CORUAL (2)'!$Q$5:$Q$14,0))),"")</f>
        <v/>
      </c>
      <c r="C13" s="130">
        <f>IF(B13="","","m²")</f>
        <v/>
      </c>
      <c r="D13" s="127">
        <f>IF(B13="","",INDEX('DEP EL CORUAL (2)'!$O$5:$O$14,MATCH((ROWS($B$12:$B13)+1),'DEP EL CORUAL (2)'!$Q$5:$Q$14,0)))</f>
        <v/>
      </c>
      <c r="E13" s="70">
        <f>IF(B13="","",INDEX('DEP EL CORUAL (2)'!$N$5:$N$14,MATCH((ROWS($B$12:$B13)+1),'DEP EL CORUAL (2)'!$Q$5:$Q$14,0)))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EL CORUAL (2)'!$B$5:$B$14,MATCH((ROWS($B$12:$B14)+1),'DEP EL CORUAL (2)'!$Q$5:$Q$14,0))),"")</f>
        <v/>
      </c>
      <c r="C14" s="130">
        <f>IF(B14="","","m²")</f>
        <v/>
      </c>
      <c r="D14" s="127">
        <f>IF(B14="","",INDEX('DEP EL CORUAL (2)'!$O$5:$O$14,MATCH((ROWS($B$12:$B14)+1),'DEP EL CORUAL (2)'!$Q$5:$Q$14,0)))</f>
        <v/>
      </c>
      <c r="E14" s="70">
        <f>IF(B14="","",INDEX('DEP EL CORUAL (2)'!$N$5:$N$14,MATCH((ROWS($B$12:$B14)+1),'DEP EL CORUAL (2)'!$Q$5:$Q$14,0)))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EL CORUAL (2)'!$B$5:$B$14,MATCH((ROWS($B$12:$B15)+1),'DEP EL CORUAL (2)'!$Q$5:$Q$14,0))),"")</f>
        <v/>
      </c>
      <c r="C15" s="130">
        <f>IF(B15="","","m²")</f>
        <v/>
      </c>
      <c r="D15" s="127">
        <f>IF(B15="","",INDEX('DEP EL CORUAL (2)'!$O$5:$O$14,MATCH((ROWS($B$12:$B15)+1),'DEP EL CORUAL (2)'!$Q$5:$Q$14,0)))</f>
        <v/>
      </c>
      <c r="E15" s="70">
        <f>IF(B15="","",INDEX('DEP EL CORUAL (2)'!$N$5:$N$14,MATCH((ROWS($B$12:$B15)+1),'DEP EL CORUAL (2)'!$Q$5:$Q$14,0)))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EL CORUAL (2)'!$B$5:$B$14,MATCH((ROWS($B$12:$B16)+1),'DEP EL CORUAL (2)'!$Q$5:$Q$14,0))),"")</f>
        <v/>
      </c>
      <c r="C16" s="130">
        <f>IF(B16="","","m²")</f>
        <v/>
      </c>
      <c r="D16" s="127">
        <f>IF(B16="","",INDEX('DEP EL CORUAL (2)'!$O$5:$O$14,MATCH((ROWS($B$12:$B16)+1),'DEP EL CORUAL (2)'!$Q$5:$Q$14,0)))</f>
        <v/>
      </c>
      <c r="E16" s="70">
        <f>IF(B16="","",INDEX('DEP EL CORUAL (2)'!$N$5:$N$14,MATCH((ROWS($B$12:$B16)+1),'DEP EL CORUAL (2)'!$Q$5:$Q$14,0)))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EL CORUAL (2)'!$B$5:$B$14,MATCH((ROWS($B$12:$B17)+1),'DEP EL CORUAL (2)'!$Q$5:$Q$14,0))),"")</f>
        <v/>
      </c>
      <c r="C17" s="131">
        <f>IF(B17="","","m²")</f>
        <v/>
      </c>
      <c r="D17" s="128">
        <f>IF(B17="","",INDEX('DEP EL CORUAL (2)'!$O$5:$O$14,MATCH((ROWS($B$12:$B17)+1),'DEP EL CORUAL (2)'!$Q$5:$Q$14,0)))</f>
        <v/>
      </c>
      <c r="E17" s="129">
        <f>IF(B17="","",INDEX('DEP EL CORUAL (2)'!$N$5:$N$14,MATCH((ROWS($B$12:$B17)+1),'DEP EL CORUAL (2)'!$Q$5:$Q$14,0)))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EL CORUAL (2)'!$B$5:$B$14,MATCH((ROWS($B$12:$B18)+1),'DEP EL CORUAL (2)'!$Q$5:$Q$14,0))),"")</f>
        <v/>
      </c>
      <c r="C18" s="131">
        <f>IF(B18="","","m²")</f>
        <v/>
      </c>
      <c r="D18" s="128">
        <f>IF(B18="","",INDEX('DEP EL CORUAL (2)'!$O$5:$O$14,MATCH((ROWS($B$12:$B18)+1),'DEP EL CORUAL (2)'!$Q$5:$Q$14,0)))</f>
        <v/>
      </c>
      <c r="E18" s="129">
        <f>IF(B18="","",INDEX('DEP EL CORUAL (2)'!$N$5:$N$14,MATCH((ROWS($B$12:$B18)+1),'DEP EL CORUAL (2)'!$Q$5:$Q$14,0)))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EL CORUAL (2)'!$B$5:$B$14,MATCH((ROWS($B$12:$B19)+1),'DEP EL CORUAL (2)'!$Q$5:$Q$14,0))),"")</f>
        <v/>
      </c>
      <c r="C19" s="131">
        <f>IF(B19="","","m²")</f>
        <v/>
      </c>
      <c r="D19" s="128">
        <f>IF(B19="","",INDEX('DEP EL CORUAL (2)'!$O$5:$O$14,MATCH((ROWS($B$12:$B19)+1),'DEP EL CORUAL (2)'!$Q$5:$Q$14,0)))</f>
        <v/>
      </c>
      <c r="E19" s="129">
        <f>IF(B19="","",INDEX('DEP EL CORUAL (2)'!$N$5:$N$14,MATCH((ROWS($B$12:$B19)+1),'DEP EL CORUAL (2)'!$Q$5:$Q$14,0)))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EL CORUAL (2)'!$B$5:$B$14,MATCH((ROWS($B$12:$B20)+1),'DEP EL CORUAL (2)'!$Q$5:$Q$14,0))),"")</f>
        <v/>
      </c>
      <c r="C20" s="131">
        <f>IF(B20="","","m²")</f>
        <v/>
      </c>
      <c r="D20" s="128">
        <f>IF(B20="","",INDEX('DEP EL CORUAL (2)'!$O$5:$O$14,MATCH((ROWS($B$12:$B20)+1),'DEP EL CORUAL (2)'!$Q$5:$Q$14,0)))</f>
        <v/>
      </c>
      <c r="E20" s="129">
        <f>IF(B20="","",INDEX('DEP EL CORUAL (2)'!$N$5:$N$14,MATCH((ROWS($B$12:$B20)+1),'DEP EL CORUAL (2)'!$Q$5:$Q$14,0)))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LAS MERCEDES – parte 1 de 2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Oficinas</t>
        </is>
      </c>
      <c r="C5" s="56" t="n">
        <v>26</v>
      </c>
      <c r="D5" s="56" t="n">
        <v>70</v>
      </c>
      <c r="E5" s="436" t="n">
        <v>3</v>
      </c>
      <c r="F5" s="58" t="n">
        <v>1014000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>
        <f>17.6*3.6</f>
        <v/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1004113_Residencial.Tipo_3_Menos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Acopio de aceite</t>
        </is>
      </c>
      <c r="C6" s="56" t="n">
        <v>12</v>
      </c>
      <c r="D6" s="56" t="n">
        <v>50</v>
      </c>
      <c r="E6" s="450" t="n">
        <v>4</v>
      </c>
      <c r="F6" s="58" t="n">
        <v>363000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454" t="n"/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Anexos.Ramadas_Cobertizos_Caneyes_Media_Tipo_60</t>
        </is>
      </c>
      <c r="W6" s="438" t="inlineStr">
        <is>
          <t>Media</t>
        </is>
      </c>
    </row>
    <row r="7" ht="21" customHeight="1" s="288">
      <c r="A7" s="54" t="n"/>
      <c r="B7" s="55" t="inlineStr">
        <is>
          <t>Comedor</t>
        </is>
      </c>
      <c r="C7" s="56" t="n">
        <v>17</v>
      </c>
      <c r="D7" s="56" t="n">
        <v>70</v>
      </c>
      <c r="E7" s="436" t="n">
        <v>4</v>
      </c>
      <c r="F7" s="58" t="n">
        <v>363000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456" t="n"/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Anexos.Ramadas_Cobertizos_Caneyes_Media_Tipo_60</t>
        </is>
      </c>
      <c r="W7" s="438" t="inlineStr">
        <is>
          <t>Media</t>
        </is>
      </c>
    </row>
    <row r="8" ht="21" customHeight="1" s="288">
      <c r="A8" s="54" t="n"/>
      <c r="B8" s="55" t="inlineStr">
        <is>
          <t>Zona de lavado</t>
        </is>
      </c>
      <c r="C8" s="56" t="n">
        <v>19</v>
      </c>
      <c r="D8" s="56" t="n">
        <v>50</v>
      </c>
      <c r="E8" s="436" t="n">
        <v>3</v>
      </c>
      <c r="F8" s="452" t="n"/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455" t="n"/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SIN CLASIFICAR</t>
        </is>
      </c>
      <c r="W8" s="438" t="inlineStr">
        <is>
          <t>—</t>
        </is>
      </c>
    </row>
    <row r="9" ht="21" customHeight="1" s="288">
      <c r="A9" s="54" t="n"/>
      <c r="B9" s="55" t="inlineStr">
        <is>
          <t>Baños</t>
        </is>
      </c>
      <c r="C9" s="56" t="n">
        <v>21</v>
      </c>
      <c r="D9" s="56" t="n">
        <v>70</v>
      </c>
      <c r="E9" s="450" t="n">
        <v>4</v>
      </c>
      <c r="F9" s="58" t="n">
        <v>930700</v>
      </c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>
        <f>4*4</f>
        <v/>
      </c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Anexos.Baños_1</t>
        </is>
      </c>
      <c r="W9" s="438" t="inlineStr">
        <is>
          <t>Media</t>
        </is>
      </c>
    </row>
    <row r="10" ht="21" customHeight="1" s="288">
      <c r="A10" s="54" t="n"/>
      <c r="B10" s="55" t="inlineStr">
        <is>
          <t>Baños fuera de servicio</t>
        </is>
      </c>
      <c r="C10" s="56" t="n">
        <v>39</v>
      </c>
      <c r="D10" s="56" t="n">
        <v>70</v>
      </c>
      <c r="E10" s="436" t="n">
        <v>4</v>
      </c>
      <c r="F10" s="58" t="n">
        <v>930700</v>
      </c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453" t="n"/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  <c r="V10" s="438" t="inlineStr">
        <is>
          <t>Anexos.Baños_1</t>
        </is>
      </c>
      <c r="W10" s="438" t="inlineStr">
        <is>
          <t>Baja</t>
        </is>
      </c>
    </row>
    <row r="11" ht="21" customHeight="1" s="288">
      <c r="A11" s="54" t="n"/>
      <c r="B11" s="55" t="inlineStr">
        <is>
          <t>Bodega</t>
        </is>
      </c>
      <c r="C11" s="56" t="n">
        <v>40</v>
      </c>
      <c r="D11" s="56" t="n">
        <v>50</v>
      </c>
      <c r="E11" s="436" t="n">
        <v>3</v>
      </c>
      <c r="F11" s="58" t="n">
        <v>1226000</v>
      </c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>
        <f>6.5*7</f>
        <v/>
      </c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  <c r="V11" s="438" t="inlineStr">
        <is>
          <t>3001121_Industrial.Liviana_2</t>
        </is>
      </c>
      <c r="W11" s="438" t="inlineStr">
        <is>
          <t>Media</t>
        </is>
      </c>
    </row>
    <row r="12" ht="21" customHeight="1" s="288">
      <c r="A12" s="54" t="n"/>
      <c r="B12" s="55" t="inlineStr">
        <is>
          <t>Bodega de aceite</t>
        </is>
      </c>
      <c r="C12" s="56" t="n">
        <v>40</v>
      </c>
      <c r="D12" s="451" t="n">
        <v>70</v>
      </c>
      <c r="E12" s="436" t="n">
        <v>3</v>
      </c>
      <c r="F12" s="58" t="n">
        <v>767900</v>
      </c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453" t="n"/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  <c r="V12" s="438" t="inlineStr">
        <is>
          <t>Anexos.Depósitos_1</t>
        </is>
      </c>
      <c r="W12" s="438" t="inlineStr">
        <is>
          <t>Media</t>
        </is>
      </c>
    </row>
    <row r="13" ht="21" customHeight="1" s="288">
      <c r="A13" s="54" t="n"/>
      <c r="B13" s="55" t="inlineStr">
        <is>
          <t>Bodega sanidad</t>
        </is>
      </c>
      <c r="C13" s="56" t="n">
        <v>40</v>
      </c>
      <c r="D13" s="451" t="n">
        <v>70</v>
      </c>
      <c r="E13" s="436" t="n">
        <v>3</v>
      </c>
      <c r="F13" s="58" t="n">
        <v>767900</v>
      </c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>
        <f>7*14</f>
        <v/>
      </c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  <c r="V13" s="438" t="inlineStr">
        <is>
          <t>Anexos.Depósitos_1</t>
        </is>
      </c>
      <c r="W13" s="438" t="inlineStr">
        <is>
          <t>Media</t>
        </is>
      </c>
    </row>
    <row r="14" ht="21" customHeight="1" s="288">
      <c r="A14" s="54" t="n"/>
      <c r="B14" s="55" t="inlineStr">
        <is>
          <t>Casa maquinaria taller</t>
        </is>
      </c>
      <c r="C14" s="56" t="n">
        <v>28</v>
      </c>
      <c r="D14" s="56" t="n">
        <v>70</v>
      </c>
      <c r="E14" s="436" t="n">
        <v>3</v>
      </c>
      <c r="F14" s="58" t="n">
        <v>1038900</v>
      </c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>
        <f>15*18</f>
        <v/>
      </c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  <c r="V14" s="438" t="inlineStr">
        <is>
          <t>2014111_Comercial.Basico_2</t>
        </is>
      </c>
      <c r="W14" s="438" t="inlineStr">
        <is>
          <t>Baja</t>
        </is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LAS MERCEDES – parte 1 de 2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LAS MERCEDES (1)'!$B$5:$B$14,MATCH(1,'DEP LAS MERCEDES (1)'!$Q$5:$Q$14,0))),"")</f>
        <v/>
      </c>
      <c r="C8" s="130">
        <f>IF(B8="","","m²")</f>
        <v/>
      </c>
      <c r="D8" s="127">
        <f>IF(B8="","",INDEX('DEP LAS MERCEDES (1)'!$O$5:$O$14,MATCH(1,'DEP LAS MERCEDES (1)'!$Q$5:$Q$14,0)))</f>
        <v/>
      </c>
      <c r="E8" s="70">
        <f>IF(B8="","",INDEX('DEP LAS MERCEDES (1)'!$N$5:$N$14,MATCH(1,'DEP LAS MERCEDES (1)'!$Q$5:$Q$14,0)))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LAS MERCEDES (1)'!$B$5:$B$14,MATCH((ROWS($B$12:$B12)+1),'DEP LAS MERCEDES (1)'!$Q$5:$Q$14,0))),"")</f>
        <v/>
      </c>
      <c r="C12" s="130">
        <f>IF(B12="","","m²")</f>
        <v/>
      </c>
      <c r="D12" s="127">
        <f>IF(B12="","",INDEX('DEP LAS MERCEDES (1)'!$O$5:$O$14,MATCH((ROWS($B$12:$B12)+1),'DEP LAS MERCEDES (1)'!$Q$5:$Q$14,0)))</f>
        <v/>
      </c>
      <c r="E12" s="70">
        <f>IF(B12="","",INDEX('DEP LAS MERCEDES (1)'!$N$5:$N$14,MATCH((ROWS($B$12:$B12)+1),'DEP LAS MERCEDES (1)'!$Q$5:$Q$14,0)))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LAS MERCEDES (1)'!$B$5:$B$14,MATCH((ROWS($B$12:$B13)+1),'DEP LAS MERCEDES (1)'!$Q$5:$Q$14,0))),"")</f>
        <v/>
      </c>
      <c r="C13" s="130">
        <f>IF(B13="","","m²")</f>
        <v/>
      </c>
      <c r="D13" s="127">
        <f>IF(B13="","",INDEX('DEP LAS MERCEDES (1)'!$O$5:$O$14,MATCH((ROWS($B$12:$B13)+1),'DEP LAS MERCEDES (1)'!$Q$5:$Q$14,0)))</f>
        <v/>
      </c>
      <c r="E13" s="70">
        <f>IF(B13="","",INDEX('DEP LAS MERCEDES (1)'!$N$5:$N$14,MATCH((ROWS($B$12:$B13)+1),'DEP LAS MERCEDES (1)'!$Q$5:$Q$14,0)))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LAS MERCEDES (1)'!$B$5:$B$14,MATCH((ROWS($B$12:$B14)+1),'DEP LAS MERCEDES (1)'!$Q$5:$Q$14,0))),"")</f>
        <v/>
      </c>
      <c r="C14" s="130">
        <f>IF(B14="","","m²")</f>
        <v/>
      </c>
      <c r="D14" s="127">
        <f>IF(B14="","",INDEX('DEP LAS MERCEDES (1)'!$O$5:$O$14,MATCH((ROWS($B$12:$B14)+1),'DEP LAS MERCEDES (1)'!$Q$5:$Q$14,0)))</f>
        <v/>
      </c>
      <c r="E14" s="70">
        <f>IF(B14="","",INDEX('DEP LAS MERCEDES (1)'!$N$5:$N$14,MATCH((ROWS($B$12:$B14)+1),'DEP LAS MERCEDES (1)'!$Q$5:$Q$14,0)))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LAS MERCEDES (1)'!$B$5:$B$14,MATCH((ROWS($B$12:$B15)+1),'DEP LAS MERCEDES (1)'!$Q$5:$Q$14,0))),"")</f>
        <v/>
      </c>
      <c r="C15" s="130">
        <f>IF(B15="","","m²")</f>
        <v/>
      </c>
      <c r="D15" s="127">
        <f>IF(B15="","",INDEX('DEP LAS MERCEDES (1)'!$O$5:$O$14,MATCH((ROWS($B$12:$B15)+1),'DEP LAS MERCEDES (1)'!$Q$5:$Q$14,0)))</f>
        <v/>
      </c>
      <c r="E15" s="70">
        <f>IF(B15="","",INDEX('DEP LAS MERCEDES (1)'!$N$5:$N$14,MATCH((ROWS($B$12:$B15)+1),'DEP LAS MERCEDES (1)'!$Q$5:$Q$14,0)))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LAS MERCEDES (1)'!$B$5:$B$14,MATCH((ROWS($B$12:$B16)+1),'DEP LAS MERCEDES (1)'!$Q$5:$Q$14,0))),"")</f>
        <v/>
      </c>
      <c r="C16" s="130">
        <f>IF(B16="","","m²")</f>
        <v/>
      </c>
      <c r="D16" s="127">
        <f>IF(B16="","",INDEX('DEP LAS MERCEDES (1)'!$O$5:$O$14,MATCH((ROWS($B$12:$B16)+1),'DEP LAS MERCEDES (1)'!$Q$5:$Q$14,0)))</f>
        <v/>
      </c>
      <c r="E16" s="70">
        <f>IF(B16="","",INDEX('DEP LAS MERCEDES (1)'!$N$5:$N$14,MATCH((ROWS($B$12:$B16)+1),'DEP LAS MERCEDES (1)'!$Q$5:$Q$14,0)))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LAS MERCEDES (1)'!$B$5:$B$14,MATCH((ROWS($B$12:$B17)+1),'DEP LAS MERCEDES (1)'!$Q$5:$Q$14,0))),"")</f>
        <v/>
      </c>
      <c r="C17" s="131">
        <f>IF(B17="","","m²")</f>
        <v/>
      </c>
      <c r="D17" s="128">
        <f>IF(B17="","",INDEX('DEP LAS MERCEDES (1)'!$O$5:$O$14,MATCH((ROWS($B$12:$B17)+1),'DEP LAS MERCEDES (1)'!$Q$5:$Q$14,0)))</f>
        <v/>
      </c>
      <c r="E17" s="129">
        <f>IF(B17="","",INDEX('DEP LAS MERCEDES (1)'!$N$5:$N$14,MATCH((ROWS($B$12:$B17)+1),'DEP LAS MERCEDES (1)'!$Q$5:$Q$14,0)))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LAS MERCEDES (1)'!$B$5:$B$14,MATCH((ROWS($B$12:$B18)+1),'DEP LAS MERCEDES (1)'!$Q$5:$Q$14,0))),"")</f>
        <v/>
      </c>
      <c r="C18" s="131">
        <f>IF(B18="","","m²")</f>
        <v/>
      </c>
      <c r="D18" s="128">
        <f>IF(B18="","",INDEX('DEP LAS MERCEDES (1)'!$O$5:$O$14,MATCH((ROWS($B$12:$B18)+1),'DEP LAS MERCEDES (1)'!$Q$5:$Q$14,0)))</f>
        <v/>
      </c>
      <c r="E18" s="129">
        <f>IF(B18="","",INDEX('DEP LAS MERCEDES (1)'!$N$5:$N$14,MATCH((ROWS($B$12:$B18)+1),'DEP LAS MERCEDES (1)'!$Q$5:$Q$14,0)))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LAS MERCEDES (1)'!$B$5:$B$14,MATCH((ROWS($B$12:$B19)+1),'DEP LAS MERCEDES (1)'!$Q$5:$Q$14,0))),"")</f>
        <v/>
      </c>
      <c r="C19" s="131">
        <f>IF(B19="","","m²")</f>
        <v/>
      </c>
      <c r="D19" s="128">
        <f>IF(B19="","",INDEX('DEP LAS MERCEDES (1)'!$O$5:$O$14,MATCH((ROWS($B$12:$B19)+1),'DEP LAS MERCEDES (1)'!$Q$5:$Q$14,0)))</f>
        <v/>
      </c>
      <c r="E19" s="129">
        <f>IF(B19="","",INDEX('DEP LAS MERCEDES (1)'!$N$5:$N$14,MATCH((ROWS($B$12:$B19)+1),'DEP LAS MERCEDES (1)'!$Q$5:$Q$14,0)))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LAS MERCEDES (1)'!$B$5:$B$14,MATCH((ROWS($B$12:$B20)+1),'DEP LAS MERCEDES (1)'!$Q$5:$Q$14,0))),"")</f>
        <v/>
      </c>
      <c r="C20" s="131">
        <f>IF(B20="","","m²")</f>
        <v/>
      </c>
      <c r="D20" s="128">
        <f>IF(B20="","",INDEX('DEP LAS MERCEDES (1)'!$O$5:$O$14,MATCH((ROWS($B$12:$B20)+1),'DEP LAS MERCEDES (1)'!$Q$5:$Q$14,0)))</f>
        <v/>
      </c>
      <c r="E20" s="129">
        <f>IF(B20="","",INDEX('DEP LAS MERCEDES (1)'!$N$5:$N$14,MATCH((ROWS($B$12:$B20)+1),'DEP LAS MERCEDES (1)'!$Q$5:$Q$14,0)))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LAS MERCEDES – parte 2 de 2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Cuarto de báscula</t>
        </is>
      </c>
      <c r="C5" s="56" t="n">
        <v>33</v>
      </c>
      <c r="D5" s="56" t="n">
        <v>70</v>
      </c>
      <c r="E5" s="436" t="n">
        <v>3</v>
      </c>
      <c r="F5" s="58" t="n">
        <v>1014000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454" t="n"/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1004113_Residencial.Tipo_3_Menos</t>
        </is>
      </c>
      <c r="W5" s="438" t="inlineStr">
        <is>
          <t>Baja</t>
        </is>
      </c>
    </row>
    <row r="6" ht="21" customHeight="1" s="288">
      <c r="A6" s="54" t="n"/>
      <c r="B6" s="55" t="inlineStr">
        <is>
          <t>Portería</t>
        </is>
      </c>
      <c r="C6" s="56" t="n">
        <v>23</v>
      </c>
      <c r="D6" s="56" t="n">
        <v>70</v>
      </c>
      <c r="E6" s="436" t="n">
        <v>3</v>
      </c>
      <c r="F6" s="58" t="n">
        <v>799500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454" t="n"/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1004122_Residencial.Tipo_2</t>
        </is>
      </c>
      <c r="W6" s="438" t="inlineStr">
        <is>
          <t>Baja</t>
        </is>
      </c>
    </row>
    <row r="7" ht="21" customHeight="1" s="288">
      <c r="A7" s="54" t="n"/>
      <c r="B7" s="55" t="inlineStr">
        <is>
          <t>Puesto de salud</t>
        </is>
      </c>
      <c r="C7" s="56" t="n">
        <v>16</v>
      </c>
      <c r="D7" s="56" t="n">
        <v>70</v>
      </c>
      <c r="E7" s="450" t="n">
        <v>4</v>
      </c>
      <c r="F7" s="58" t="n">
        <v>1597200</v>
      </c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456" t="n"/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  <c r="V7" s="438" t="inlineStr">
        <is>
          <t>7011121_Institucional.Salud_1</t>
        </is>
      </c>
      <c r="W7" s="438" t="inlineStr">
        <is>
          <t>Media</t>
        </is>
      </c>
    </row>
    <row r="8" ht="21" customHeight="1" s="288">
      <c r="A8" s="54" t="n"/>
      <c r="B8" s="55" t="inlineStr">
        <is>
          <t>Taller</t>
        </is>
      </c>
      <c r="C8" s="56" t="n">
        <v>41</v>
      </c>
      <c r="D8" s="56" t="n">
        <v>70</v>
      </c>
      <c r="E8" s="436" t="n">
        <v>3</v>
      </c>
      <c r="F8" s="58" t="n">
        <v>363000</v>
      </c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455" t="n"/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  <c r="V8" s="438" t="inlineStr">
        <is>
          <t>Anexos.Ramadas_Cobertizos_Caneyes_Media_Tipo_60</t>
        </is>
      </c>
      <c r="W8" s="438" t="inlineStr">
        <is>
          <t>Media</t>
        </is>
      </c>
    </row>
    <row r="9" ht="21" customHeight="1" s="288">
      <c r="A9" s="54" t="n"/>
      <c r="B9" s="55" t="inlineStr">
        <is>
          <t>Tanque combustible</t>
        </is>
      </c>
      <c r="C9" s="56" t="n">
        <v>21</v>
      </c>
      <c r="D9" s="56" t="n">
        <v>70</v>
      </c>
      <c r="E9" s="450" t="n">
        <v>4</v>
      </c>
      <c r="F9" s="452" t="n"/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453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  <c r="V9" s="438" t="inlineStr">
        <is>
          <t>SIN CLASIFICAR</t>
        </is>
      </c>
      <c r="W9" s="438" t="inlineStr">
        <is>
          <t>—</t>
        </is>
      </c>
    </row>
    <row r="10" ht="21" customHeight="1" s="288">
      <c r="A10" s="54" t="n"/>
      <c r="B10" s="55" t="n"/>
      <c r="C10" s="56" t="n"/>
      <c r="D10" s="56" t="n"/>
      <c r="E10" s="436" t="n"/>
      <c r="F10" s="58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/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</row>
    <row r="11" ht="21" customHeight="1" s="288">
      <c r="A11" s="54" t="n"/>
      <c r="B11" s="55" t="n"/>
      <c r="C11" s="56" t="n"/>
      <c r="D11" s="56" t="n"/>
      <c r="E11" s="436" t="n"/>
      <c r="F11" s="58" t="n"/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</row>
    <row r="12" ht="21" customHeight="1" s="288">
      <c r="A12" s="54" t="n"/>
      <c r="B12" s="55" t="n"/>
      <c r="C12" s="56" t="n"/>
      <c r="D12" s="56" t="n"/>
      <c r="E12" s="436" t="n"/>
      <c r="F12" s="58" t="n"/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/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</row>
    <row r="13" ht="21" customHeight="1" s="288">
      <c r="A13" s="54" t="n"/>
      <c r="B13" s="55" t="n"/>
      <c r="C13" s="56" t="n"/>
      <c r="D13" s="56" t="n"/>
      <c r="E13" s="436" t="n"/>
      <c r="F13" s="58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LAS MERCEDES – parte 2 de 2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CONSTRUCCIONES (CONTINUACIÓN DE LA HOJA ANTERIOR)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LAS MERCEDES (2)'!$B$5:$B$14,MATCH(1,'DEP LAS MERCEDES (2)'!$Q$5:$Q$14,0))),"")</f>
        <v/>
      </c>
      <c r="C8" s="130">
        <f>IF(B8="","","m²")</f>
        <v/>
      </c>
      <c r="D8" s="127">
        <f>IF(B8="","",INDEX('DEP LAS MERCEDES (2)'!$O$5:$O$14,MATCH(1,'DEP LAS MERCEDES (2)'!$Q$5:$Q$14,0)))</f>
        <v/>
      </c>
      <c r="E8" s="70">
        <f>IF(B8="","",INDEX('DEP LAS MERCEDES (2)'!$N$5:$N$14,MATCH(1,'DEP LAS MERCEDES (2)'!$Q$5:$Q$14,0)))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LAS MERCEDES (2)'!$B$5:$B$14,MATCH((ROWS($B$12:$B12)+1),'DEP LAS MERCEDES (2)'!$Q$5:$Q$14,0))),"")</f>
        <v/>
      </c>
      <c r="C12" s="130">
        <f>IF(B12="","","m²")</f>
        <v/>
      </c>
      <c r="D12" s="127">
        <f>IF(B12="","",INDEX('DEP LAS MERCEDES (2)'!$O$5:$O$14,MATCH((ROWS($B$12:$B12)+1),'DEP LAS MERCEDES (2)'!$Q$5:$Q$14,0)))</f>
        <v/>
      </c>
      <c r="E12" s="70">
        <f>IF(B12="","",INDEX('DEP LAS MERCEDES (2)'!$N$5:$N$14,MATCH((ROWS($B$12:$B12)+1),'DEP LAS MERCEDES (2)'!$Q$5:$Q$14,0)))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LAS MERCEDES (2)'!$B$5:$B$14,MATCH((ROWS($B$12:$B13)+1),'DEP LAS MERCEDES (2)'!$Q$5:$Q$14,0))),"")</f>
        <v/>
      </c>
      <c r="C13" s="130">
        <f>IF(B13="","","m²")</f>
        <v/>
      </c>
      <c r="D13" s="127">
        <f>IF(B13="","",INDEX('DEP LAS MERCEDES (2)'!$O$5:$O$14,MATCH((ROWS($B$12:$B13)+1),'DEP LAS MERCEDES (2)'!$Q$5:$Q$14,0)))</f>
        <v/>
      </c>
      <c r="E13" s="70">
        <f>IF(B13="","",INDEX('DEP LAS MERCEDES (2)'!$N$5:$N$14,MATCH((ROWS($B$12:$B13)+1),'DEP LAS MERCEDES (2)'!$Q$5:$Q$14,0)))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LAS MERCEDES (2)'!$B$5:$B$14,MATCH((ROWS($B$12:$B14)+1),'DEP LAS MERCEDES (2)'!$Q$5:$Q$14,0))),"")</f>
        <v/>
      </c>
      <c r="C14" s="130">
        <f>IF(B14="","","m²")</f>
        <v/>
      </c>
      <c r="D14" s="127">
        <f>IF(B14="","",INDEX('DEP LAS MERCEDES (2)'!$O$5:$O$14,MATCH((ROWS($B$12:$B14)+1),'DEP LAS MERCEDES (2)'!$Q$5:$Q$14,0)))</f>
        <v/>
      </c>
      <c r="E14" s="70">
        <f>IF(B14="","",INDEX('DEP LAS MERCEDES (2)'!$N$5:$N$14,MATCH((ROWS($B$12:$B14)+1),'DEP LAS MERCEDES (2)'!$Q$5:$Q$14,0)))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LAS MERCEDES (2)'!$B$5:$B$14,MATCH((ROWS($B$12:$B15)+1),'DEP LAS MERCEDES (2)'!$Q$5:$Q$14,0))),"")</f>
        <v/>
      </c>
      <c r="C15" s="130">
        <f>IF(B15="","","m²")</f>
        <v/>
      </c>
      <c r="D15" s="127">
        <f>IF(B15="","",INDEX('DEP LAS MERCEDES (2)'!$O$5:$O$14,MATCH((ROWS($B$12:$B15)+1),'DEP LAS MERCEDES (2)'!$Q$5:$Q$14,0)))</f>
        <v/>
      </c>
      <c r="E15" s="70">
        <f>IF(B15="","",INDEX('DEP LAS MERCEDES (2)'!$N$5:$N$14,MATCH((ROWS($B$12:$B15)+1),'DEP LAS MERCEDES (2)'!$Q$5:$Q$14,0)))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LAS MERCEDES (2)'!$B$5:$B$14,MATCH((ROWS($B$12:$B16)+1),'DEP LAS MERCEDES (2)'!$Q$5:$Q$14,0))),"")</f>
        <v/>
      </c>
      <c r="C16" s="130">
        <f>IF(B16="","","m²")</f>
        <v/>
      </c>
      <c r="D16" s="127">
        <f>IF(B16="","",INDEX('DEP LAS MERCEDES (2)'!$O$5:$O$14,MATCH((ROWS($B$12:$B16)+1),'DEP LAS MERCEDES (2)'!$Q$5:$Q$14,0)))</f>
        <v/>
      </c>
      <c r="E16" s="70">
        <f>IF(B16="","",INDEX('DEP LAS MERCEDES (2)'!$N$5:$N$14,MATCH((ROWS($B$12:$B16)+1),'DEP LAS MERCEDES (2)'!$Q$5:$Q$14,0)))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LAS MERCEDES (2)'!$B$5:$B$14,MATCH((ROWS($B$12:$B17)+1),'DEP LAS MERCEDES (2)'!$Q$5:$Q$14,0))),"")</f>
        <v/>
      </c>
      <c r="C17" s="131">
        <f>IF(B17="","","m²")</f>
        <v/>
      </c>
      <c r="D17" s="128">
        <f>IF(B17="","",INDEX('DEP LAS MERCEDES (2)'!$O$5:$O$14,MATCH((ROWS($B$12:$B17)+1),'DEP LAS MERCEDES (2)'!$Q$5:$Q$14,0)))</f>
        <v/>
      </c>
      <c r="E17" s="129">
        <f>IF(B17="","",INDEX('DEP LAS MERCEDES (2)'!$N$5:$N$14,MATCH((ROWS($B$12:$B17)+1),'DEP LAS MERCEDES (2)'!$Q$5:$Q$14,0)))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LAS MERCEDES (2)'!$B$5:$B$14,MATCH((ROWS($B$12:$B18)+1),'DEP LAS MERCEDES (2)'!$Q$5:$Q$14,0))),"")</f>
        <v/>
      </c>
      <c r="C18" s="131">
        <f>IF(B18="","","m²")</f>
        <v/>
      </c>
      <c r="D18" s="128">
        <f>IF(B18="","",INDEX('DEP LAS MERCEDES (2)'!$O$5:$O$14,MATCH((ROWS($B$12:$B18)+1),'DEP LAS MERCEDES (2)'!$Q$5:$Q$14,0)))</f>
        <v/>
      </c>
      <c r="E18" s="129">
        <f>IF(B18="","",INDEX('DEP LAS MERCEDES (2)'!$N$5:$N$14,MATCH((ROWS($B$12:$B18)+1),'DEP LAS MERCEDES (2)'!$Q$5:$Q$14,0)))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LAS MERCEDES (2)'!$B$5:$B$14,MATCH((ROWS($B$12:$B19)+1),'DEP LAS MERCEDES (2)'!$Q$5:$Q$14,0))),"")</f>
        <v/>
      </c>
      <c r="C19" s="131">
        <f>IF(B19="","","m²")</f>
        <v/>
      </c>
      <c r="D19" s="128">
        <f>IF(B19="","",INDEX('DEP LAS MERCEDES (2)'!$O$5:$O$14,MATCH((ROWS($B$12:$B19)+1),'DEP LAS MERCEDES (2)'!$Q$5:$Q$14,0)))</f>
        <v/>
      </c>
      <c r="E19" s="129">
        <f>IF(B19="","",INDEX('DEP LAS MERCEDES (2)'!$N$5:$N$14,MATCH((ROWS($B$12:$B19)+1),'DEP LAS MERCEDES (2)'!$Q$5:$Q$14,0)))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LAS MERCEDES (2)'!$B$5:$B$14,MATCH((ROWS($B$12:$B20)+1),'DEP LAS MERCEDES (2)'!$Q$5:$Q$14,0))),"")</f>
        <v/>
      </c>
      <c r="C20" s="131">
        <f>IF(B20="","","m²")</f>
        <v/>
      </c>
      <c r="D20" s="128">
        <f>IF(B20="","",INDEX('DEP LAS MERCEDES (2)'!$O$5:$O$14,MATCH((ROWS($B$12:$B20)+1),'DEP LAS MERCEDES (2)'!$Q$5:$Q$14,0)))</f>
        <v/>
      </c>
      <c r="E20" s="129">
        <f>IF(B20="","",INDEX('DEP LAS MERCEDES (2)'!$N$5:$N$14,MATCH((ROWS($B$12:$B20)+1),'DEP LAS MERCEDES (2)'!$Q$5:$Q$14,0)))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9.6640625" customWidth="1" style="288" min="1" max="1"/>
    <col width="15.109375" customWidth="1" style="288" min="2" max="2"/>
    <col width="8.21875" customWidth="1" style="288" min="3" max="3"/>
    <col width="9.44140625" customWidth="1" style="288" min="4" max="4"/>
    <col width="13.6640625" customWidth="1" style="288" min="5" max="5"/>
    <col width="15.21875" customWidth="1" style="288" min="6" max="6"/>
    <col width="8.5546875" customWidth="1" style="288" min="7" max="7"/>
    <col width="17.5546875" customWidth="1" style="288" min="8" max="9"/>
    <col width="15.21875" customWidth="1" style="288" min="10" max="10"/>
    <col width="13.6640625" customWidth="1" style="288" min="11" max="11"/>
    <col width="15.21875" customWidth="1" style="288" min="12" max="12"/>
    <col width="16.5546875" customWidth="1" style="288" min="13" max="13"/>
    <col width="13.21875" customWidth="1" style="288" min="14" max="14"/>
    <col width="15.77734375" customWidth="1" style="288" min="15" max="15"/>
    <col width="19.44140625" customWidth="1" style="288" min="16" max="17"/>
    <col width="3.6640625" customWidth="1" style="288" min="18" max="18"/>
    <col width="15.77734375" customWidth="1" style="288" min="19" max="19"/>
    <col width="17.5546875" customWidth="1" style="288" min="20" max="20"/>
    <col width="46" customWidth="1" style="288" min="22" max="22"/>
    <col width="12" customWidth="1" style="288" min="23" max="23"/>
  </cols>
  <sheetData>
    <row r="1" ht="48" customHeight="1" s="288" thickBot="1">
      <c r="A1" s="228" t="inlineStr">
        <is>
          <t>DEPRECIACIÓN DE CONSTRUCCIONES
MÉTODO ROSS – HEIDECKE</t>
        </is>
      </c>
      <c r="B1" s="429" t="n"/>
      <c r="C1" s="429" t="n"/>
      <c r="D1" s="429" t="n"/>
      <c r="E1" s="429" t="n"/>
      <c r="F1" s="429" t="n"/>
      <c r="G1" s="429" t="n"/>
      <c r="H1" s="429" t="n"/>
      <c r="I1" s="429" t="n"/>
      <c r="J1" s="429" t="n"/>
      <c r="K1" s="429" t="n"/>
      <c r="L1" s="429" t="n"/>
      <c r="M1" s="429" t="n"/>
      <c r="N1" s="429" t="n"/>
      <c r="O1" s="429" t="n"/>
      <c r="P1" s="429" t="n"/>
      <c r="Q1" s="430" t="n"/>
    </row>
    <row r="2" ht="19.95" customHeight="1" s="288">
      <c r="A2" s="231" t="inlineStr">
        <is>
          <t>PREDIO VERSALLES 1 · Valores de reposición: Catálogo IGAC de Tipologías Constructivas (vigencia oct-2025 a oct-2026), Región Norte</t>
        </is>
      </c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  <c r="M2" s="431" t="n"/>
      <c r="N2" s="431" t="n"/>
      <c r="O2" s="431" t="n"/>
      <c r="P2" s="431" t="n"/>
      <c r="Q2" s="432" t="n"/>
    </row>
    <row r="3" ht="19.95" customHeight="1" s="288">
      <c r="A3" s="232" t="inlineStr">
        <is>
          <t>CÁLCULO DEL VALOR POR ESTADO DE CONSERVACIÓN SEGÚN ROSS - HEIDECKE</t>
        </is>
      </c>
      <c r="B3" s="433" t="n"/>
      <c r="C3" s="433" t="n"/>
      <c r="D3" s="433" t="n"/>
      <c r="E3" s="433" t="n"/>
      <c r="F3" s="433" t="n"/>
      <c r="G3" s="433" t="n"/>
      <c r="H3" s="433" t="n"/>
      <c r="I3" s="433" t="n"/>
      <c r="J3" s="433" t="n"/>
      <c r="K3" s="433" t="n"/>
      <c r="L3" s="433" t="n"/>
      <c r="M3" s="433" t="n"/>
      <c r="N3" s="433" t="n"/>
      <c r="O3" s="433" t="n"/>
      <c r="P3" s="433" t="n"/>
      <c r="Q3" s="434" t="n"/>
    </row>
    <row r="4" ht="61.95" customHeight="1" s="288">
      <c r="A4" s="53" t="inlineStr">
        <is>
          <t>OFERTA No.</t>
        </is>
      </c>
      <c r="B4" s="53" t="inlineStr">
        <is>
          <t>ÍTEM</t>
        </is>
      </c>
      <c r="C4" s="53" t="inlineStr">
        <is>
          <t>EDAD (años)</t>
        </is>
      </c>
      <c r="D4" s="53" t="inlineStr">
        <is>
          <t>VIDA ÚTIL (años)</t>
        </is>
      </c>
      <c r="E4" s="53" t="inlineStr">
        <is>
          <t>CALIFICACIÓN ESTADO</t>
        </is>
      </c>
      <c r="F4" s="53" t="inlineStr">
        <is>
          <t>VALOR REPOSICIÓN</t>
        </is>
      </c>
      <c r="G4" s="53" t="inlineStr">
        <is>
          <t>% (DE VIDA)</t>
        </is>
      </c>
      <c r="H4" s="53" t="inlineStr">
        <is>
          <t>FACTOR DEPRECIACIÓN POR EDAD ROSS</t>
        </is>
      </c>
      <c r="I4" s="53" t="inlineStr">
        <is>
          <t>E = FACTOR DEPRECIACIÓN POR ESTADO HEIDECKE</t>
        </is>
      </c>
      <c r="J4" s="53" t="inlineStr">
        <is>
          <t>K = DEPRECIACIÓN (tabla Ross-Heidecke)</t>
        </is>
      </c>
      <c r="K4" s="53" t="inlineStr">
        <is>
          <t>VALOR DEPRECIADO</t>
        </is>
      </c>
      <c r="L4" s="53" t="inlineStr">
        <is>
          <t>FD = FACTOR DEPRECIACIÓN</t>
        </is>
      </c>
      <c r="M4" s="53" t="inlineStr">
        <is>
          <t>VALOR ACTUAL (VALOR DEPRECIADO)</t>
        </is>
      </c>
      <c r="N4" s="53" t="inlineStr">
        <is>
          <t>VALOR ADOPTADO</t>
        </is>
      </c>
      <c r="O4" s="75" t="inlineStr">
        <is>
          <t>ÁREA CONSTRUIDA (m²)</t>
        </is>
      </c>
      <c r="P4" s="75" t="inlineStr">
        <is>
          <t>VALOR TOTAL CONSTRUCCIÓN (N × O)</t>
        </is>
      </c>
      <c r="Q4" s="75" t="inlineStr">
        <is>
          <t>ORDEN EN LIQUIDACIÓN (A vacío = predio objeto)</t>
        </is>
      </c>
      <c r="S4" s="238" t="inlineStr">
        <is>
          <t>TABLA HEIDECKE</t>
        </is>
      </c>
      <c r="T4" s="435" t="n"/>
      <c r="V4" s="53" t="inlineStr">
        <is>
          <t>TIPOLOGÍA CATÁLOGO IGAC (Región Norte)</t>
        </is>
      </c>
      <c r="W4" s="53" t="inlineStr">
        <is>
          <t>CONFIANZA</t>
        </is>
      </c>
    </row>
    <row r="5" ht="21" customHeight="1" s="288">
      <c r="A5" s="54" t="n"/>
      <c r="B5" s="55" t="inlineStr">
        <is>
          <t>Casa 1</t>
        </is>
      </c>
      <c r="C5" s="56" t="n">
        <v>30</v>
      </c>
      <c r="D5" s="56" t="n">
        <v>70</v>
      </c>
      <c r="E5" s="436" t="n">
        <v>3</v>
      </c>
      <c r="F5" s="58" t="n">
        <v>1014000</v>
      </c>
      <c r="G5" s="60">
        <f>IF($B5="","",C5/D5)</f>
        <v/>
      </c>
      <c r="H5" s="437">
        <f>IF($B5="","",1-0.5*(G5+G5^2))</f>
        <v/>
      </c>
      <c r="I5" s="437">
        <f>IF($B5="","",1-INDEX($T$6:$T$14,MATCH(E5,$S$6:$S$14,0)))</f>
        <v/>
      </c>
      <c r="J5" s="437">
        <f>IF($B5="","",1-H5*I5)</f>
        <v/>
      </c>
      <c r="K5" s="59">
        <f>IF($B5="","",F5*J5)</f>
        <v/>
      </c>
      <c r="L5" s="437">
        <f>IF($B5="","",I5*H5)</f>
        <v/>
      </c>
      <c r="M5" s="59">
        <f>IF($B5="","",F5*L5)</f>
        <v/>
      </c>
      <c r="N5" s="65">
        <f>IF($B5="","",MROUND(M5,1000))</f>
        <v/>
      </c>
      <c r="O5" s="114" t="n">
        <v>200.7</v>
      </c>
      <c r="P5" s="115">
        <f>IF($B5="","",MROUND(N5*O5,100))</f>
        <v/>
      </c>
      <c r="Q5" s="116">
        <f>IF(AND($B5&lt;&gt;"",$A5=""),COUNTIFS($A$5:$A5,"",$B$5:$B5,"&lt;&gt;"),"")</f>
        <v/>
      </c>
      <c r="S5" s="53" t="inlineStr">
        <is>
          <t>CALIFICACIÓN</t>
        </is>
      </c>
      <c r="T5" s="53" t="inlineStr">
        <is>
          <t>% DEPRECIACIÓN</t>
        </is>
      </c>
      <c r="V5" s="438" t="inlineStr">
        <is>
          <t>1004113_Residencial.Tipo_3_Menos</t>
        </is>
      </c>
      <c r="W5" s="438" t="inlineStr">
        <is>
          <t>Media</t>
        </is>
      </c>
    </row>
    <row r="6" ht="21" customHeight="1" s="288">
      <c r="A6" s="54" t="n"/>
      <c r="B6" s="55" t="inlineStr">
        <is>
          <t>Casa 2</t>
        </is>
      </c>
      <c r="C6" s="56" t="n">
        <v>30</v>
      </c>
      <c r="D6" s="56" t="n">
        <v>70</v>
      </c>
      <c r="E6" s="436" t="n">
        <v>3</v>
      </c>
      <c r="F6" s="58" t="n">
        <v>1014000</v>
      </c>
      <c r="G6" s="60">
        <f>IF($B6="","",C6/D6)</f>
        <v/>
      </c>
      <c r="H6" s="437">
        <f>IF($B6="","",1-0.5*(G6+G6^2))</f>
        <v/>
      </c>
      <c r="I6" s="437">
        <f>IF($B6="","",1-INDEX($T$6:$T$14,MATCH(E6,$S$6:$S$14,0)))</f>
        <v/>
      </c>
      <c r="J6" s="437">
        <f>IF($B6="","",1-H6*I6)</f>
        <v/>
      </c>
      <c r="K6" s="59">
        <f>IF($B6="","",F6*J6)</f>
        <v/>
      </c>
      <c r="L6" s="437">
        <f>IF($B6="","",I6*H6)</f>
        <v/>
      </c>
      <c r="M6" s="59">
        <f>IF($B6="","",F6*L6)</f>
        <v/>
      </c>
      <c r="N6" s="65">
        <f>IF($B6="","",MROUND(M6,1000))</f>
        <v/>
      </c>
      <c r="O6" s="114" t="n">
        <v>58.2</v>
      </c>
      <c r="P6" s="115">
        <f>IF($B6="","",MROUND(N6*O6,100))</f>
        <v/>
      </c>
      <c r="Q6" s="116">
        <f>IF(AND($B6&lt;&gt;"",$A6=""),COUNTIFS($A$5:$A6,"",$B$5:$B6,"&lt;&gt;"),"")</f>
        <v/>
      </c>
      <c r="S6" s="436" t="n">
        <v>1</v>
      </c>
      <c r="T6" s="439" t="n">
        <v>0</v>
      </c>
      <c r="V6" s="438" t="inlineStr">
        <is>
          <t>1004113_Residencial.Tipo_3_Menos</t>
        </is>
      </c>
      <c r="W6" s="438" t="inlineStr">
        <is>
          <t>Media</t>
        </is>
      </c>
    </row>
    <row r="7" ht="21" customHeight="1" s="288">
      <c r="A7" s="54" t="n"/>
      <c r="B7" s="55" t="n"/>
      <c r="C7" s="56" t="n"/>
      <c r="D7" s="56" t="n"/>
      <c r="E7" s="436" t="n"/>
      <c r="F7" s="58" t="n"/>
      <c r="G7" s="60">
        <f>IF($B7="","",C7/D7)</f>
        <v/>
      </c>
      <c r="H7" s="437">
        <f>IF($B7="","",1-0.5*(G7+G7^2))</f>
        <v/>
      </c>
      <c r="I7" s="437">
        <f>IF($B7="","",1-INDEX($T$6:$T$14,MATCH(E7,$S$6:$S$14,0)))</f>
        <v/>
      </c>
      <c r="J7" s="437">
        <f>IF($B7="","",1-H7*I7)</f>
        <v/>
      </c>
      <c r="K7" s="59">
        <f>IF($B7="","",F7*J7)</f>
        <v/>
      </c>
      <c r="L7" s="437">
        <f>IF($B7="","",I7*H7)</f>
        <v/>
      </c>
      <c r="M7" s="59">
        <f>IF($B7="","",F7*L7)</f>
        <v/>
      </c>
      <c r="N7" s="65">
        <f>IF($B7="","",MROUND(M7,1000))</f>
        <v/>
      </c>
      <c r="O7" s="117" t="n"/>
      <c r="P7" s="118">
        <f>IF($B7="","",MROUND(N7*O7,100))</f>
        <v/>
      </c>
      <c r="Q7" s="74">
        <f>IF(AND($B7&lt;&gt;"",$A7=""),COUNTIFS($A$5:$A7,"",$B$5:$B7,"&lt;&gt;"),"")</f>
        <v/>
      </c>
      <c r="S7" s="436" t="n">
        <v>1.5</v>
      </c>
      <c r="T7" s="439" t="n">
        <v>0.00032</v>
      </c>
    </row>
    <row r="8" ht="21" customHeight="1" s="288">
      <c r="A8" s="54" t="n"/>
      <c r="B8" s="55" t="n"/>
      <c r="C8" s="56" t="n"/>
      <c r="D8" s="56" t="n"/>
      <c r="E8" s="436" t="n"/>
      <c r="F8" s="58" t="n"/>
      <c r="G8" s="60">
        <f>IF($B8="","",C8/D8)</f>
        <v/>
      </c>
      <c r="H8" s="437">
        <f>IF($B8="","",1-0.5*(G8+G8^2))</f>
        <v/>
      </c>
      <c r="I8" s="437">
        <f>IF($B8="","",1-INDEX($T$6:$T$14,MATCH(E8,$S$6:$S$14,0)))</f>
        <v/>
      </c>
      <c r="J8" s="437">
        <f>IF($B8="","",1-H8*I8)</f>
        <v/>
      </c>
      <c r="K8" s="59">
        <f>IF($B8="","",F8*J8)</f>
        <v/>
      </c>
      <c r="L8" s="437">
        <f>IF($B8="","",I8*H8)</f>
        <v/>
      </c>
      <c r="M8" s="59">
        <f>IF($B8="","",F8*L8)</f>
        <v/>
      </c>
      <c r="N8" s="65">
        <f>IF($B8="","",MROUND(M8,1000))</f>
        <v/>
      </c>
      <c r="O8" s="119" t="n"/>
      <c r="P8" s="115">
        <f>IF($B8="","",MROUND(N8*O8,100))</f>
        <v/>
      </c>
      <c r="Q8" s="116">
        <f>IF(AND($B8&lt;&gt;"",$A8=""),COUNTIFS($A$5:$A8,"",$B$5:$B8,"&lt;&gt;"),"")</f>
        <v/>
      </c>
      <c r="S8" s="436" t="n">
        <v>2</v>
      </c>
      <c r="T8" s="439" t="n">
        <v>0.0252</v>
      </c>
    </row>
    <row r="9" ht="21" customHeight="1" s="288">
      <c r="A9" s="54" t="n"/>
      <c r="B9" s="55" t="n"/>
      <c r="C9" s="56" t="n"/>
      <c r="D9" s="56" t="n"/>
      <c r="E9" s="436" t="n"/>
      <c r="F9" s="58" t="n"/>
      <c r="G9" s="60">
        <f>IF($B9="","",C9/D9)</f>
        <v/>
      </c>
      <c r="H9" s="437">
        <f>IF($B9="","",1-0.5*(G9+G9^2))</f>
        <v/>
      </c>
      <c r="I9" s="437">
        <f>IF($B9="","",1-INDEX($T$6:$T$14,MATCH(E9,$S$6:$S$14,0)))</f>
        <v/>
      </c>
      <c r="J9" s="437">
        <f>IF($B9="","",1-H9*I9)</f>
        <v/>
      </c>
      <c r="K9" s="59">
        <f>IF($B9="","",F9*J9)</f>
        <v/>
      </c>
      <c r="L9" s="437">
        <f>IF($B9="","",I9*H9)</f>
        <v/>
      </c>
      <c r="M9" s="59">
        <f>IF($B9="","",F9*L9)</f>
        <v/>
      </c>
      <c r="N9" s="65">
        <f>IF($B9="","",MROUND(M9,1000))</f>
        <v/>
      </c>
      <c r="O9" s="122" t="n"/>
      <c r="P9" s="123">
        <f>IF($B9="","",MROUND(N9*O9,100))</f>
        <v/>
      </c>
      <c r="Q9" s="124">
        <f>IF(AND($B9&lt;&gt;"",$A9=""),COUNTIFS($A$5:$A9,"",$B$5:$B9,"&lt;&gt;"),"")</f>
        <v/>
      </c>
      <c r="S9" s="436" t="n">
        <v>2.5</v>
      </c>
      <c r="T9" s="439" t="n">
        <v>0.0809</v>
      </c>
    </row>
    <row r="10" ht="21" customHeight="1" s="288">
      <c r="A10" s="54" t="n"/>
      <c r="B10" s="55" t="n"/>
      <c r="C10" s="56" t="n"/>
      <c r="D10" s="56" t="n"/>
      <c r="E10" s="436" t="n"/>
      <c r="F10" s="58" t="n"/>
      <c r="G10" s="60">
        <f>IF($B10="","",C10/D10)</f>
        <v/>
      </c>
      <c r="H10" s="437">
        <f>IF($B10="","",1-0.5*(G10+G10^2))</f>
        <v/>
      </c>
      <c r="I10" s="437">
        <f>IF($B10="","",1-INDEX($T$6:$T$14,MATCH(E10,$S$6:$S$14,0)))</f>
        <v/>
      </c>
      <c r="J10" s="437">
        <f>IF($B10="","",1-H10*I10)</f>
        <v/>
      </c>
      <c r="K10" s="59">
        <f>IF($B10="","",F10*J10)</f>
        <v/>
      </c>
      <c r="L10" s="437">
        <f>IF($B10="","",I10*H10)</f>
        <v/>
      </c>
      <c r="M10" s="59">
        <f>IF($B10="","",F10*L10)</f>
        <v/>
      </c>
      <c r="N10" s="65">
        <f>IF($B10="","",MROUND(M10,1000))</f>
        <v/>
      </c>
      <c r="O10" s="122" t="n"/>
      <c r="P10" s="123">
        <f>IF($B10="","",MROUND(N10*O10,100))</f>
        <v/>
      </c>
      <c r="Q10" s="124">
        <f>IF(AND($B10&lt;&gt;"",$A10=""),COUNTIFS($A$5:$A10,"",$B$5:$B10,"&lt;&gt;"),"")</f>
        <v/>
      </c>
      <c r="S10" s="436" t="n">
        <v>3</v>
      </c>
      <c r="T10" s="439" t="n">
        <v>0.181</v>
      </c>
    </row>
    <row r="11" ht="21" customHeight="1" s="288">
      <c r="A11" s="54" t="n"/>
      <c r="B11" s="55" t="n"/>
      <c r="C11" s="56" t="n"/>
      <c r="D11" s="56" t="n"/>
      <c r="E11" s="436" t="n"/>
      <c r="F11" s="58" t="n"/>
      <c r="G11" s="60">
        <f>IF($B11="","",C11/D11)</f>
        <v/>
      </c>
      <c r="H11" s="437">
        <f>IF($B11="","",1-0.5*(G11+G11^2))</f>
        <v/>
      </c>
      <c r="I11" s="437">
        <f>IF($B11="","",1-INDEX($T$6:$T$14,MATCH(E11,$S$6:$S$14,0)))</f>
        <v/>
      </c>
      <c r="J11" s="437">
        <f>IF($B11="","",1-H11*I11)</f>
        <v/>
      </c>
      <c r="K11" s="59">
        <f>IF($B11="","",F11*J11)</f>
        <v/>
      </c>
      <c r="L11" s="437">
        <f>IF($B11="","",I11*H11)</f>
        <v/>
      </c>
      <c r="M11" s="59">
        <f>IF($B11="","",F11*L11)</f>
        <v/>
      </c>
      <c r="N11" s="65">
        <f>IF($B11="","",MROUND(M11,1000))</f>
        <v/>
      </c>
      <c r="O11" s="122" t="n"/>
      <c r="P11" s="123">
        <f>IF($B11="","",MROUND(N11*O11,100))</f>
        <v/>
      </c>
      <c r="Q11" s="124">
        <f>IF(AND($B11&lt;&gt;"",$A11=""),COUNTIFS($A$5:$A11,"",$B$5:$B11,"&lt;&gt;"),"")</f>
        <v/>
      </c>
      <c r="S11" s="436" t="n">
        <v>3.5</v>
      </c>
      <c r="T11" s="439" t="n">
        <v>0.332</v>
      </c>
    </row>
    <row r="12" ht="21" customHeight="1" s="288">
      <c r="A12" s="54" t="n"/>
      <c r="B12" s="55" t="n"/>
      <c r="C12" s="56" t="n"/>
      <c r="D12" s="56" t="n"/>
      <c r="E12" s="436" t="n"/>
      <c r="F12" s="58" t="n"/>
      <c r="G12" s="60">
        <f>IF($B12="","",C12/D12)</f>
        <v/>
      </c>
      <c r="H12" s="437">
        <f>IF($B12="","",1-0.5*(G12+G12^2))</f>
        <v/>
      </c>
      <c r="I12" s="437">
        <f>IF($B12="","",1-INDEX($T$6:$T$14,MATCH(E12,$S$6:$S$14,0)))</f>
        <v/>
      </c>
      <c r="J12" s="437">
        <f>IF($B12="","",1-H12*I12)</f>
        <v/>
      </c>
      <c r="K12" s="59">
        <f>IF($B12="","",F12*J12)</f>
        <v/>
      </c>
      <c r="L12" s="437">
        <f>IF($B12="","",I12*H12)</f>
        <v/>
      </c>
      <c r="M12" s="59">
        <f>IF($B12="","",F12*L12)</f>
        <v/>
      </c>
      <c r="N12" s="65">
        <f>IF($B12="","",MROUND(M12,1000))</f>
        <v/>
      </c>
      <c r="O12" s="122" t="n"/>
      <c r="P12" s="123">
        <f>IF($B12="","",MROUND(N12*O12,100))</f>
        <v/>
      </c>
      <c r="Q12" s="124">
        <f>IF(AND($B12&lt;&gt;"",$A12=""),COUNTIFS($A$5:$A12,"",$B$5:$B12,"&lt;&gt;"),"")</f>
        <v/>
      </c>
      <c r="S12" s="436" t="n">
        <v>4</v>
      </c>
      <c r="T12" s="439" t="n">
        <v>0.526</v>
      </c>
    </row>
    <row r="13" ht="21" customHeight="1" s="288">
      <c r="A13" s="54" t="n"/>
      <c r="B13" s="55" t="n"/>
      <c r="C13" s="56" t="n"/>
      <c r="D13" s="56" t="n"/>
      <c r="E13" s="436" t="n"/>
      <c r="F13" s="58" t="n"/>
      <c r="G13" s="60">
        <f>IF($B13="","",C13/D13)</f>
        <v/>
      </c>
      <c r="H13" s="437">
        <f>IF($B13="","",1-0.5*(G13+G13^2))</f>
        <v/>
      </c>
      <c r="I13" s="437">
        <f>IF($B13="","",1-INDEX($T$6:$T$14,MATCH(E13,$S$6:$S$14,0)))</f>
        <v/>
      </c>
      <c r="J13" s="437">
        <f>IF($B13="","",1-H13*I13)</f>
        <v/>
      </c>
      <c r="K13" s="59">
        <f>IF($B13="","",F13*J13)</f>
        <v/>
      </c>
      <c r="L13" s="437">
        <f>IF($B13="","",I13*H13)</f>
        <v/>
      </c>
      <c r="M13" s="59">
        <f>IF($B13="","",F13*L13)</f>
        <v/>
      </c>
      <c r="N13" s="65">
        <f>IF($B13="","",MROUND(M13,1000))</f>
        <v/>
      </c>
      <c r="O13" s="122" t="n"/>
      <c r="P13" s="123">
        <f>IF($B13="","",MROUND(N13*O13,100))</f>
        <v/>
      </c>
      <c r="Q13" s="124">
        <f>IF(AND($B13&lt;&gt;"",$A13=""),COUNTIFS($A$5:$A13,"",$B$5:$B13,"&lt;&gt;"),"")</f>
        <v/>
      </c>
      <c r="S13" s="436" t="n">
        <v>4.5</v>
      </c>
      <c r="T13" s="439" t="n">
        <v>0.752</v>
      </c>
    </row>
    <row r="14" ht="21" customHeight="1" s="288">
      <c r="A14" s="54" t="n"/>
      <c r="B14" s="55" t="n"/>
      <c r="C14" s="56" t="n"/>
      <c r="D14" s="56" t="n"/>
      <c r="E14" s="436" t="n"/>
      <c r="F14" s="58" t="n"/>
      <c r="G14" s="60">
        <f>IF($B14="","",C14/D14)</f>
        <v/>
      </c>
      <c r="H14" s="437">
        <f>IF($B14="","",1-0.5*(G14+G14^2))</f>
        <v/>
      </c>
      <c r="I14" s="437">
        <f>IF($B14="","",1-INDEX($T$6:$T$14,MATCH(E14,$S$6:$S$14,0)))</f>
        <v/>
      </c>
      <c r="J14" s="437">
        <f>IF($B14="","",1-H14*I14)</f>
        <v/>
      </c>
      <c r="K14" s="59">
        <f>IF($B14="","",F14*J14)</f>
        <v/>
      </c>
      <c r="L14" s="437">
        <f>IF($B14="","",I14*H14)</f>
        <v/>
      </c>
      <c r="M14" s="59">
        <f>IF($B14="","",F14*L14)</f>
        <v/>
      </c>
      <c r="N14" s="65">
        <f>IF($B14="","",MROUND(M14,1000))</f>
        <v/>
      </c>
      <c r="O14" s="122" t="n"/>
      <c r="P14" s="123">
        <f>IF($B14="","",MROUND(N14*O14,100))</f>
        <v/>
      </c>
      <c r="Q14" s="124">
        <f>IF(AND($B14&lt;&gt;"",$A14=""),COUNTIFS($A$5:$A14,"",$B$5:$B14,"&lt;&gt;"),"")</f>
        <v/>
      </c>
      <c r="S14" s="436" t="n">
        <v>5</v>
      </c>
      <c r="T14" s="439" t="n">
        <v>1</v>
      </c>
    </row>
    <row r="15" ht="21" customHeight="1" s="288">
      <c r="A15" s="240" t="inlineStr">
        <is>
          <t>TOTAL</t>
        </is>
      </c>
      <c r="B15" s="440" t="n"/>
      <c r="C15" s="440" t="n"/>
      <c r="D15" s="440" t="n"/>
      <c r="E15" s="435" t="n"/>
      <c r="F15" s="64">
        <f>SUM(F5:F14)</f>
        <v/>
      </c>
      <c r="G15" s="63" t="n"/>
      <c r="H15" s="63" t="n"/>
      <c r="I15" s="63" t="n"/>
      <c r="J15" s="63" t="n"/>
      <c r="K15" s="64">
        <f>SUM(K5:K14)</f>
        <v/>
      </c>
      <c r="L15" s="63" t="n"/>
      <c r="M15" s="64">
        <f>SUM(M5:M14)</f>
        <v/>
      </c>
      <c r="N15" s="64">
        <f>SUM(N5:N14)</f>
        <v/>
      </c>
      <c r="O15" s="125" t="n"/>
      <c r="P15" s="126">
        <f>SUM(P5:P14)</f>
        <v/>
      </c>
      <c r="Q15" s="125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</row>
    <row r="17" ht="19.95" customHeight="1" s="288">
      <c r="A17" s="234" t="inlineStr">
        <is>
          <t>VÍNCULO CON LA TABLA DE MERCADO – VALOR ESTIMADO DE CONSTRUCCIONES POR OFERTA (se actualiza con las ofertas de 'MERCADO RURAL', hasta 20)</t>
        </is>
      </c>
      <c r="B17" s="440" t="n"/>
      <c r="C17" s="440" t="n"/>
      <c r="D17" s="440" t="n"/>
      <c r="E17" s="440" t="n"/>
      <c r="F17" s="440" t="n"/>
      <c r="G17" s="440" t="n"/>
      <c r="H17" s="440" t="n"/>
      <c r="I17" s="440" t="n"/>
      <c r="J17" s="440" t="n"/>
      <c r="K17" s="440" t="n"/>
      <c r="L17" s="440" t="n"/>
      <c r="M17" s="440" t="n"/>
      <c r="N17" s="440" t="n"/>
      <c r="O17" s="440" t="n"/>
      <c r="P17" s="440" t="n"/>
      <c r="Q17" s="435" t="n"/>
    </row>
    <row r="18" ht="34.05" customHeight="1" s="288">
      <c r="A18" s="239" t="inlineStr">
        <is>
          <t>No.</t>
        </is>
      </c>
      <c r="B18" s="239" t="inlineStr">
        <is>
          <t>UBICACIÓN</t>
        </is>
      </c>
      <c r="C18" s="440" t="n"/>
      <c r="D18" s="440" t="n"/>
      <c r="E18" s="435" t="n"/>
      <c r="F18" s="239" t="inlineStr">
        <is>
          <t>Nº CONSTRUC-CIONES</t>
        </is>
      </c>
      <c r="G18" s="239" t="inlineStr">
        <is>
          <t>VALOR REPOSICIÓN TOTAL (F × O)</t>
        </is>
      </c>
      <c r="H18" s="440" t="n"/>
      <c r="I18" s="435" t="n"/>
      <c r="J18" s="239" t="inlineStr">
        <is>
          <t>DEPRECIACIÓN (reposición − valor actual)</t>
        </is>
      </c>
      <c r="K18" s="440" t="n"/>
      <c r="L18" s="435" t="n"/>
      <c r="M18" s="239" t="inlineStr">
        <is>
          <t>VALOR ESTIMADO CONSTRUCCIONES</t>
        </is>
      </c>
      <c r="N18" s="435" t="n"/>
    </row>
    <row r="19" ht="22.05" customHeight="1" s="288">
      <c r="A19" s="120">
        <f>IF((ROWS($A$19:$A19)+8)&gt;AUX_COMBINACIONES!$C$3,"",IF(INDEX('MERCADO RURAL'!$A:$A,(ROWS($A$19:$A19)+8))="","",INDEX('MERCADO RURAL'!$A:$A,(ROWS($A$19:$A19)+8))))</f>
        <v/>
      </c>
      <c r="B19" s="235">
        <f>IF($A19="","",INDEX('MERCADO RURAL'!$B:$B,(ROWS($A$19:$A19)+8)))</f>
        <v/>
      </c>
      <c r="C19" s="440" t="n"/>
      <c r="D19" s="440" t="n"/>
      <c r="E19" s="435" t="n"/>
      <c r="F19" s="99">
        <f>IF($A19="","",COUNTIFS($A$5:$A$14,$A19,$B$5:$B$14,"&lt;&gt;"))</f>
        <v/>
      </c>
      <c r="G19" s="237">
        <f>IF($A19="","",SUMPRODUCT(($A$5:$A$14=$A19)*$F$5:$F$14*$O$5:$O$14))</f>
        <v/>
      </c>
      <c r="H19" s="440" t="n"/>
      <c r="I19" s="435" t="n"/>
      <c r="J19" s="237">
        <f>IF($A19="","",G19-M19)</f>
        <v/>
      </c>
      <c r="K19" s="440" t="n"/>
      <c r="L19" s="435" t="n"/>
      <c r="M19" s="226">
        <f>IF($A19="","",SUMIFS($P$5:$P$14,$A$5:$A$14,$A19))</f>
        <v/>
      </c>
      <c r="N19" s="435" t="n"/>
    </row>
    <row r="20" ht="22.05" customHeight="1" s="288">
      <c r="A20" s="120">
        <f>IF((ROWS($A$19:$A20)+8)&gt;AUX_COMBINACIONES!$C$3,"",IF(INDEX('MERCADO RURAL'!$A:$A,(ROWS($A$19:$A20)+8))="","",INDEX('MERCADO RURAL'!$A:$A,(ROWS($A$19:$A20)+8))))</f>
        <v/>
      </c>
      <c r="B20" s="235">
        <f>IF($A20="","",INDEX('MERCADO RURAL'!$B:$B,(ROWS($A$19:$A20)+8)))</f>
        <v/>
      </c>
      <c r="C20" s="440" t="n"/>
      <c r="D20" s="440" t="n"/>
      <c r="E20" s="435" t="n"/>
      <c r="F20" s="99">
        <f>IF($A20="","",COUNTIFS($A$5:$A$14,$A20,$B$5:$B$14,"&lt;&gt;"))</f>
        <v/>
      </c>
      <c r="G20" s="237">
        <f>IF($A20="","",SUMPRODUCT(($A$5:$A$14=$A20)*$F$5:$F$14*$O$5:$O$14))</f>
        <v/>
      </c>
      <c r="H20" s="440" t="n"/>
      <c r="I20" s="435" t="n"/>
      <c r="J20" s="237">
        <f>IF($A20="","",G20-M20)</f>
        <v/>
      </c>
      <c r="K20" s="440" t="n"/>
      <c r="L20" s="435" t="n"/>
      <c r="M20" s="226">
        <f>IF($A20="","",SUMIFS($P$5:$P$14,$A$5:$A$14,$A20))</f>
        <v/>
      </c>
      <c r="N20" s="435" t="n"/>
    </row>
    <row r="21" ht="22.05" customHeight="1" s="288">
      <c r="A21" s="120">
        <f>IF((ROWS($A$19:$A21)+8)&gt;AUX_COMBINACIONES!$C$3,"",IF(INDEX('MERCADO RURAL'!$A:$A,(ROWS($A$19:$A21)+8))="","",INDEX('MERCADO RURAL'!$A:$A,(ROWS($A$19:$A21)+8))))</f>
        <v/>
      </c>
      <c r="B21" s="235">
        <f>IF($A21="","",INDEX('MERCADO RURAL'!$B:$B,(ROWS($A$19:$A21)+8)))</f>
        <v/>
      </c>
      <c r="C21" s="440" t="n"/>
      <c r="D21" s="440" t="n"/>
      <c r="E21" s="435" t="n"/>
      <c r="F21" s="99">
        <f>IF($A21="","",COUNTIFS($A$5:$A$14,$A21,$B$5:$B$14,"&lt;&gt;"))</f>
        <v/>
      </c>
      <c r="G21" s="237">
        <f>IF($A21="","",SUMPRODUCT(($A$5:$A$14=$A21)*$F$5:$F$14*$O$5:$O$14))</f>
        <v/>
      </c>
      <c r="H21" s="440" t="n"/>
      <c r="I21" s="435" t="n"/>
      <c r="J21" s="237">
        <f>IF($A21="","",G21-M21)</f>
        <v/>
      </c>
      <c r="K21" s="440" t="n"/>
      <c r="L21" s="435" t="n"/>
      <c r="M21" s="226">
        <f>IF($A21="","",SUMIFS($P$5:$P$14,$A$5:$A$14,$A21))</f>
        <v/>
      </c>
      <c r="N21" s="435" t="n"/>
    </row>
    <row r="22" ht="22.05" customHeight="1" s="288">
      <c r="A22" s="120">
        <f>IF((ROWS($A$19:$A22)+8)&gt;AUX_COMBINACIONES!$C$3,"",IF(INDEX('MERCADO RURAL'!$A:$A,(ROWS($A$19:$A22)+8))="","",INDEX('MERCADO RURAL'!$A:$A,(ROWS($A$19:$A22)+8))))</f>
        <v/>
      </c>
      <c r="B22" s="235">
        <f>IF($A22="","",INDEX('MERCADO RURAL'!$B:$B,(ROWS($A$19:$A22)+8)))</f>
        <v/>
      </c>
      <c r="C22" s="440" t="n"/>
      <c r="D22" s="440" t="n"/>
      <c r="E22" s="435" t="n"/>
      <c r="F22" s="99">
        <f>IF($A22="","",COUNTIFS($A$5:$A$14,$A22,$B$5:$B$14,"&lt;&gt;"))</f>
        <v/>
      </c>
      <c r="G22" s="237">
        <f>IF($A22="","",SUMPRODUCT(($A$5:$A$14=$A22)*$F$5:$F$14*$O$5:$O$14))</f>
        <v/>
      </c>
      <c r="H22" s="440" t="n"/>
      <c r="I22" s="435" t="n"/>
      <c r="J22" s="237">
        <f>IF($A22="","",G22-M22)</f>
        <v/>
      </c>
      <c r="K22" s="440" t="n"/>
      <c r="L22" s="435" t="n"/>
      <c r="M22" s="226">
        <f>IF($A22="","",SUMIFS($P$5:$P$14,$A$5:$A$14,$A22))</f>
        <v/>
      </c>
      <c r="N22" s="435" t="n"/>
    </row>
    <row r="23" ht="22.05" customHeight="1" s="288">
      <c r="A23" s="120">
        <f>IF((ROWS($A$19:$A23)+8)&gt;AUX_COMBINACIONES!$C$3,"",IF(INDEX('MERCADO RURAL'!$A:$A,(ROWS($A$19:$A23)+8))="","",INDEX('MERCADO RURAL'!$A:$A,(ROWS($A$19:$A23)+8))))</f>
        <v/>
      </c>
      <c r="B23" s="235">
        <f>IF($A23="","",INDEX('MERCADO RURAL'!$B:$B,(ROWS($A$19:$A23)+8)))</f>
        <v/>
      </c>
      <c r="C23" s="440" t="n"/>
      <c r="D23" s="440" t="n"/>
      <c r="E23" s="435" t="n"/>
      <c r="F23" s="99">
        <f>IF($A23="","",COUNTIFS($A$5:$A$14,$A23,$B$5:$B$14,"&lt;&gt;"))</f>
        <v/>
      </c>
      <c r="G23" s="237">
        <f>IF($A23="","",SUMPRODUCT(($A$5:$A$14=$A23)*$F$5:$F$14*$O$5:$O$14))</f>
        <v/>
      </c>
      <c r="H23" s="440" t="n"/>
      <c r="I23" s="435" t="n"/>
      <c r="J23" s="237">
        <f>IF($A23="","",G23-M23)</f>
        <v/>
      </c>
      <c r="K23" s="440" t="n"/>
      <c r="L23" s="435" t="n"/>
      <c r="M23" s="226">
        <f>IF($A23="","",SUMIFS($P$5:$P$14,$A$5:$A$14,$A23))</f>
        <v/>
      </c>
      <c r="N23" s="435" t="n"/>
    </row>
    <row r="24" ht="22.05" customHeight="1" s="288">
      <c r="A24" s="120">
        <f>IF((ROWS($A$19:$A24)+8)&gt;AUX_COMBINACIONES!$C$3,"",IF(INDEX('MERCADO RURAL'!$A:$A,(ROWS($A$19:$A24)+8))="","",INDEX('MERCADO RURAL'!$A:$A,(ROWS($A$19:$A24)+8))))</f>
        <v/>
      </c>
      <c r="B24" s="235">
        <f>IF($A24="","",INDEX('MERCADO RURAL'!$B:$B,(ROWS($A$19:$A24)+8)))</f>
        <v/>
      </c>
      <c r="C24" s="440" t="n"/>
      <c r="D24" s="440" t="n"/>
      <c r="E24" s="435" t="n"/>
      <c r="F24" s="99">
        <f>IF($A24="","",COUNTIFS($A$5:$A$14,$A24,$B$5:$B$14,"&lt;&gt;"))</f>
        <v/>
      </c>
      <c r="G24" s="237">
        <f>IF($A24="","",SUMPRODUCT(($A$5:$A$14=$A24)*$F$5:$F$14*$O$5:$O$14))</f>
        <v/>
      </c>
      <c r="H24" s="440" t="n"/>
      <c r="I24" s="435" t="n"/>
      <c r="J24" s="237">
        <f>IF($A24="","",G24-M24)</f>
        <v/>
      </c>
      <c r="K24" s="440" t="n"/>
      <c r="L24" s="435" t="n"/>
      <c r="M24" s="226">
        <f>IF($A24="","",SUMIFS($P$5:$P$14,$A$5:$A$14,$A24))</f>
        <v/>
      </c>
      <c r="N24" s="435" t="n"/>
    </row>
    <row r="25" ht="22.05" customHeight="1" s="288">
      <c r="A25" s="120">
        <f>IF((ROWS($A$19:$A25)+8)&gt;AUX_COMBINACIONES!$C$3,"",IF(INDEX('MERCADO RURAL'!$A:$A,(ROWS($A$19:$A25)+8))="","",INDEX('MERCADO RURAL'!$A:$A,(ROWS($A$19:$A25)+8))))</f>
        <v/>
      </c>
      <c r="B25" s="235">
        <f>IF($A25="","",INDEX('MERCADO RURAL'!$B:$B,(ROWS($A$19:$A25)+8)))</f>
        <v/>
      </c>
      <c r="C25" s="440" t="n"/>
      <c r="D25" s="440" t="n"/>
      <c r="E25" s="435" t="n"/>
      <c r="F25" s="99">
        <f>IF($A25="","",COUNTIFS($A$5:$A$14,$A25,$B$5:$B$14,"&lt;&gt;"))</f>
        <v/>
      </c>
      <c r="G25" s="237">
        <f>IF($A25="","",SUMPRODUCT(($A$5:$A$14=$A25)*$F$5:$F$14*$O$5:$O$14))</f>
        <v/>
      </c>
      <c r="H25" s="440" t="n"/>
      <c r="I25" s="435" t="n"/>
      <c r="J25" s="237">
        <f>IF($A25="","",G25-M25)</f>
        <v/>
      </c>
      <c r="K25" s="440" t="n"/>
      <c r="L25" s="435" t="n"/>
      <c r="M25" s="226">
        <f>IF($A25="","",SUMIFS($P$5:$P$14,$A$5:$A$14,$A25))</f>
        <v/>
      </c>
      <c r="N25" s="435" t="n"/>
    </row>
    <row r="26" ht="22.05" customHeight="1" s="288">
      <c r="A26" s="120">
        <f>IF((ROWS($A$19:$A26)+8)&gt;AUX_COMBINACIONES!$C$3,"",IF(INDEX('MERCADO RURAL'!$A:$A,(ROWS($A$19:$A26)+8))="","",INDEX('MERCADO RURAL'!$A:$A,(ROWS($A$19:$A26)+8))))</f>
        <v/>
      </c>
      <c r="B26" s="235">
        <f>IF($A26="","",INDEX('MERCADO RURAL'!$B:$B,(ROWS($A$19:$A26)+8)))</f>
        <v/>
      </c>
      <c r="C26" s="440" t="n"/>
      <c r="D26" s="440" t="n"/>
      <c r="E26" s="435" t="n"/>
      <c r="F26" s="99">
        <f>IF($A26="","",COUNTIFS($A$5:$A$14,$A26,$B$5:$B$14,"&lt;&gt;"))</f>
        <v/>
      </c>
      <c r="G26" s="237">
        <f>IF($A26="","",SUMPRODUCT(($A$5:$A$14=$A26)*$F$5:$F$14*$O$5:$O$14))</f>
        <v/>
      </c>
      <c r="H26" s="440" t="n"/>
      <c r="I26" s="435" t="n"/>
      <c r="J26" s="237">
        <f>IF($A26="","",G26-M26)</f>
        <v/>
      </c>
      <c r="K26" s="440" t="n"/>
      <c r="L26" s="435" t="n"/>
      <c r="M26" s="226">
        <f>IF($A26="","",SUMIFS($P$5:$P$14,$A$5:$A$14,$A26))</f>
        <v/>
      </c>
      <c r="N26" s="435" t="n"/>
    </row>
    <row r="27" ht="22.05" customHeight="1" s="288">
      <c r="A27" s="120">
        <f>IF((ROWS($A$19:$A27)+8)&gt;AUX_COMBINACIONES!$C$3,"",IF(INDEX('MERCADO RURAL'!$A:$A,(ROWS($A$19:$A27)+8))="","",INDEX('MERCADO RURAL'!$A:$A,(ROWS($A$19:$A27)+8))))</f>
        <v/>
      </c>
      <c r="B27" s="222">
        <f>IF($A27="","",INDEX('MERCADO RURAL'!$B:$B,(ROWS($A$19:$A27)+8)))</f>
        <v/>
      </c>
      <c r="C27" s="440" t="n"/>
      <c r="D27" s="440" t="n"/>
      <c r="E27" s="435" t="n"/>
      <c r="F27" s="99">
        <f>IF($A27="","",COUNTIFS($A$5:$A$14,$A27,$B$5:$B$14,"&lt;&gt;"))</f>
        <v/>
      </c>
      <c r="G27" s="237">
        <f>IF($A27="","",SUMPRODUCT(($A$5:$A$14=$A27)*$F$5:$F$14*$O$5:$O$14))</f>
        <v/>
      </c>
      <c r="H27" s="440" t="n"/>
      <c r="I27" s="435" t="n"/>
      <c r="J27" s="237">
        <f>IF($A27="","",G27-M27)</f>
        <v/>
      </c>
      <c r="K27" s="440" t="n"/>
      <c r="L27" s="435" t="n"/>
      <c r="M27" s="226">
        <f>IF($A27="","",SUMIFS($P$5:$P$14,$A$5:$A$14,$A27))</f>
        <v/>
      </c>
      <c r="N27" s="435" t="n"/>
    </row>
    <row r="28" ht="22.05" customHeight="1" s="288">
      <c r="A28" s="120">
        <f>IF((ROWS($A$19:$A28)+8)&gt;AUX_COMBINACIONES!$C$3,"",IF(INDEX('MERCADO RURAL'!$A:$A,(ROWS($A$19:$A28)+8))="","",INDEX('MERCADO RURAL'!$A:$A,(ROWS($A$19:$A28)+8))))</f>
        <v/>
      </c>
      <c r="B28" s="222">
        <f>IF($A28="","",INDEX('MERCADO RURAL'!$B:$B,(ROWS($A$19:$A28)+8)))</f>
        <v/>
      </c>
      <c r="C28" s="440" t="n"/>
      <c r="D28" s="440" t="n"/>
      <c r="E28" s="435" t="n"/>
      <c r="F28" s="99">
        <f>IF($A28="","",COUNTIFS($A$5:$A$14,$A28,$B$5:$B$14,"&lt;&gt;"))</f>
        <v/>
      </c>
      <c r="G28" s="237">
        <f>IF($A28="","",SUMPRODUCT(($A$5:$A$14=$A28)*$F$5:$F$14*$O$5:$O$14))</f>
        <v/>
      </c>
      <c r="H28" s="440" t="n"/>
      <c r="I28" s="435" t="n"/>
      <c r="J28" s="237">
        <f>IF($A28="","",G28-M28)</f>
        <v/>
      </c>
      <c r="K28" s="440" t="n"/>
      <c r="L28" s="435" t="n"/>
      <c r="M28" s="226">
        <f>IF($A28="","",SUMIFS($P$5:$P$14,$A$5:$A$14,$A28))</f>
        <v/>
      </c>
      <c r="N28" s="435" t="n"/>
    </row>
    <row r="29" ht="22.05" customHeight="1" s="288">
      <c r="A29" s="120">
        <f>IF((ROWS($A$19:$A29)+8)&gt;AUX_COMBINACIONES!$C$3,"",IF(INDEX('MERCADO RURAL'!$A:$A,(ROWS($A$19:$A29)+8))="","",INDEX('MERCADO RURAL'!$A:$A,(ROWS($A$19:$A29)+8))))</f>
        <v/>
      </c>
      <c r="B29" s="222">
        <f>IF($A29="","",INDEX('MERCADO RURAL'!$B:$B,(ROWS($A$19:$A29)+8)))</f>
        <v/>
      </c>
      <c r="C29" s="440" t="n"/>
      <c r="D29" s="440" t="n"/>
      <c r="E29" s="435" t="n"/>
      <c r="F29" s="99">
        <f>IF($A29="","",COUNTIFS($A$5:$A$14,$A29,$B$5:$B$14,"&lt;&gt;"))</f>
        <v/>
      </c>
      <c r="G29" s="237">
        <f>IF($A29="","",SUMPRODUCT(($A$5:$A$14=$A29)*$F$5:$F$14*$O$5:$O$14))</f>
        <v/>
      </c>
      <c r="H29" s="440" t="n"/>
      <c r="I29" s="435" t="n"/>
      <c r="J29" s="237">
        <f>IF($A29="","",G29-M29)</f>
        <v/>
      </c>
      <c r="K29" s="440" t="n"/>
      <c r="L29" s="435" t="n"/>
      <c r="M29" s="226">
        <f>IF($A29="","",SUMIFS($P$5:$P$14,$A$5:$A$14,$A29))</f>
        <v/>
      </c>
      <c r="N29" s="435" t="n"/>
    </row>
    <row r="30" ht="22.05" customHeight="1" s="288">
      <c r="A30" s="120">
        <f>IF((ROWS($A$19:$A30)+8)&gt;AUX_COMBINACIONES!$C$3,"",IF(INDEX('MERCADO RURAL'!$A:$A,(ROWS($A$19:$A30)+8))="","",INDEX('MERCADO RURAL'!$A:$A,(ROWS($A$19:$A30)+8))))</f>
        <v/>
      </c>
      <c r="B30" s="222">
        <f>IF($A30="","",INDEX('MERCADO RURAL'!$B:$B,(ROWS($A$19:$A30)+8)))</f>
        <v/>
      </c>
      <c r="C30" s="440" t="n"/>
      <c r="D30" s="440" t="n"/>
      <c r="E30" s="435" t="n"/>
      <c r="F30" s="99">
        <f>IF($A30="","",COUNTIFS($A$5:$A$14,$A30,$B$5:$B$14,"&lt;&gt;"))</f>
        <v/>
      </c>
      <c r="G30" s="237">
        <f>IF($A30="","",SUMPRODUCT(($A$5:$A$14=$A30)*$F$5:$F$14*$O$5:$O$14))</f>
        <v/>
      </c>
      <c r="H30" s="440" t="n"/>
      <c r="I30" s="435" t="n"/>
      <c r="J30" s="237">
        <f>IF($A30="","",G30-M30)</f>
        <v/>
      </c>
      <c r="K30" s="440" t="n"/>
      <c r="L30" s="435" t="n"/>
      <c r="M30" s="226">
        <f>IF($A30="","",SUMIFS($P$5:$P$14,$A$5:$A$14,$A30))</f>
        <v/>
      </c>
      <c r="N30" s="435" t="n"/>
    </row>
    <row r="31" ht="22.05" customHeight="1" s="288">
      <c r="A31" s="120">
        <f>IF((ROWS($A$19:$A31)+8)&gt;AUX_COMBINACIONES!$C$3,"",IF(INDEX('MERCADO RURAL'!$A:$A,(ROWS($A$19:$A31)+8))="","",INDEX('MERCADO RURAL'!$A:$A,(ROWS($A$19:$A31)+8))))</f>
        <v/>
      </c>
      <c r="B31" s="222">
        <f>IF($A31="","",INDEX('MERCADO RURAL'!$B:$B,(ROWS($A$19:$A31)+8)))</f>
        <v/>
      </c>
      <c r="C31" s="440" t="n"/>
      <c r="D31" s="440" t="n"/>
      <c r="E31" s="435" t="n"/>
      <c r="F31" s="99">
        <f>IF($A31="","",COUNTIFS($A$5:$A$14,$A31,$B$5:$B$14,"&lt;&gt;"))</f>
        <v/>
      </c>
      <c r="G31" s="237">
        <f>IF($A31="","",SUMPRODUCT(($A$5:$A$14=$A31)*$F$5:$F$14*$O$5:$O$14))</f>
        <v/>
      </c>
      <c r="H31" s="440" t="n"/>
      <c r="I31" s="435" t="n"/>
      <c r="J31" s="237">
        <f>IF($A31="","",G31-M31)</f>
        <v/>
      </c>
      <c r="K31" s="440" t="n"/>
      <c r="L31" s="435" t="n"/>
      <c r="M31" s="226">
        <f>IF($A31="","",SUMIFS($P$5:$P$14,$A$5:$A$14,$A31))</f>
        <v/>
      </c>
      <c r="N31" s="435" t="n"/>
    </row>
    <row r="32" ht="22.05" customHeight="1" s="288">
      <c r="A32" s="120">
        <f>IF((ROWS($A$19:$A32)+8)&gt;AUX_COMBINACIONES!$C$3,"",IF(INDEX('MERCADO RURAL'!$A:$A,(ROWS($A$19:$A32)+8))="","",INDEX('MERCADO RURAL'!$A:$A,(ROWS($A$19:$A32)+8))))</f>
        <v/>
      </c>
      <c r="B32" s="222">
        <f>IF($A32="","",INDEX('MERCADO RURAL'!$B:$B,(ROWS($A$19:$A32)+8)))</f>
        <v/>
      </c>
      <c r="C32" s="440" t="n"/>
      <c r="D32" s="440" t="n"/>
      <c r="E32" s="435" t="n"/>
      <c r="F32" s="99">
        <f>IF($A32="","",COUNTIFS($A$5:$A$14,$A32,$B$5:$B$14,"&lt;&gt;"))</f>
        <v/>
      </c>
      <c r="G32" s="237">
        <f>IF($A32="","",SUMPRODUCT(($A$5:$A$14=$A32)*$F$5:$F$14*$O$5:$O$14))</f>
        <v/>
      </c>
      <c r="H32" s="440" t="n"/>
      <c r="I32" s="435" t="n"/>
      <c r="J32" s="237">
        <f>IF($A32="","",G32-M32)</f>
        <v/>
      </c>
      <c r="K32" s="440" t="n"/>
      <c r="L32" s="435" t="n"/>
      <c r="M32" s="226">
        <f>IF($A32="","",SUMIFS($P$5:$P$14,$A$5:$A$14,$A32))</f>
        <v/>
      </c>
      <c r="N32" s="435" t="n"/>
    </row>
    <row r="33" ht="22.05" customHeight="1" s="288">
      <c r="A33" s="120">
        <f>IF((ROWS($A$19:$A33)+8)&gt;AUX_COMBINACIONES!$C$3,"",IF(INDEX('MERCADO RURAL'!$A:$A,(ROWS($A$19:$A33)+8))="","",INDEX('MERCADO RURAL'!$A:$A,(ROWS($A$19:$A33)+8))))</f>
        <v/>
      </c>
      <c r="B33" s="222">
        <f>IF($A33="","",INDEX('MERCADO RURAL'!$B:$B,(ROWS($A$19:$A33)+8)))</f>
        <v/>
      </c>
      <c r="C33" s="440" t="n"/>
      <c r="D33" s="440" t="n"/>
      <c r="E33" s="435" t="n"/>
      <c r="F33" s="99">
        <f>IF($A33="","",COUNTIFS($A$5:$A$14,$A33,$B$5:$B$14,"&lt;&gt;"))</f>
        <v/>
      </c>
      <c r="G33" s="237">
        <f>IF($A33="","",SUMPRODUCT(($A$5:$A$14=$A33)*$F$5:$F$14*$O$5:$O$14))</f>
        <v/>
      </c>
      <c r="H33" s="440" t="n"/>
      <c r="I33" s="435" t="n"/>
      <c r="J33" s="237">
        <f>IF($A33="","",G33-M33)</f>
        <v/>
      </c>
      <c r="K33" s="440" t="n"/>
      <c r="L33" s="435" t="n"/>
      <c r="M33" s="226">
        <f>IF($A33="","",SUMIFS($P$5:$P$14,$A$5:$A$14,$A33))</f>
        <v/>
      </c>
      <c r="N33" s="435" t="n"/>
    </row>
    <row r="34" ht="22.05" customHeight="1" s="288">
      <c r="A34" s="120">
        <f>IF((ROWS($A$19:$A34)+8)&gt;AUX_COMBINACIONES!$C$3,"",IF(INDEX('MERCADO RURAL'!$A:$A,(ROWS($A$19:$A34)+8))="","",INDEX('MERCADO RURAL'!$A:$A,(ROWS($A$19:$A34)+8))))</f>
        <v/>
      </c>
      <c r="B34" s="222">
        <f>IF($A34="","",INDEX('MERCADO RURAL'!$B:$B,(ROWS($A$19:$A34)+8)))</f>
        <v/>
      </c>
      <c r="C34" s="440" t="n"/>
      <c r="D34" s="440" t="n"/>
      <c r="E34" s="435" t="n"/>
      <c r="F34" s="99">
        <f>IF($A34="","",COUNTIFS($A$5:$A$14,$A34,$B$5:$B$14,"&lt;&gt;"))</f>
        <v/>
      </c>
      <c r="G34" s="237">
        <f>IF($A34="","",SUMPRODUCT(($A$5:$A$14=$A34)*$F$5:$F$14*$O$5:$O$14))</f>
        <v/>
      </c>
      <c r="H34" s="440" t="n"/>
      <c r="I34" s="435" t="n"/>
      <c r="J34" s="237">
        <f>IF($A34="","",G34-M34)</f>
        <v/>
      </c>
      <c r="K34" s="440" t="n"/>
      <c r="L34" s="435" t="n"/>
      <c r="M34" s="226">
        <f>IF($A34="","",SUMIFS($P$5:$P$14,$A$5:$A$14,$A34))</f>
        <v/>
      </c>
      <c r="N34" s="435" t="n"/>
    </row>
    <row r="35" ht="22.05" customHeight="1" s="288">
      <c r="A35" s="120">
        <f>IF((ROWS($A$19:$A35)+8)&gt;AUX_COMBINACIONES!$C$3,"",IF(INDEX('MERCADO RURAL'!$A:$A,(ROWS($A$19:$A35)+8))="","",INDEX('MERCADO RURAL'!$A:$A,(ROWS($A$19:$A35)+8))))</f>
        <v/>
      </c>
      <c r="B35" s="222">
        <f>IF($A35="","",INDEX('MERCADO RURAL'!$B:$B,(ROWS($A$19:$A35)+8)))</f>
        <v/>
      </c>
      <c r="C35" s="440" t="n"/>
      <c r="D35" s="440" t="n"/>
      <c r="E35" s="435" t="n"/>
      <c r="F35" s="99">
        <f>IF($A35="","",COUNTIFS($A$5:$A$14,$A35,$B$5:$B$14,"&lt;&gt;"))</f>
        <v/>
      </c>
      <c r="G35" s="237">
        <f>IF($A35="","",SUMPRODUCT(($A$5:$A$14=$A35)*$F$5:$F$14*$O$5:$O$14))</f>
        <v/>
      </c>
      <c r="H35" s="440" t="n"/>
      <c r="I35" s="435" t="n"/>
      <c r="J35" s="237">
        <f>IF($A35="","",G35-M35)</f>
        <v/>
      </c>
      <c r="K35" s="440" t="n"/>
      <c r="L35" s="435" t="n"/>
      <c r="M35" s="226">
        <f>IF($A35="","",SUMIFS($P$5:$P$14,$A$5:$A$14,$A35))</f>
        <v/>
      </c>
      <c r="N35" s="435" t="n"/>
    </row>
    <row r="36" ht="22.05" customHeight="1" s="288">
      <c r="A36" s="120">
        <f>IF((ROWS($A$19:$A36)+8)&gt;AUX_COMBINACIONES!$C$3,"",IF(INDEX('MERCADO RURAL'!$A:$A,(ROWS($A$19:$A36)+8))="","",INDEX('MERCADO RURAL'!$A:$A,(ROWS($A$19:$A36)+8))))</f>
        <v/>
      </c>
      <c r="B36" s="222">
        <f>IF($A36="","",INDEX('MERCADO RURAL'!$B:$B,(ROWS($A$19:$A36)+8)))</f>
        <v/>
      </c>
      <c r="C36" s="440" t="n"/>
      <c r="D36" s="440" t="n"/>
      <c r="E36" s="435" t="n"/>
      <c r="F36" s="99">
        <f>IF($A36="","",COUNTIFS($A$5:$A$14,$A36,$B$5:$B$14,"&lt;&gt;"))</f>
        <v/>
      </c>
      <c r="G36" s="237">
        <f>IF($A36="","",SUMPRODUCT(($A$5:$A$14=$A36)*$F$5:$F$14*$O$5:$O$14))</f>
        <v/>
      </c>
      <c r="H36" s="440" t="n"/>
      <c r="I36" s="435" t="n"/>
      <c r="J36" s="237">
        <f>IF($A36="","",G36-M36)</f>
        <v/>
      </c>
      <c r="K36" s="440" t="n"/>
      <c r="L36" s="435" t="n"/>
      <c r="M36" s="226">
        <f>IF($A36="","",SUMIFS($P$5:$P$14,$A$5:$A$14,$A36))</f>
        <v/>
      </c>
      <c r="N36" s="435" t="n"/>
    </row>
    <row r="37" ht="22.05" customHeight="1" s="288">
      <c r="A37" s="120">
        <f>IF((ROWS($A$19:$A37)+8)&gt;AUX_COMBINACIONES!$C$3,"",IF(INDEX('MERCADO RURAL'!$A:$A,(ROWS($A$19:$A37)+8))="","",INDEX('MERCADO RURAL'!$A:$A,(ROWS($A$19:$A37)+8))))</f>
        <v/>
      </c>
      <c r="B37" s="222">
        <f>IF($A37="","",INDEX('MERCADO RURAL'!$B:$B,(ROWS($A$19:$A37)+8)))</f>
        <v/>
      </c>
      <c r="C37" s="440" t="n"/>
      <c r="D37" s="440" t="n"/>
      <c r="E37" s="435" t="n"/>
      <c r="F37" s="99">
        <f>IF($A37="","",COUNTIFS($A$5:$A$14,$A37,$B$5:$B$14,"&lt;&gt;"))</f>
        <v/>
      </c>
      <c r="G37" s="237">
        <f>IF($A37="","",SUMPRODUCT(($A$5:$A$14=$A37)*$F$5:$F$14*$O$5:$O$14))</f>
        <v/>
      </c>
      <c r="H37" s="440" t="n"/>
      <c r="I37" s="435" t="n"/>
      <c r="J37" s="237">
        <f>IF($A37="","",G37-M37)</f>
        <v/>
      </c>
      <c r="K37" s="440" t="n"/>
      <c r="L37" s="435" t="n"/>
      <c r="M37" s="226">
        <f>IF($A37="","",SUMIFS($P$5:$P$14,$A$5:$A$14,$A37))</f>
        <v/>
      </c>
      <c r="N37" s="435" t="n"/>
    </row>
    <row r="38" ht="22.05" customHeight="1" s="288">
      <c r="A38" s="120">
        <f>IF((ROWS($A$19:$A38)+8)&gt;AUX_COMBINACIONES!$C$3,"",IF(INDEX('MERCADO RURAL'!$A:$A,(ROWS($A$19:$A38)+8))="","",INDEX('MERCADO RURAL'!$A:$A,(ROWS($A$19:$A38)+8))))</f>
        <v/>
      </c>
      <c r="B38" s="222">
        <f>IF($A38="","",INDEX('MERCADO RURAL'!$B:$B,(ROWS($A$19:$A38)+8)))</f>
        <v/>
      </c>
      <c r="C38" s="440" t="n"/>
      <c r="D38" s="440" t="n"/>
      <c r="E38" s="435" t="n"/>
      <c r="F38" s="99">
        <f>IF($A38="","",COUNTIFS($A$5:$A$14,$A38,$B$5:$B$14,"&lt;&gt;"))</f>
        <v/>
      </c>
      <c r="G38" s="237">
        <f>IF($A38="","",SUMPRODUCT(($A$5:$A$14=$A38)*$F$5:$F$14*$O$5:$O$14))</f>
        <v/>
      </c>
      <c r="H38" s="440" t="n"/>
      <c r="I38" s="435" t="n"/>
      <c r="J38" s="237">
        <f>IF($A38="","",G38-M38)</f>
        <v/>
      </c>
      <c r="K38" s="440" t="n"/>
      <c r="L38" s="435" t="n"/>
      <c r="M38" s="226">
        <f>IF($A38="","",SUMIFS($P$5:$P$14,$A$5:$A$14,$A38))</f>
        <v/>
      </c>
      <c r="N38" s="435" t="n"/>
    </row>
    <row r="39" ht="19.95" customHeight="1" s="288">
      <c r="A39" s="219" t="inlineStr">
        <is>
          <t>TOTAL ASIGNADO A OFERTAS</t>
        </is>
      </c>
      <c r="B39" s="440" t="n"/>
      <c r="C39" s="440" t="n"/>
      <c r="D39" s="440" t="n"/>
      <c r="E39" s="435" t="n"/>
      <c r="F39" s="121">
        <f>SUM(F19:F38)</f>
        <v/>
      </c>
      <c r="G39" s="220">
        <f>SUM(G19:G38)</f>
        <v/>
      </c>
      <c r="H39" s="440" t="n"/>
      <c r="I39" s="435" t="n"/>
      <c r="J39" s="220">
        <f>SUM(J19:J38)</f>
        <v/>
      </c>
      <c r="K39" s="440" t="n"/>
      <c r="L39" s="435" t="n"/>
      <c r="M39" s="220">
        <f>SUM(M19:M38)</f>
        <v/>
      </c>
      <c r="N39" s="435" t="n"/>
    </row>
    <row r="40" ht="19.95" customHeight="1" s="288">
      <c r="A40" s="218" t="inlineStr">
        <is>
          <t>Construcciones del predio objeto (sin oferta asignada) – pasan a la hoja LIQUIDACIÓN</t>
        </is>
      </c>
      <c r="B40" s="440" t="n"/>
      <c r="C40" s="440" t="n"/>
      <c r="D40" s="440" t="n"/>
      <c r="E40" s="440" t="n"/>
      <c r="F40" s="440" t="n"/>
      <c r="G40" s="440" t="n"/>
      <c r="H40" s="440" t="n"/>
      <c r="I40" s="440" t="n"/>
      <c r="J40" s="440" t="n"/>
      <c r="K40" s="440" t="n"/>
      <c r="L40" s="435" t="n"/>
      <c r="M40" s="220">
        <f>SUMIFS($P$5:$P$14,$A$5:$A$14,"",$B$5:$B$14,"&lt;&gt;")</f>
        <v/>
      </c>
      <c r="N40" s="435" t="n"/>
    </row>
    <row r="41" ht="19.95" customHeight="1" s="288">
      <c r="A41" s="218" t="inlineStr">
        <is>
          <t>Control: total tabla = asignado a ofertas + predio objeto (debe ser 0)</t>
        </is>
      </c>
      <c r="B41" s="440" t="n"/>
      <c r="C41" s="440" t="n"/>
      <c r="D41" s="440" t="n"/>
      <c r="E41" s="440" t="n"/>
      <c r="F41" s="440" t="n"/>
      <c r="G41" s="440" t="n"/>
      <c r="H41" s="440" t="n"/>
      <c r="I41" s="440" t="n"/>
      <c r="J41" s="440" t="n"/>
      <c r="K41" s="440" t="n"/>
      <c r="L41" s="435" t="n"/>
      <c r="M41" s="220">
        <f>P15-M39-M40</f>
        <v/>
      </c>
      <c r="N41" s="435" t="n"/>
    </row>
    <row r="43" ht="61.95" customHeight="1" s="288">
      <c r="A43" s="210" t="inlineStr">
        <is>
      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      </is>
      </c>
    </row>
  </sheetData>
  <mergeCells count="99">
    <mergeCell ref="G38:I38"/>
    <mergeCell ref="A39:E39"/>
    <mergeCell ref="J27:L27"/>
    <mergeCell ref="J35:L35"/>
    <mergeCell ref="B36:E36"/>
    <mergeCell ref="J25:L25"/>
    <mergeCell ref="G24:I24"/>
    <mergeCell ref="M35:N35"/>
    <mergeCell ref="G26:I26"/>
    <mergeCell ref="B22:E22"/>
    <mergeCell ref="B31:E31"/>
    <mergeCell ref="M25:N25"/>
    <mergeCell ref="A3:Q3"/>
    <mergeCell ref="B21:E21"/>
    <mergeCell ref="M36:N36"/>
    <mergeCell ref="J39:L39"/>
    <mergeCell ref="M18:N18"/>
    <mergeCell ref="M33:N33"/>
    <mergeCell ref="J29:L29"/>
    <mergeCell ref="B23:E23"/>
    <mergeCell ref="J38:L38"/>
    <mergeCell ref="G36:I36"/>
    <mergeCell ref="B38:E38"/>
    <mergeCell ref="M19:N19"/>
    <mergeCell ref="S4:T4"/>
    <mergeCell ref="J24:L24"/>
    <mergeCell ref="G28:I28"/>
    <mergeCell ref="G37:I37"/>
    <mergeCell ref="B33:E33"/>
    <mergeCell ref="J26:L26"/>
    <mergeCell ref="G30:I30"/>
    <mergeCell ref="B32:E32"/>
    <mergeCell ref="B26:E26"/>
    <mergeCell ref="B35:E35"/>
    <mergeCell ref="B25:E25"/>
    <mergeCell ref="B18:E18"/>
    <mergeCell ref="B27:E27"/>
    <mergeCell ref="M21:N21"/>
    <mergeCell ref="G32:I32"/>
    <mergeCell ref="J33:L33"/>
    <mergeCell ref="A2:Q2"/>
    <mergeCell ref="M27:N27"/>
    <mergeCell ref="A40:L40"/>
    <mergeCell ref="M41:N41"/>
    <mergeCell ref="M24:N24"/>
    <mergeCell ref="J28:L28"/>
    <mergeCell ref="G27:I27"/>
    <mergeCell ref="J37:L37"/>
    <mergeCell ref="B29:E29"/>
    <mergeCell ref="B37:E37"/>
    <mergeCell ref="J30:L30"/>
    <mergeCell ref="M34:N34"/>
    <mergeCell ref="G19:I19"/>
    <mergeCell ref="B24:E24"/>
    <mergeCell ref="G34:I34"/>
    <mergeCell ref="M39:N39"/>
    <mergeCell ref="J32:L32"/>
    <mergeCell ref="G20:I20"/>
    <mergeCell ref="M31:N31"/>
    <mergeCell ref="G29:I29"/>
    <mergeCell ref="M40:N40"/>
    <mergeCell ref="G22:I22"/>
    <mergeCell ref="J18:L18"/>
    <mergeCell ref="M37:N37"/>
    <mergeCell ref="G31:I31"/>
    <mergeCell ref="G21:I21"/>
    <mergeCell ref="M26:N26"/>
    <mergeCell ref="A17:Q17"/>
    <mergeCell ref="M29:N29"/>
    <mergeCell ref="J19:L19"/>
    <mergeCell ref="M23:N23"/>
    <mergeCell ref="M38:N38"/>
    <mergeCell ref="G23:I23"/>
    <mergeCell ref="B19:E19"/>
    <mergeCell ref="J34:L34"/>
    <mergeCell ref="B34:E34"/>
    <mergeCell ref="B28:E28"/>
    <mergeCell ref="A41:L41"/>
    <mergeCell ref="A15:E15"/>
    <mergeCell ref="J36:L36"/>
    <mergeCell ref="B30:E30"/>
    <mergeCell ref="G18:I18"/>
    <mergeCell ref="J20:L20"/>
    <mergeCell ref="B20:E20"/>
    <mergeCell ref="A1:Q1"/>
    <mergeCell ref="G33:I33"/>
    <mergeCell ref="M20:N20"/>
    <mergeCell ref="J22:L22"/>
    <mergeCell ref="J31:L31"/>
    <mergeCell ref="G35:I35"/>
    <mergeCell ref="J21:L21"/>
    <mergeCell ref="M22:N22"/>
    <mergeCell ref="G25:I25"/>
    <mergeCell ref="M30:N30"/>
    <mergeCell ref="M28:N28"/>
    <mergeCell ref="J23:L23"/>
    <mergeCell ref="M32:N32"/>
    <mergeCell ref="A43:Q43"/>
    <mergeCell ref="G39:I39"/>
  </mergeCells>
  <pageMargins left="0.7" right="0.7" top="0.75" bottom="0.75" header="0.3" footer="0.3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tabSelected="0" workbookViewId="0">
      <selection activeCell="A1" sqref="A1"/>
    </sheetView>
  </sheetViews>
  <sheetFormatPr baseColWidth="10" defaultRowHeight="14.4"/>
  <cols>
    <col width="2.5546875" customWidth="1" style="288" min="1" max="1"/>
    <col width="53.6640625" customWidth="1" style="288" min="2" max="2"/>
    <col width="14.77734375" customWidth="1" style="288" min="3" max="3"/>
    <col width="17.5546875" customWidth="1" style="288" min="4" max="4"/>
    <col width="22.33203125" customWidth="1" style="288" min="5" max="5"/>
    <col width="29.21875" customWidth="1" style="288" min="6" max="6"/>
    <col width="3.6640625" customWidth="1" style="288" min="7" max="7"/>
    <col width="18.44140625" customWidth="1" style="288" min="8" max="8"/>
    <col width="18.5546875" customWidth="1" style="288" min="9" max="9"/>
    <col width="16.5546875" customWidth="1" style="288" min="10" max="10"/>
    <col width="13.6640625" customWidth="1" style="288" min="11" max="11"/>
    <col width="3.6640625" customWidth="1" style="288" min="12" max="13"/>
    <col width="17.44140625" customWidth="1" style="288" min="14" max="15"/>
  </cols>
  <sheetData>
    <row r="1" ht="15" customHeight="1" s="288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</row>
    <row r="2" ht="19.95" customHeight="1" s="288">
      <c r="A2" s="66" t="n"/>
      <c r="B2" s="254" t="inlineStr">
        <is>
          <t>TABLA DE VALORES – PREDIO VERSALLES 1</t>
        </is>
      </c>
      <c r="C2" s="441" t="n"/>
      <c r="D2" s="441" t="n"/>
      <c r="E2" s="441" t="n"/>
      <c r="F2" s="442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</row>
    <row r="3" ht="18" customHeight="1" s="288">
      <c r="A3" s="66" t="n"/>
      <c r="B3" s="257" t="inlineStr">
        <is>
          <t>TERRENO</t>
        </is>
      </c>
      <c r="C3" s="440" t="n"/>
      <c r="D3" s="440" t="n"/>
      <c r="E3" s="440" t="n"/>
      <c r="F3" s="435" t="n"/>
      <c r="G3" s="66" t="n"/>
      <c r="H3" s="250" t="inlineStr">
        <is>
          <t>CÁLCULO AUXILIAR – VALOR EN LETRAS</t>
        </is>
      </c>
      <c r="I3" s="440" t="n"/>
      <c r="J3" s="440" t="n"/>
      <c r="K3" s="435" t="n"/>
      <c r="L3" s="66" t="n"/>
      <c r="M3" s="66" t="n"/>
      <c r="N3" s="66" t="n"/>
      <c r="O3" s="66" t="n"/>
    </row>
    <row r="4" ht="25.95" customHeight="1" s="288">
      <c r="A4" s="66" t="n"/>
      <c r="B4" s="104" t="inlineStr">
        <is>
          <t>DESCRIPCIÓN</t>
        </is>
      </c>
      <c r="C4" s="102" t="inlineStr">
        <is>
          <t>UNIDAD</t>
        </is>
      </c>
      <c r="D4" s="102" t="inlineStr">
        <is>
          <t>CANTIDAD</t>
        </is>
      </c>
      <c r="E4" s="102" t="inlineStr">
        <is>
          <t>VALOR UNITARIO</t>
        </is>
      </c>
      <c r="F4" s="106" t="inlineStr">
        <is>
          <t>VALOR TOTAL</t>
        </is>
      </c>
      <c r="G4" s="66" t="n"/>
      <c r="H4" s="103" t="inlineStr">
        <is>
          <t>CONCEPTO</t>
        </is>
      </c>
      <c r="I4" s="103" t="inlineStr">
        <is>
          <t>VALOR</t>
        </is>
      </c>
      <c r="J4" s="103" t="inlineStr">
        <is>
          <t>TEXTO</t>
        </is>
      </c>
      <c r="K4" s="103" t="inlineStr">
        <is>
          <t>TEXTO (APOCOPADO)</t>
        </is>
      </c>
      <c r="L4" s="66" t="n"/>
      <c r="M4" s="66" t="n"/>
      <c r="N4" s="103" t="inlineStr">
        <is>
          <t>UNIDADES 1–29</t>
        </is>
      </c>
      <c r="O4" s="103" t="inlineStr">
        <is>
          <t>DECENAS 30–90</t>
        </is>
      </c>
    </row>
    <row r="5" ht="43.95" customHeight="1" s="288" thickBot="1">
      <c r="A5" s="66" t="n"/>
      <c r="B5" s="159">
        <f>'MERCADO RURAL'!E4</f>
        <v/>
      </c>
      <c r="C5" s="130" t="inlineStr">
        <is>
          <t>Ha</t>
        </is>
      </c>
      <c r="D5" s="69" t="n">
        <v>0</v>
      </c>
      <c r="E5" s="70">
        <f>'MERCADO RURAL'!H24</f>
        <v/>
      </c>
      <c r="F5" s="107">
        <f>MROUND(D5*E5,100)</f>
        <v/>
      </c>
      <c r="G5" s="66" t="n"/>
      <c r="H5" s="71" t="inlineStr">
        <is>
          <t>Valor total (entero)</t>
        </is>
      </c>
      <c r="I5" s="72">
        <f>ROUND(F22,0)</f>
        <v/>
      </c>
      <c r="J5" s="71" t="n"/>
      <c r="K5" s="71" t="n"/>
      <c r="L5" s="66" t="n"/>
      <c r="M5" s="66" t="n"/>
      <c r="N5" s="67" t="inlineStr">
        <is>
          <t>UNO</t>
        </is>
      </c>
      <c r="O5" s="67" t="inlineStr">
        <is>
          <t>TREINTA</t>
        </is>
      </c>
    </row>
    <row r="6" ht="18" customHeight="1" s="288">
      <c r="A6" s="66" t="n"/>
      <c r="B6" s="254" t="inlineStr">
        <is>
          <t>CONSTRUCCIÓN PRINCIPAL</t>
        </is>
      </c>
      <c r="C6" s="441" t="n"/>
      <c r="D6" s="441" t="n"/>
      <c r="E6" s="441" t="n"/>
      <c r="F6" s="442" t="n"/>
      <c r="G6" s="66" t="n"/>
      <c r="H6" s="71" t="inlineStr">
        <is>
          <t>Millones totales</t>
        </is>
      </c>
      <c r="I6" s="72">
        <f>INT(I5/10^6)</f>
        <v/>
      </c>
      <c r="J6" s="71" t="n"/>
      <c r="K6" s="71" t="n"/>
      <c r="L6" s="66" t="n"/>
      <c r="M6" s="66" t="n"/>
      <c r="N6" s="67" t="inlineStr">
        <is>
          <t>DOS</t>
        </is>
      </c>
      <c r="O6" s="67" t="inlineStr">
        <is>
          <t>CUARENTA</t>
        </is>
      </c>
    </row>
    <row r="7" ht="25.95" customHeight="1" s="288">
      <c r="A7" s="66" t="n"/>
      <c r="B7" s="104" t="inlineStr">
        <is>
          <t>DESCRIPCIÓN</t>
        </is>
      </c>
      <c r="C7" s="102" t="inlineStr">
        <is>
          <t>UNIDAD</t>
        </is>
      </c>
      <c r="D7" s="102" t="inlineStr">
        <is>
          <t>CANTIDAD</t>
        </is>
      </c>
      <c r="E7" s="102" t="inlineStr">
        <is>
          <t>VALOR UNITARIO</t>
        </is>
      </c>
      <c r="F7" s="106" t="inlineStr">
        <is>
          <t>VALOR TOTAL</t>
        </is>
      </c>
      <c r="G7" s="66" t="n"/>
      <c r="H7" s="71" t="inlineStr">
        <is>
          <t>Bloque miles de millones</t>
        </is>
      </c>
      <c r="I7" s="72">
        <f>INT(I6/1000)</f>
        <v/>
      </c>
      <c r="J7" s="71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71">
        <f>IF(RIGHT(J7,9)="VEINTIUNO",LEFT(J7,LEN(J7)-9)&amp;"VEINTIÚN",IF(RIGHT(J7,3)="UNO",LEFT(J7,LEN(J7)-1),J7))</f>
        <v/>
      </c>
      <c r="L7" s="66" t="n"/>
      <c r="M7" s="66" t="n"/>
      <c r="N7" s="67" t="inlineStr">
        <is>
          <t>TRES</t>
        </is>
      </c>
      <c r="O7" s="67" t="inlineStr">
        <is>
          <t>CINCUENTA</t>
        </is>
      </c>
    </row>
    <row r="8" ht="19.95" customHeight="1" s="288">
      <c r="A8" s="66" t="n"/>
      <c r="B8" s="159">
        <f>IFERROR(UPPER(INDEX('DEP VERSALLES 1'!$B$5:$B$14,MATCH(1,'DEP VERSALLES 1'!$Q$5:$Q$14,0))),"")</f>
        <v/>
      </c>
      <c r="C8" s="130">
        <f>IF(B8="","","m²")</f>
        <v/>
      </c>
      <c r="D8" s="127">
        <f>IF(B8="","",INDEX('DEP VERSALLES 1'!$O$5:$O$14,MATCH(1,'DEP VERSALLES 1'!$Q$5:$Q$14,0)))</f>
        <v/>
      </c>
      <c r="E8" s="70">
        <f>IF(B8="","",INDEX('DEP VERSALLES 1'!$N$5:$N$14,MATCH(1,'DEP VERSALLES 1'!$Q$5:$Q$14,0)))</f>
        <v/>
      </c>
      <c r="F8" s="107">
        <f>IF(B8="","",MROUND(D8*E8,100))</f>
        <v/>
      </c>
      <c r="G8" s="66" t="n"/>
      <c r="H8" s="71" t="inlineStr">
        <is>
          <t>Bloque millones</t>
        </is>
      </c>
      <c r="I8" s="72">
        <f>MOD(I6,1000)</f>
        <v/>
      </c>
      <c r="J8" s="71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/>
      </c>
      <c r="K8" s="71">
        <f>IF(RIGHT(J8,9)="VEINTIUNO",LEFT(J8,LEN(J8)-9)&amp;"VEINTIÚN",IF(RIGHT(J8,3)="UNO",LEFT(J8,LEN(J8)-1),J8))</f>
        <v/>
      </c>
      <c r="L8" s="66" t="n"/>
      <c r="M8" s="66" t="n"/>
      <c r="N8" s="67" t="inlineStr">
        <is>
          <t>CUATRO</t>
        </is>
      </c>
      <c r="O8" s="67" t="inlineStr">
        <is>
          <t>SESENTA</t>
        </is>
      </c>
    </row>
    <row r="9" ht="22.05" customHeight="1" s="288" thickBot="1">
      <c r="A9" s="66" t="n"/>
      <c r="B9" s="260" t="inlineStr">
        <is>
          <t>VALOR TOTAL DE LA CONSTRUCCIÓN PRINCIPAL</t>
        </is>
      </c>
      <c r="C9" s="440" t="n"/>
      <c r="D9" s="440" t="n"/>
      <c r="E9" s="435" t="n"/>
      <c r="F9" s="107">
        <f>SUM(F8:F8)</f>
        <v/>
      </c>
      <c r="G9" s="66" t="n"/>
      <c r="H9" s="71" t="inlineStr">
        <is>
          <t>Bloque miles</t>
        </is>
      </c>
      <c r="I9" s="72">
        <f>INT(MOD(I5,10^6)/1000)</f>
        <v/>
      </c>
      <c r="J9" s="71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/>
      </c>
      <c r="K9" s="71">
        <f>IF(RIGHT(J9,9)="VEINTIUNO",LEFT(J9,LEN(J9)-9)&amp;"VEINTIÚN",IF(RIGHT(J9,3)="UNO",LEFT(J9,LEN(J9)-1),J9))</f>
        <v/>
      </c>
      <c r="L9" s="66" t="n"/>
      <c r="M9" s="66" t="n"/>
      <c r="N9" s="67" t="inlineStr">
        <is>
          <t>CINCO</t>
        </is>
      </c>
      <c r="O9" s="67" t="inlineStr">
        <is>
          <t>SETENTA</t>
        </is>
      </c>
    </row>
    <row r="10" ht="18" customHeight="1" s="288">
      <c r="A10" s="66" t="n"/>
      <c r="B10" s="254" t="inlineStr">
        <is>
          <t>CONSTRUCCIONES ANEXAS</t>
        </is>
      </c>
      <c r="C10" s="441" t="n"/>
      <c r="D10" s="441" t="n"/>
      <c r="E10" s="441" t="n"/>
      <c r="F10" s="442" t="n"/>
      <c r="G10" s="66" t="n"/>
      <c r="H10" s="71" t="inlineStr">
        <is>
          <t>Bloque unidades</t>
        </is>
      </c>
      <c r="I10" s="72">
        <f>MOD(I5,1000)</f>
        <v/>
      </c>
      <c r="J10" s="71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/>
      </c>
      <c r="K10" s="71" t="n"/>
      <c r="L10" s="66" t="n"/>
      <c r="M10" s="66" t="n"/>
      <c r="N10" s="67" t="inlineStr">
        <is>
          <t>SEIS</t>
        </is>
      </c>
      <c r="O10" s="67" t="inlineStr">
        <is>
          <t>OCHENTA</t>
        </is>
      </c>
    </row>
    <row r="11" ht="25.95" customHeight="1" s="288">
      <c r="A11" s="66" t="n"/>
      <c r="B11" s="104" t="inlineStr">
        <is>
          <t>DESCRIPCIÓN</t>
        </is>
      </c>
      <c r="C11" s="102" t="inlineStr">
        <is>
          <t>UNIDAD</t>
        </is>
      </c>
      <c r="D11" s="102" t="inlineStr">
        <is>
          <t>CANTIDAD</t>
        </is>
      </c>
      <c r="E11" s="102" t="inlineStr">
        <is>
          <t>VALOR UNITARIO</t>
        </is>
      </c>
      <c r="F11" s="106" t="inlineStr">
        <is>
          <t>VALOR TOTAL</t>
        </is>
      </c>
      <c r="G11" s="66" t="n"/>
      <c r="H11" s="66" t="n"/>
      <c r="I11" s="66" t="n"/>
      <c r="J11" s="66" t="n"/>
      <c r="K11" s="66" t="n"/>
      <c r="L11" s="66" t="n"/>
      <c r="M11" s="66" t="n"/>
      <c r="N11" s="67" t="inlineStr">
        <is>
          <t>SIETE</t>
        </is>
      </c>
      <c r="O11" s="67" t="inlineStr">
        <is>
          <t>NOVENTA</t>
        </is>
      </c>
    </row>
    <row r="12" ht="19.95" customHeight="1" s="288">
      <c r="A12" s="66" t="n"/>
      <c r="B12" s="159">
        <f>IFERROR(UPPER(INDEX('DEP VERSALLES 1'!$B$5:$B$14,MATCH((ROWS($B$12:$B12)+1),'DEP VERSALLES 1'!$Q$5:$Q$14,0))),"")</f>
        <v/>
      </c>
      <c r="C12" s="130">
        <f>IF(B12="","","m²")</f>
        <v/>
      </c>
      <c r="D12" s="127">
        <f>IF(B12="","",INDEX('DEP VERSALLES 1'!$O$5:$O$14,MATCH((ROWS($B$12:$B12)+1),'DEP VERSALLES 1'!$Q$5:$Q$14,0)))</f>
        <v/>
      </c>
      <c r="E12" s="70">
        <f>IF(B12="","",INDEX('DEP VERSALLES 1'!$N$5:$N$14,MATCH((ROWS($B$12:$B12)+1),'DEP VERSALLES 1'!$Q$5:$Q$14,0)))</f>
        <v/>
      </c>
      <c r="F12" s="107">
        <f>IF(B12="","",MROUND(D12*E12,100))</f>
        <v/>
      </c>
      <c r="G12" s="66" t="n"/>
      <c r="H12" s="66" t="n"/>
      <c r="I12" s="66" t="n"/>
      <c r="J12" s="66" t="n"/>
      <c r="K12" s="66" t="n"/>
      <c r="L12" s="66" t="n"/>
      <c r="M12" s="66" t="n"/>
      <c r="N12" s="67" t="inlineStr">
        <is>
          <t>OCHO</t>
        </is>
      </c>
      <c r="O12" s="67" t="n"/>
    </row>
    <row r="13" ht="19.95" customHeight="1" s="288">
      <c r="A13" s="66" t="n"/>
      <c r="B13" s="159">
        <f>IFERROR(UPPER(INDEX('DEP VERSALLES 1'!$B$5:$B$14,MATCH((ROWS($B$12:$B13)+1),'DEP VERSALLES 1'!$Q$5:$Q$14,0))),"")</f>
        <v/>
      </c>
      <c r="C13" s="130">
        <f>IF(B13="","","m²")</f>
        <v/>
      </c>
      <c r="D13" s="127">
        <f>IF(B13="","",INDEX('DEP VERSALLES 1'!$O$5:$O$14,MATCH((ROWS($B$12:$B13)+1),'DEP VERSALLES 1'!$Q$5:$Q$14,0)))</f>
        <v/>
      </c>
      <c r="E13" s="70">
        <f>IF(B13="","",INDEX('DEP VERSALLES 1'!$N$5:$N$14,MATCH((ROWS($B$12:$B13)+1),'DEP VERSALLES 1'!$Q$5:$Q$14,0)))</f>
        <v/>
      </c>
      <c r="F13" s="107">
        <f>IF(B13="","",MROUND(D13*E13,100))</f>
        <v/>
      </c>
      <c r="G13" s="66" t="n"/>
      <c r="H13" s="66" t="n"/>
      <c r="I13" s="66" t="n"/>
      <c r="J13" s="66" t="n"/>
      <c r="K13" s="66" t="n"/>
      <c r="L13" s="66" t="n"/>
      <c r="M13" s="66" t="n"/>
      <c r="N13" s="67" t="inlineStr">
        <is>
          <t>NUEVE</t>
        </is>
      </c>
      <c r="O13" s="67" t="n"/>
    </row>
    <row r="14" ht="19.95" customHeight="1" s="288">
      <c r="A14" s="66" t="n"/>
      <c r="B14" s="159">
        <f>IFERROR(UPPER(INDEX('DEP VERSALLES 1'!$B$5:$B$14,MATCH((ROWS($B$12:$B14)+1),'DEP VERSALLES 1'!$Q$5:$Q$14,0))),"")</f>
        <v/>
      </c>
      <c r="C14" s="130">
        <f>IF(B14="","","m²")</f>
        <v/>
      </c>
      <c r="D14" s="127">
        <f>IF(B14="","",INDEX('DEP VERSALLES 1'!$O$5:$O$14,MATCH((ROWS($B$12:$B14)+1),'DEP VERSALLES 1'!$Q$5:$Q$14,0)))</f>
        <v/>
      </c>
      <c r="E14" s="70">
        <f>IF(B14="","",INDEX('DEP VERSALLES 1'!$N$5:$N$14,MATCH((ROWS($B$12:$B14)+1),'DEP VERSALLES 1'!$Q$5:$Q$14,0)))</f>
        <v/>
      </c>
      <c r="F14" s="107">
        <f>IF(B14="","",MROUND(D14*E14,100))</f>
        <v/>
      </c>
      <c r="G14" s="66" t="n"/>
      <c r="H14" s="66" t="n"/>
      <c r="I14" s="66" t="n"/>
      <c r="J14" s="66" t="n"/>
      <c r="K14" s="66" t="n"/>
      <c r="L14" s="66" t="n"/>
      <c r="M14" s="66" t="n"/>
      <c r="N14" s="67" t="inlineStr">
        <is>
          <t>DIEZ</t>
        </is>
      </c>
      <c r="O14" s="67" t="n"/>
    </row>
    <row r="15" ht="19.95" customHeight="1" s="288">
      <c r="A15" s="66" t="n"/>
      <c r="B15" s="159">
        <f>IFERROR(UPPER(INDEX('DEP VERSALLES 1'!$B$5:$B$14,MATCH((ROWS($B$12:$B15)+1),'DEP VERSALLES 1'!$Q$5:$Q$14,0))),"")</f>
        <v/>
      </c>
      <c r="C15" s="130">
        <f>IF(B15="","","m²")</f>
        <v/>
      </c>
      <c r="D15" s="127">
        <f>IF(B15="","",INDEX('DEP VERSALLES 1'!$O$5:$O$14,MATCH((ROWS($B$12:$B15)+1),'DEP VERSALLES 1'!$Q$5:$Q$14,0)))</f>
        <v/>
      </c>
      <c r="E15" s="70">
        <f>IF(B15="","",INDEX('DEP VERSALLES 1'!$N$5:$N$14,MATCH((ROWS($B$12:$B15)+1),'DEP VERSALLES 1'!$Q$5:$Q$14,0)))</f>
        <v/>
      </c>
      <c r="F15" s="107">
        <f>IF(B15="","",MROUND(D15*E15,100))</f>
        <v/>
      </c>
      <c r="G15" s="66" t="n"/>
      <c r="H15" s="66" t="n"/>
      <c r="I15" s="66" t="n"/>
      <c r="J15" s="66" t="n"/>
      <c r="K15" s="66" t="n"/>
      <c r="L15" s="66" t="n"/>
      <c r="M15" s="66" t="n"/>
      <c r="N15" s="67" t="inlineStr">
        <is>
          <t>ONCE</t>
        </is>
      </c>
      <c r="O15" s="67" t="n"/>
    </row>
    <row r="16" ht="19.95" customHeight="1" s="288">
      <c r="A16" s="66" t="n"/>
      <c r="B16" s="159">
        <f>IFERROR(UPPER(INDEX('DEP VERSALLES 1'!$B$5:$B$14,MATCH((ROWS($B$12:$B16)+1),'DEP VERSALLES 1'!$Q$5:$Q$14,0))),"")</f>
        <v/>
      </c>
      <c r="C16" s="130">
        <f>IF(B16="","","m²")</f>
        <v/>
      </c>
      <c r="D16" s="127">
        <f>IF(B16="","",INDEX('DEP VERSALLES 1'!$O$5:$O$14,MATCH((ROWS($B$12:$B16)+1),'DEP VERSALLES 1'!$Q$5:$Q$14,0)))</f>
        <v/>
      </c>
      <c r="E16" s="70">
        <f>IF(B16="","",INDEX('DEP VERSALLES 1'!$N$5:$N$14,MATCH((ROWS($B$12:$B16)+1),'DEP VERSALLES 1'!$Q$5:$Q$14,0)))</f>
        <v/>
      </c>
      <c r="F16" s="107">
        <f>IF(B16="","",MROUND(D16*E16,100))</f>
        <v/>
      </c>
      <c r="G16" s="66" t="n"/>
      <c r="H16" s="66" t="n"/>
      <c r="I16" s="66" t="n"/>
      <c r="J16" s="66" t="n"/>
      <c r="K16" s="66" t="n"/>
      <c r="L16" s="66" t="n"/>
      <c r="M16" s="66" t="n"/>
      <c r="N16" s="67" t="inlineStr">
        <is>
          <t>DOCE</t>
        </is>
      </c>
      <c r="O16" s="67" t="n"/>
    </row>
    <row r="17" ht="19.95" customHeight="1" s="288">
      <c r="A17" s="66" t="n"/>
      <c r="B17" s="132">
        <f>IFERROR(UPPER(INDEX('DEP VERSALLES 1'!$B$5:$B$14,MATCH((ROWS($B$12:$B17)+1),'DEP VERSALLES 1'!$Q$5:$Q$14,0))),"")</f>
        <v/>
      </c>
      <c r="C17" s="131">
        <f>IF(B17="","","m²")</f>
        <v/>
      </c>
      <c r="D17" s="128">
        <f>IF(B17="","",INDEX('DEP VERSALLES 1'!$O$5:$O$14,MATCH((ROWS($B$12:$B17)+1),'DEP VERSALLES 1'!$Q$5:$Q$14,0)))</f>
        <v/>
      </c>
      <c r="E17" s="129">
        <f>IF(B17="","",INDEX('DEP VERSALLES 1'!$N$5:$N$14,MATCH((ROWS($B$12:$B17)+1),'DEP VERSALLES 1'!$Q$5:$Q$14,0)))</f>
        <v/>
      </c>
      <c r="F17" s="133">
        <f>IF(B17="","",MROUND(D17*E17,100))</f>
        <v/>
      </c>
      <c r="G17" s="66" t="n"/>
      <c r="H17" s="66" t="n"/>
      <c r="I17" s="66" t="n"/>
      <c r="J17" s="66" t="n"/>
      <c r="K17" s="66" t="n"/>
      <c r="L17" s="66" t="n"/>
      <c r="M17" s="66" t="n"/>
      <c r="N17" s="67" t="inlineStr">
        <is>
          <t>TRECE</t>
        </is>
      </c>
      <c r="O17" s="67" t="n"/>
    </row>
    <row r="18" ht="19.95" customHeight="1" s="288">
      <c r="A18" s="66" t="n"/>
      <c r="B18" s="132">
        <f>IFERROR(UPPER(INDEX('DEP VERSALLES 1'!$B$5:$B$14,MATCH((ROWS($B$12:$B18)+1),'DEP VERSALLES 1'!$Q$5:$Q$14,0))),"")</f>
        <v/>
      </c>
      <c r="C18" s="131">
        <f>IF(B18="","","m²")</f>
        <v/>
      </c>
      <c r="D18" s="128">
        <f>IF(B18="","",INDEX('DEP VERSALLES 1'!$O$5:$O$14,MATCH((ROWS($B$12:$B18)+1),'DEP VERSALLES 1'!$Q$5:$Q$14,0)))</f>
        <v/>
      </c>
      <c r="E18" s="129">
        <f>IF(B18="","",INDEX('DEP VERSALLES 1'!$N$5:$N$14,MATCH((ROWS($B$12:$B18)+1),'DEP VERSALLES 1'!$Q$5:$Q$14,0)))</f>
        <v/>
      </c>
      <c r="F18" s="133">
        <f>IF(B18="","",MROUND(D18*E18,100))</f>
        <v/>
      </c>
      <c r="G18" s="66" t="n"/>
      <c r="H18" s="66" t="n"/>
      <c r="I18" s="66" t="n"/>
      <c r="J18" s="66" t="n"/>
      <c r="K18" s="66" t="n"/>
      <c r="L18" s="66" t="n"/>
      <c r="M18" s="66" t="n"/>
      <c r="N18" s="67" t="inlineStr">
        <is>
          <t>CATORCE</t>
        </is>
      </c>
      <c r="O18" s="67" t="n"/>
    </row>
    <row r="19" ht="19.95" customHeight="1" s="288">
      <c r="A19" s="66" t="n"/>
      <c r="B19" s="132">
        <f>IFERROR(UPPER(INDEX('DEP VERSALLES 1'!$B$5:$B$14,MATCH((ROWS($B$12:$B19)+1),'DEP VERSALLES 1'!$Q$5:$Q$14,0))),"")</f>
        <v/>
      </c>
      <c r="C19" s="131">
        <f>IF(B19="","","m²")</f>
        <v/>
      </c>
      <c r="D19" s="128">
        <f>IF(B19="","",INDEX('DEP VERSALLES 1'!$O$5:$O$14,MATCH((ROWS($B$12:$B19)+1),'DEP VERSALLES 1'!$Q$5:$Q$14,0)))</f>
        <v/>
      </c>
      <c r="E19" s="129">
        <f>IF(B19="","",INDEX('DEP VERSALLES 1'!$N$5:$N$14,MATCH((ROWS($B$12:$B19)+1),'DEP VERSALLES 1'!$Q$5:$Q$14,0)))</f>
        <v/>
      </c>
      <c r="F19" s="133">
        <f>IF(B19="","",MROUND(D19*E19,100))</f>
        <v/>
      </c>
      <c r="G19" s="66" t="n"/>
      <c r="H19" s="66" t="n"/>
      <c r="I19" s="66" t="n"/>
      <c r="J19" s="66" t="n"/>
      <c r="K19" s="66" t="n"/>
      <c r="L19" s="66" t="n"/>
      <c r="M19" s="66" t="n"/>
      <c r="N19" s="67" t="inlineStr">
        <is>
          <t>QUINCE</t>
        </is>
      </c>
      <c r="O19" s="67" t="n"/>
    </row>
    <row r="20" ht="19.95" customHeight="1" s="288">
      <c r="A20" s="66" t="n"/>
      <c r="B20" s="132">
        <f>IFERROR(UPPER(INDEX('DEP VERSALLES 1'!$B$5:$B$14,MATCH((ROWS($B$12:$B20)+1),'DEP VERSALLES 1'!$Q$5:$Q$14,0))),"")</f>
        <v/>
      </c>
      <c r="C20" s="131">
        <f>IF(B20="","","m²")</f>
        <v/>
      </c>
      <c r="D20" s="128">
        <f>IF(B20="","",INDEX('DEP VERSALLES 1'!$O$5:$O$14,MATCH((ROWS($B$12:$B20)+1),'DEP VERSALLES 1'!$Q$5:$Q$14,0)))</f>
        <v/>
      </c>
      <c r="E20" s="129">
        <f>IF(B20="","",INDEX('DEP VERSALLES 1'!$N$5:$N$14,MATCH((ROWS($B$12:$B20)+1),'DEP VERSALLES 1'!$Q$5:$Q$14,0)))</f>
        <v/>
      </c>
      <c r="F20" s="133">
        <f>IF(B20="","",MROUND(D20*E20,100))</f>
        <v/>
      </c>
      <c r="G20" s="66" t="n"/>
      <c r="H20" s="66" t="n"/>
      <c r="I20" s="66" t="n"/>
      <c r="J20" s="66" t="n"/>
      <c r="K20" s="66" t="n"/>
      <c r="L20" s="66" t="n"/>
      <c r="M20" s="66" t="n"/>
      <c r="N20" s="67" t="inlineStr">
        <is>
          <t>DIECISÉIS</t>
        </is>
      </c>
      <c r="O20" s="67" t="n"/>
    </row>
    <row r="21" ht="22.05" customHeight="1" s="288">
      <c r="A21" s="66" t="n"/>
      <c r="B21" s="260" t="inlineStr">
        <is>
          <t>VALOR TOTAL DE LAS CONSTRUCCIONES ANEXAS</t>
        </is>
      </c>
      <c r="C21" s="440" t="n"/>
      <c r="D21" s="440" t="n"/>
      <c r="E21" s="435" t="n"/>
      <c r="F21" s="107">
        <f>MROUND(SUM(F12:F20),100)</f>
        <v/>
      </c>
      <c r="G21" s="66" t="n"/>
      <c r="H21" s="66" t="n"/>
      <c r="I21" s="66" t="n"/>
      <c r="J21" s="66" t="n"/>
      <c r="K21" s="66" t="n"/>
      <c r="L21" s="66" t="n"/>
      <c r="M21" s="66" t="n"/>
      <c r="N21" s="67" t="inlineStr">
        <is>
          <t>DIECISIETE</t>
        </is>
      </c>
      <c r="O21" s="67" t="n"/>
    </row>
    <row r="22">
      <c r="A22" s="66" t="n"/>
      <c r="B22" s="242" t="inlineStr">
        <is>
          <t>VALOR TOTAL DEL AVALÚO</t>
        </is>
      </c>
      <c r="C22" s="440" t="n"/>
      <c r="D22" s="440" t="n"/>
      <c r="E22" s="435" t="n"/>
      <c r="F22" s="108">
        <f>MROUND(F5+F9+F21,100)</f>
        <v/>
      </c>
      <c r="G22" s="66" t="n"/>
      <c r="H22" s="66" t="n"/>
      <c r="I22" s="66" t="n"/>
      <c r="J22" s="66" t="n"/>
      <c r="K22" s="66" t="n"/>
      <c r="L22" s="66" t="n"/>
      <c r="M22" s="66" t="n"/>
      <c r="N22" s="67" t="inlineStr">
        <is>
          <t>DIECIOCHO</t>
        </is>
      </c>
      <c r="O22" s="67" t="n"/>
    </row>
    <row r="23" ht="61.95" customHeight="1" s="288">
      <c r="A23" s="66" t="n"/>
      <c r="B23" s="244" t="inlineStr">
        <is>
          <t>VALOR TOTAL EN LETRAS</t>
        </is>
      </c>
      <c r="C23" s="246">
        <f>TRIM(IF(I6=0,"",IF(I7=0,"",IF(I7=1,"",K7&amp;" ")&amp;"MIL ")&amp;IF(I8=0,"",K8&amp;" ")&amp;IF(I6=1,"MILLÓN ","MILLONES "))&amp;IF(I9=0,"",IF(I9=1,"",K9&amp;" ")&amp;"MIL ")&amp;J10)&amp;IF(I5=0,"CERO","")&amp;" PESOS MLV"</f>
        <v/>
      </c>
      <c r="D23" s="433" t="n"/>
      <c r="E23" s="433" t="n"/>
      <c r="F23" s="434" t="n"/>
      <c r="G23" s="66" t="n"/>
      <c r="H23" s="66" t="n"/>
      <c r="I23" s="66" t="n"/>
      <c r="J23" s="66" t="n"/>
      <c r="K23" s="66" t="n"/>
      <c r="L23" s="66" t="n"/>
      <c r="M23" s="66" t="n"/>
      <c r="N23" s="67" t="inlineStr">
        <is>
          <t>DIECINUEVE</t>
        </is>
      </c>
      <c r="O23" s="67" t="n"/>
    </row>
    <row r="24">
      <c r="A24" s="66" t="n"/>
      <c r="B24" s="443" t="n"/>
      <c r="C24" s="444" t="n"/>
      <c r="F24" s="445" t="n"/>
      <c r="G24" s="66" t="n"/>
      <c r="H24" s="66" t="n"/>
      <c r="I24" s="66" t="n"/>
      <c r="J24" s="66" t="n"/>
      <c r="K24" s="66" t="n"/>
      <c r="L24" s="66" t="n"/>
      <c r="M24" s="66" t="n"/>
      <c r="N24" s="67" t="inlineStr">
        <is>
          <t>VEINTE</t>
        </is>
      </c>
      <c r="O24" s="67" t="n"/>
    </row>
    <row r="25" ht="15" customHeight="1" s="288" thickBot="1">
      <c r="A25" s="66" t="n"/>
      <c r="B25" s="446" t="n"/>
      <c r="C25" s="447" t="n"/>
      <c r="D25" s="431" t="n"/>
      <c r="E25" s="431" t="n"/>
      <c r="F25" s="432" t="n"/>
      <c r="G25" s="66" t="n"/>
      <c r="H25" s="66" t="n"/>
      <c r="I25" s="66" t="n"/>
      <c r="J25" s="66" t="n"/>
      <c r="K25" s="66" t="n"/>
      <c r="L25" s="66" t="n"/>
      <c r="M25" s="66" t="n"/>
      <c r="N25" s="67" t="inlineStr">
        <is>
          <t>VEINTIUNO</t>
        </is>
      </c>
      <c r="O25" s="67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7" t="inlineStr">
        <is>
          <t>VEINTIDÓS</t>
        </is>
      </c>
      <c r="O26" s="67" t="n"/>
    </row>
    <row r="27" ht="36" customHeight="1" s="288">
      <c r="A27" s="66" t="n"/>
      <c r="B27" s="448" t="inlineStr">
        <is>
      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      </is>
      </c>
      <c r="C27" s="449" t="n"/>
      <c r="D27" s="449" t="n"/>
      <c r="E27" s="449" t="n"/>
      <c r="F27" s="181" t="n"/>
      <c r="G27" s="66" t="n"/>
      <c r="H27" s="66" t="n"/>
      <c r="I27" s="66" t="n"/>
      <c r="J27" s="66" t="n"/>
      <c r="K27" s="66" t="n"/>
      <c r="L27" s="66" t="n"/>
      <c r="M27" s="66" t="n"/>
      <c r="N27" s="67" t="inlineStr">
        <is>
          <t>VEINTITRÉS</t>
        </is>
      </c>
      <c r="O27" s="67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7" t="inlineStr">
        <is>
          <t>VEINTICUATRO</t>
        </is>
      </c>
      <c r="O28" s="67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7" t="inlineStr">
        <is>
          <t>VEINTICINCO</t>
        </is>
      </c>
      <c r="O29" s="67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7" t="inlineStr">
        <is>
          <t>VEINTISÉIS</t>
        </is>
      </c>
      <c r="O30" s="67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inlineStr">
        <is>
          <t>VEINTISIETE</t>
        </is>
      </c>
      <c r="O31" s="67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7" t="inlineStr">
        <is>
          <t>VEINTIOCHO</t>
        </is>
      </c>
      <c r="O32" s="67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7" t="inlineStr">
        <is>
          <t>VEINTINUEVE</t>
        </is>
      </c>
      <c r="O33" s="67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</row>
    <row r="41">
      <c r="B41" s="66" t="n"/>
      <c r="C41" s="66" t="n"/>
      <c r="D41" s="66" t="n"/>
      <c r="E41" s="66" t="n"/>
      <c r="F41" s="66" t="n"/>
    </row>
    <row r="42">
      <c r="B42" s="66" t="n"/>
      <c r="C42" s="66" t="n"/>
      <c r="D42" s="66" t="n"/>
      <c r="E42" s="66" t="n"/>
      <c r="F42" s="66" t="n"/>
    </row>
    <row r="43">
      <c r="B43" s="66" t="n"/>
      <c r="C43" s="66" t="n"/>
      <c r="D43" s="66" t="n"/>
      <c r="E43" s="66" t="n"/>
      <c r="F43" s="66" t="n"/>
    </row>
    <row r="44">
      <c r="B44" s="66" t="n"/>
      <c r="C44" s="66" t="n"/>
      <c r="D44" s="66" t="n"/>
      <c r="E44" s="66" t="n"/>
      <c r="F44" s="66" t="n"/>
    </row>
  </sheetData>
  <mergeCells count="11">
    <mergeCell ref="B23:B25"/>
    <mergeCell ref="B9:E9"/>
    <mergeCell ref="B27:F27"/>
    <mergeCell ref="B6:F6"/>
    <mergeCell ref="B2:F2"/>
    <mergeCell ref="H3:K3"/>
    <mergeCell ref="B10:F10"/>
    <mergeCell ref="B3:F3"/>
    <mergeCell ref="B21:E21"/>
    <mergeCell ref="C23:F25"/>
    <mergeCell ref="B22:E22"/>
  </mergeCells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H24"/>
  <sheetViews>
    <sheetView tabSelected="0" workbookViewId="0">
      <selection activeCell="A1" sqref="A1"/>
    </sheetView>
  </sheetViews>
  <sheetFormatPr baseColWidth="8" defaultRowHeight="15"/>
  <cols>
    <col width="22" customWidth="1" style="288" min="2" max="2"/>
  </cols>
  <sheetData>
    <row r="2">
      <c r="B2" s="457" t="inlineStr">
        <is>
          <t>Vínculo de TERRENO (hoja de apoyo)</t>
        </is>
      </c>
    </row>
    <row r="4">
      <c r="B4" t="inlineStr">
        <is>
          <t>Descripción del terreno:</t>
        </is>
      </c>
      <c r="E4" s="458" t="inlineStr">
        <is>
          <t>TERRENO</t>
        </is>
      </c>
    </row>
    <row r="6">
      <c r="B6" s="380" t="inlineStr">
        <is>
          <t>Esta hoja existe solo para que las fórmulas de las hojas LIQ (terreno) y DEP (vínculo con ofertas) del formato rural queden intactas. Si digita aquí el valor por Ha (H24), se aplicará a todas las hojas LIQ; o digite el valor directamente en la celda E5 de cada LIQ. La superficie (Ha) se digita en D5 de cada LIQ (quedó en 0).</t>
        </is>
      </c>
    </row>
    <row r="7"/>
    <row r="8"/>
    <row r="9"/>
    <row r="10"/>
    <row r="11"/>
    <row r="24">
      <c r="B24" t="inlineStr">
        <is>
          <t>Valor por hectárea (VALOR ADOPTADO) →</t>
        </is>
      </c>
      <c r="H24" s="459" t="n"/>
    </row>
  </sheetData>
  <mergeCells count="1">
    <mergeCell ref="B6:H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3:C3"/>
  <sheetViews>
    <sheetView tabSelected="0" workbookViewId="0">
      <selection activeCell="A1" sqref="A1"/>
    </sheetView>
  </sheetViews>
  <sheetFormatPr baseColWidth="8" defaultRowHeight="15"/>
  <sheetData>
    <row r="3">
      <c r="B3" t="inlineStr">
        <is>
          <t>Nº ofertas (0 = sin ofertas en este archivo)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rreyes</dc:creator>
  <dcterms:created xsi:type="dcterms:W3CDTF">2008-10-17T19:13:21Z</dcterms:created>
  <dcterms:modified xsi:type="dcterms:W3CDTF">2026-10-02T14:55:32Z</dcterms:modified>
  <cp:lastModifiedBy>Andrés Cuartas</cp:lastModifiedBy>
  <cp:lastPrinted>2009-02-02T20:40:50Z</cp:lastPrinted>
</cp:coreProperties>
</file>